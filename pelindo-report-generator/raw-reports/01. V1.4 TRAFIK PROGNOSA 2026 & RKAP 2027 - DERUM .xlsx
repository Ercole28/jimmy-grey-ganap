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IMMY GREEI GANAP\Documents\RKM 2027\"/>
    </mc:Choice>
  </mc:AlternateContent>
  <xr:revisionPtr revIDLastSave="0" documentId="13_ncr:1_{BD9FB5E4-E9B4-42CD-9017-054C971F53F2}" xr6:coauthVersionLast="45" xr6:coauthVersionMax="45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Perbln" sheetId="17" state="hidden" r:id="rId1"/>
    <sheet name="TRAFIK baru" sheetId="21" state="hidden" r:id="rId2"/>
    <sheet name="USULAN" sheetId="14" r:id="rId3"/>
    <sheet name="TRAFIK" sheetId="19" r:id="rId4"/>
    <sheet name="PRODUKSI" sheetId="20" state="hidden" r:id="rId5"/>
    <sheet name="RJPP" sheetId="18" state="hidden" r:id="rId6"/>
    <sheet name="PANDU IKPP" sheetId="9" r:id="rId7"/>
    <sheet name="TUNDA IKPP" sheetId="15" r:id="rId8"/>
    <sheet name="TAMBAT-IKPP" sheetId="22" r:id="rId9"/>
    <sheet name="PANDU CWD" sheetId="23" r:id="rId10"/>
    <sheet name="TUNDA CWD" sheetId="24" r:id="rId11"/>
    <sheet name="TAMBAT CWD" sheetId="25" r:id="rId12"/>
    <sheet name="PANDU TUKS" sheetId="26" r:id="rId13"/>
    <sheet name="TUNDA TUKS" sheetId="27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3" i="14" l="1"/>
  <c r="N43" i="14"/>
  <c r="O51" i="14"/>
  <c r="N51" i="14"/>
  <c r="O34" i="14"/>
  <c r="N34" i="14"/>
  <c r="O25" i="14"/>
  <c r="N25" i="14"/>
  <c r="J50" i="14"/>
  <c r="H50" i="14"/>
  <c r="K50" i="14" s="1"/>
  <c r="J49" i="14"/>
  <c r="H49" i="14"/>
  <c r="K49" i="14" s="1"/>
  <c r="I51" i="14"/>
  <c r="G51" i="14"/>
  <c r="F51" i="14"/>
  <c r="E51" i="14"/>
  <c r="L49" i="14"/>
  <c r="D2" i="27"/>
  <c r="AA2" i="27"/>
  <c r="AG2" i="27"/>
  <c r="I3" i="27"/>
  <c r="D8" i="27"/>
  <c r="E8" i="27"/>
  <c r="E18" i="27" s="1"/>
  <c r="E26" i="27" s="1"/>
  <c r="F8" i="27"/>
  <c r="G8" i="27"/>
  <c r="H8" i="27"/>
  <c r="I8" i="27"/>
  <c r="J8" i="27"/>
  <c r="J18" i="27" s="1"/>
  <c r="J26" i="27" s="1"/>
  <c r="K8" i="27"/>
  <c r="L8" i="27"/>
  <c r="M8" i="27"/>
  <c r="M18" i="27" s="1"/>
  <c r="M26" i="27" s="1"/>
  <c r="N8" i="27"/>
  <c r="O8" i="27"/>
  <c r="AA8" i="27"/>
  <c r="AB8" i="27"/>
  <c r="AC8" i="27"/>
  <c r="AD8" i="27"/>
  <c r="AD16" i="27" s="1"/>
  <c r="AD26" i="27" s="1"/>
  <c r="AE8" i="27"/>
  <c r="AF8" i="27"/>
  <c r="AG8" i="27"/>
  <c r="AG16" i="27" s="1"/>
  <c r="AG26" i="27" s="1"/>
  <c r="AH8" i="27"/>
  <c r="AI8" i="27"/>
  <c r="AI16" i="27" s="1"/>
  <c r="AI26" i="27" s="1"/>
  <c r="AJ8" i="27"/>
  <c r="AK8" i="27"/>
  <c r="AL8" i="27"/>
  <c r="AL16" i="27" s="1"/>
  <c r="AL26" i="27" s="1"/>
  <c r="D9" i="27"/>
  <c r="E9" i="27"/>
  <c r="F9" i="27"/>
  <c r="G9" i="27"/>
  <c r="G19" i="27" s="1"/>
  <c r="G27" i="27" s="1"/>
  <c r="H9" i="27"/>
  <c r="I9" i="27"/>
  <c r="J9" i="27"/>
  <c r="J19" i="27" s="1"/>
  <c r="J27" i="27" s="1"/>
  <c r="K9" i="27"/>
  <c r="L9" i="27"/>
  <c r="M9" i="27"/>
  <c r="N9" i="27"/>
  <c r="O9" i="27"/>
  <c r="O19" i="27" s="1"/>
  <c r="O27" i="27" s="1"/>
  <c r="AA9" i="27"/>
  <c r="AB9" i="27"/>
  <c r="AC9" i="27"/>
  <c r="AD9" i="27"/>
  <c r="AE9" i="27"/>
  <c r="AF9" i="27"/>
  <c r="AG9" i="27"/>
  <c r="AH9" i="27"/>
  <c r="AI9" i="27"/>
  <c r="AJ9" i="27"/>
  <c r="AJ17" i="27" s="1"/>
  <c r="AJ27" i="27" s="1"/>
  <c r="AK9" i="27"/>
  <c r="AL9" i="27"/>
  <c r="P14" i="27"/>
  <c r="P15" i="27"/>
  <c r="AB16" i="27"/>
  <c r="AC16" i="27"/>
  <c r="AE16" i="27"/>
  <c r="AF16" i="27"/>
  <c r="AH16" i="27"/>
  <c r="AJ16" i="27"/>
  <c r="AK16" i="27"/>
  <c r="AA17" i="27"/>
  <c r="AC17" i="27"/>
  <c r="AC27" i="27" s="1"/>
  <c r="AD17" i="27"/>
  <c r="AE17" i="27"/>
  <c r="AF17" i="27"/>
  <c r="AF27" i="27" s="1"/>
  <c r="AH17" i="27"/>
  <c r="AI17" i="27"/>
  <c r="AK17" i="27"/>
  <c r="AK27" i="27" s="1"/>
  <c r="AL17" i="27"/>
  <c r="D18" i="27"/>
  <c r="F18" i="27"/>
  <c r="G18" i="27"/>
  <c r="H18" i="27"/>
  <c r="I18" i="27"/>
  <c r="I26" i="27" s="1"/>
  <c r="K18" i="27"/>
  <c r="L18" i="27"/>
  <c r="N18" i="27"/>
  <c r="O18" i="27"/>
  <c r="D19" i="27"/>
  <c r="E19" i="27"/>
  <c r="E27" i="27" s="1"/>
  <c r="F19" i="27"/>
  <c r="H19" i="27"/>
  <c r="H27" i="27" s="1"/>
  <c r="I19" i="27"/>
  <c r="K19" i="27"/>
  <c r="L19" i="27"/>
  <c r="M19" i="27"/>
  <c r="M27" i="27" s="1"/>
  <c r="N19" i="27"/>
  <c r="D26" i="27"/>
  <c r="F26" i="27"/>
  <c r="G26" i="27"/>
  <c r="H26" i="27"/>
  <c r="K26" i="27"/>
  <c r="L26" i="27"/>
  <c r="N26" i="27"/>
  <c r="O26" i="27"/>
  <c r="AB26" i="27"/>
  <c r="AC26" i="27"/>
  <c r="AE26" i="27"/>
  <c r="AF26" i="27"/>
  <c r="AH26" i="27"/>
  <c r="AJ26" i="27"/>
  <c r="AK26" i="27"/>
  <c r="D27" i="27"/>
  <c r="F27" i="27"/>
  <c r="I27" i="27"/>
  <c r="K27" i="27"/>
  <c r="L27" i="27"/>
  <c r="N27" i="27"/>
  <c r="N264" i="27" s="1"/>
  <c r="AA27" i="27"/>
  <c r="AD27" i="27"/>
  <c r="AE27" i="27"/>
  <c r="AH27" i="27"/>
  <c r="AI27" i="27"/>
  <c r="AL27" i="27"/>
  <c r="D30" i="27"/>
  <c r="E30" i="27"/>
  <c r="F30" i="27"/>
  <c r="G30" i="27"/>
  <c r="H30" i="27"/>
  <c r="I30" i="27"/>
  <c r="J30" i="27"/>
  <c r="K30" i="27"/>
  <c r="L30" i="27"/>
  <c r="M30" i="27"/>
  <c r="M42" i="27" s="1"/>
  <c r="M48" i="27" s="1"/>
  <c r="N30" i="27"/>
  <c r="O30" i="27"/>
  <c r="AA30" i="27"/>
  <c r="AB30" i="27"/>
  <c r="AM30" i="27" s="1"/>
  <c r="AC30" i="27"/>
  <c r="AD30" i="27"/>
  <c r="AD42" i="27" s="1"/>
  <c r="AD48" i="27" s="1"/>
  <c r="AE30" i="27"/>
  <c r="AF30" i="27"/>
  <c r="AG30" i="27"/>
  <c r="AG42" i="27" s="1"/>
  <c r="AG48" i="27" s="1"/>
  <c r="AH30" i="27"/>
  <c r="AI30" i="27"/>
  <c r="AJ30" i="27"/>
  <c r="AK30" i="27"/>
  <c r="AL30" i="27"/>
  <c r="AL42" i="27" s="1"/>
  <c r="AL48" i="27" s="1"/>
  <c r="D31" i="27"/>
  <c r="E31" i="27"/>
  <c r="P31" i="27" s="1"/>
  <c r="F31" i="27"/>
  <c r="G31" i="27"/>
  <c r="H31" i="27"/>
  <c r="I31" i="27"/>
  <c r="J31" i="27"/>
  <c r="J43" i="27" s="1"/>
  <c r="J49" i="27" s="1"/>
  <c r="K31" i="27"/>
  <c r="L31" i="27"/>
  <c r="M31" i="27"/>
  <c r="M43" i="27" s="1"/>
  <c r="M49" i="27" s="1"/>
  <c r="N31" i="27"/>
  <c r="O31" i="27"/>
  <c r="AA31" i="27"/>
  <c r="AB31" i="27"/>
  <c r="AC31" i="27"/>
  <c r="AD31" i="27"/>
  <c r="AE31" i="27"/>
  <c r="AE43" i="27" s="1"/>
  <c r="AF31" i="27"/>
  <c r="AG31" i="27"/>
  <c r="AH31" i="27"/>
  <c r="AI31" i="27"/>
  <c r="AJ31" i="27"/>
  <c r="AJ43" i="27" s="1"/>
  <c r="AJ49" i="27" s="1"/>
  <c r="AK31" i="27"/>
  <c r="AL31" i="27"/>
  <c r="D42" i="27"/>
  <c r="F42" i="27"/>
  <c r="G42" i="27"/>
  <c r="H42" i="27"/>
  <c r="H48" i="27" s="1"/>
  <c r="I42" i="27"/>
  <c r="J42" i="27"/>
  <c r="K42" i="27"/>
  <c r="K48" i="27" s="1"/>
  <c r="L42" i="27"/>
  <c r="N42" i="27"/>
  <c r="O42" i="27"/>
  <c r="AA42" i="27"/>
  <c r="AB42" i="27"/>
  <c r="AC42" i="27"/>
  <c r="AE42" i="27"/>
  <c r="AF42" i="27"/>
  <c r="AH42" i="27"/>
  <c r="AH48" i="27" s="1"/>
  <c r="AI42" i="27"/>
  <c r="AJ42" i="27"/>
  <c r="AK42" i="27"/>
  <c r="D43" i="27"/>
  <c r="F43" i="27"/>
  <c r="F49" i="27" s="1"/>
  <c r="G43" i="27"/>
  <c r="H43" i="27"/>
  <c r="I43" i="27"/>
  <c r="K43" i="27"/>
  <c r="L43" i="27"/>
  <c r="N43" i="27"/>
  <c r="N49" i="27" s="1"/>
  <c r="O43" i="27"/>
  <c r="AA43" i="27"/>
  <c r="AC43" i="27"/>
  <c r="AD43" i="27"/>
  <c r="AF43" i="27"/>
  <c r="AF49" i="27" s="1"/>
  <c r="AG43" i="27"/>
  <c r="AH43" i="27"/>
  <c r="AI43" i="27"/>
  <c r="AI49" i="27" s="1"/>
  <c r="AK43" i="27"/>
  <c r="AL43" i="27"/>
  <c r="D48" i="27"/>
  <c r="F48" i="27"/>
  <c r="G48" i="27"/>
  <c r="I48" i="27"/>
  <c r="J48" i="27"/>
  <c r="L48" i="27"/>
  <c r="N48" i="27"/>
  <c r="O48" i="27"/>
  <c r="AA48" i="27"/>
  <c r="AB48" i="27"/>
  <c r="AC48" i="27"/>
  <c r="AM48" i="27" s="1"/>
  <c r="AE48" i="27"/>
  <c r="AF48" i="27"/>
  <c r="AI48" i="27"/>
  <c r="AJ48" i="27"/>
  <c r="AK48" i="27"/>
  <c r="D49" i="27"/>
  <c r="G49" i="27"/>
  <c r="H49" i="27"/>
  <c r="I49" i="27"/>
  <c r="K49" i="27"/>
  <c r="L49" i="27"/>
  <c r="O49" i="27"/>
  <c r="AC49" i="27"/>
  <c r="AD49" i="27"/>
  <c r="AG49" i="27"/>
  <c r="AH49" i="27"/>
  <c r="AK49" i="27"/>
  <c r="AL49" i="27"/>
  <c r="D52" i="27"/>
  <c r="E52" i="27"/>
  <c r="F52" i="27"/>
  <c r="G52" i="27"/>
  <c r="H52" i="27"/>
  <c r="H64" i="27" s="1"/>
  <c r="H70" i="27" s="1"/>
  <c r="I52" i="27"/>
  <c r="J52" i="27"/>
  <c r="K52" i="27"/>
  <c r="L52" i="27"/>
  <c r="M52" i="27"/>
  <c r="N52" i="27"/>
  <c r="O52" i="27"/>
  <c r="P52" i="27"/>
  <c r="AA52" i="27"/>
  <c r="AB52" i="27"/>
  <c r="AC52" i="27"/>
  <c r="AD52" i="27"/>
  <c r="AE52" i="27"/>
  <c r="AF52" i="27"/>
  <c r="AG52" i="27"/>
  <c r="AG64" i="27" s="1"/>
  <c r="AG70" i="27" s="1"/>
  <c r="AH52" i="27"/>
  <c r="AI52" i="27"/>
  <c r="AJ52" i="27"/>
  <c r="AJ64" i="27" s="1"/>
  <c r="AJ70" i="27" s="1"/>
  <c r="AK52" i="27"/>
  <c r="AL52" i="27"/>
  <c r="D53" i="27"/>
  <c r="E53" i="27"/>
  <c r="F53" i="27"/>
  <c r="G53" i="27"/>
  <c r="H53" i="27"/>
  <c r="H65" i="27" s="1"/>
  <c r="H71" i="27" s="1"/>
  <c r="I53" i="27"/>
  <c r="J53" i="27"/>
  <c r="K53" i="27"/>
  <c r="L53" i="27"/>
  <c r="M53" i="27"/>
  <c r="M65" i="27" s="1"/>
  <c r="M71" i="27" s="1"/>
  <c r="N53" i="27"/>
  <c r="O53" i="27"/>
  <c r="AA53" i="27"/>
  <c r="AB53" i="27"/>
  <c r="AC53" i="27"/>
  <c r="AD53" i="27"/>
  <c r="AE53" i="27"/>
  <c r="AE65" i="27" s="1"/>
  <c r="AE71" i="27" s="1"/>
  <c r="AF53" i="27"/>
  <c r="AG53" i="27"/>
  <c r="AH53" i="27"/>
  <c r="AH65" i="27" s="1"/>
  <c r="AH71" i="27" s="1"/>
  <c r="AI53" i="27"/>
  <c r="AJ53" i="27"/>
  <c r="AK53" i="27"/>
  <c r="AL53" i="27"/>
  <c r="AM53" i="27"/>
  <c r="D64" i="27"/>
  <c r="E64" i="27"/>
  <c r="F64" i="27"/>
  <c r="P64" i="27" s="1"/>
  <c r="G64" i="27"/>
  <c r="I64" i="27"/>
  <c r="J64" i="27"/>
  <c r="K64" i="27"/>
  <c r="K70" i="27" s="1"/>
  <c r="L64" i="27"/>
  <c r="M64" i="27"/>
  <c r="N64" i="27"/>
  <c r="N70" i="27" s="1"/>
  <c r="N263" i="27" s="1"/>
  <c r="O64" i="27"/>
  <c r="AA64" i="27"/>
  <c r="AC64" i="27"/>
  <c r="AC70" i="27" s="1"/>
  <c r="AD64" i="27"/>
  <c r="AE64" i="27"/>
  <c r="AF64" i="27"/>
  <c r="AH64" i="27"/>
  <c r="AI64" i="27"/>
  <c r="AK64" i="27"/>
  <c r="AK70" i="27" s="1"/>
  <c r="AL64" i="27"/>
  <c r="D65" i="27"/>
  <c r="F65" i="27"/>
  <c r="G65" i="27"/>
  <c r="I65" i="27"/>
  <c r="I71" i="27" s="1"/>
  <c r="J65" i="27"/>
  <c r="K65" i="27"/>
  <c r="L65" i="27"/>
  <c r="N65" i="27"/>
  <c r="O65" i="27"/>
  <c r="AA65" i="27"/>
  <c r="AB65" i="27"/>
  <c r="AC65" i="27"/>
  <c r="AD65" i="27"/>
  <c r="AD71" i="27" s="1"/>
  <c r="AF65" i="27"/>
  <c r="AG65" i="27"/>
  <c r="AI65" i="27"/>
  <c r="AI71" i="27" s="1"/>
  <c r="AJ65" i="27"/>
  <c r="AK65" i="27"/>
  <c r="AL65" i="27"/>
  <c r="AL71" i="27" s="1"/>
  <c r="D70" i="27"/>
  <c r="E70" i="27"/>
  <c r="G70" i="27"/>
  <c r="I70" i="27"/>
  <c r="J70" i="27"/>
  <c r="L70" i="27"/>
  <c r="M70" i="27"/>
  <c r="O70" i="27"/>
  <c r="AA70" i="27"/>
  <c r="AD70" i="27"/>
  <c r="AE70" i="27"/>
  <c r="AF70" i="27"/>
  <c r="AH70" i="27"/>
  <c r="AI70" i="27"/>
  <c r="AL70" i="27"/>
  <c r="D71" i="27"/>
  <c r="F71" i="27"/>
  <c r="G71" i="27"/>
  <c r="J71" i="27"/>
  <c r="K71" i="27"/>
  <c r="L71" i="27"/>
  <c r="N71" i="27"/>
  <c r="O71" i="27"/>
  <c r="AB71" i="27"/>
  <c r="AC71" i="27"/>
  <c r="AF71" i="27"/>
  <c r="AG71" i="27"/>
  <c r="AJ71" i="27"/>
  <c r="AK71" i="27"/>
  <c r="D74" i="27"/>
  <c r="D80" i="27" s="1"/>
  <c r="E74" i="27"/>
  <c r="F74" i="27"/>
  <c r="G74" i="27"/>
  <c r="H74" i="27"/>
  <c r="I74" i="27"/>
  <c r="J74" i="27"/>
  <c r="K74" i="27"/>
  <c r="L74" i="27"/>
  <c r="L80" i="27" s="1"/>
  <c r="M74" i="27"/>
  <c r="N74" i="27"/>
  <c r="O74" i="27"/>
  <c r="AA74" i="27"/>
  <c r="AB74" i="27"/>
  <c r="AC74" i="27"/>
  <c r="AC80" i="27" s="1"/>
  <c r="AC92" i="27" s="1"/>
  <c r="AD74" i="27"/>
  <c r="AE74" i="27"/>
  <c r="AF74" i="27"/>
  <c r="AG74" i="27"/>
  <c r="AH74" i="27"/>
  <c r="AH80" i="27" s="1"/>
  <c r="AH92" i="27" s="1"/>
  <c r="AI74" i="27"/>
  <c r="AJ74" i="27"/>
  <c r="AK74" i="27"/>
  <c r="AK80" i="27" s="1"/>
  <c r="AK92" i="27" s="1"/>
  <c r="AL74" i="27"/>
  <c r="D75" i="27"/>
  <c r="E75" i="27"/>
  <c r="F75" i="27"/>
  <c r="G75" i="27"/>
  <c r="H75" i="27"/>
  <c r="I75" i="27"/>
  <c r="I81" i="27" s="1"/>
  <c r="I93" i="27" s="1"/>
  <c r="J75" i="27"/>
  <c r="K75" i="27"/>
  <c r="L75" i="27"/>
  <c r="M75" i="27"/>
  <c r="N75" i="27"/>
  <c r="N81" i="27" s="1"/>
  <c r="N93" i="27" s="1"/>
  <c r="O75" i="27"/>
  <c r="AA75" i="27"/>
  <c r="AM75" i="27" s="1"/>
  <c r="AB75" i="27"/>
  <c r="AC75" i="27"/>
  <c r="AD75" i="27"/>
  <c r="AE75" i="27"/>
  <c r="AF75" i="27"/>
  <c r="AF81" i="27" s="1"/>
  <c r="AF93" i="27" s="1"/>
  <c r="AG75" i="27"/>
  <c r="AH75" i="27"/>
  <c r="AI75" i="27"/>
  <c r="AI81" i="27" s="1"/>
  <c r="AI93" i="27" s="1"/>
  <c r="AJ75" i="27"/>
  <c r="AK75" i="27"/>
  <c r="AL75" i="27"/>
  <c r="P78" i="27"/>
  <c r="P79" i="27"/>
  <c r="Q78" i="27" s="1"/>
  <c r="R78" i="27" s="1"/>
  <c r="E80" i="27"/>
  <c r="F80" i="27"/>
  <c r="G80" i="27"/>
  <c r="H80" i="27"/>
  <c r="H92" i="27" s="1"/>
  <c r="J80" i="27"/>
  <c r="K80" i="27"/>
  <c r="K92" i="27" s="1"/>
  <c r="M80" i="27"/>
  <c r="N80" i="27"/>
  <c r="O80" i="27"/>
  <c r="AA80" i="27"/>
  <c r="AB80" i="27"/>
  <c r="AD80" i="27"/>
  <c r="AD92" i="27" s="1"/>
  <c r="AE80" i="27"/>
  <c r="AF80" i="27"/>
  <c r="AG80" i="27"/>
  <c r="AI80" i="27"/>
  <c r="AI92" i="27" s="1"/>
  <c r="AJ80" i="27"/>
  <c r="AL80" i="27"/>
  <c r="AL92" i="27" s="1"/>
  <c r="D81" i="27"/>
  <c r="E81" i="27"/>
  <c r="G81" i="27"/>
  <c r="G93" i="27" s="1"/>
  <c r="H81" i="27"/>
  <c r="J81" i="27"/>
  <c r="J93" i="27" s="1"/>
  <c r="K81" i="27"/>
  <c r="L81" i="27"/>
  <c r="M81" i="27"/>
  <c r="O81" i="27"/>
  <c r="O93" i="27" s="1"/>
  <c r="AB81" i="27"/>
  <c r="AC81" i="27"/>
  <c r="AD81" i="27"/>
  <c r="AE81" i="27"/>
  <c r="AG81" i="27"/>
  <c r="AH81" i="27"/>
  <c r="AJ81" i="27"/>
  <c r="AK81" i="27"/>
  <c r="AL81" i="27"/>
  <c r="P82" i="27"/>
  <c r="AM82" i="27"/>
  <c r="D92" i="27"/>
  <c r="E92" i="27"/>
  <c r="F92" i="27"/>
  <c r="G92" i="27"/>
  <c r="J92" i="27"/>
  <c r="L92" i="27"/>
  <c r="M92" i="27"/>
  <c r="N92" i="27"/>
  <c r="O92" i="27"/>
  <c r="AB92" i="27"/>
  <c r="AE92" i="27"/>
  <c r="AF92" i="27"/>
  <c r="AG92" i="27"/>
  <c r="AJ92" i="27"/>
  <c r="D93" i="27"/>
  <c r="E93" i="27"/>
  <c r="H93" i="27"/>
  <c r="K93" i="27"/>
  <c r="L93" i="27"/>
  <c r="M93" i="27"/>
  <c r="AB93" i="27"/>
  <c r="AC93" i="27"/>
  <c r="AD93" i="27"/>
  <c r="AE93" i="27"/>
  <c r="AG93" i="27"/>
  <c r="AH93" i="27"/>
  <c r="AJ93" i="27"/>
  <c r="AK93" i="27"/>
  <c r="AL93" i="27"/>
  <c r="D96" i="27"/>
  <c r="E96" i="27"/>
  <c r="F96" i="27"/>
  <c r="G96" i="27"/>
  <c r="H96" i="27"/>
  <c r="H108" i="27" s="1"/>
  <c r="H114" i="27" s="1"/>
  <c r="I96" i="27"/>
  <c r="J96" i="27"/>
  <c r="K96" i="27"/>
  <c r="L96" i="27"/>
  <c r="M96" i="27"/>
  <c r="N96" i="27"/>
  <c r="O96" i="27"/>
  <c r="P96" i="27"/>
  <c r="AA96" i="27"/>
  <c r="AB96" i="27"/>
  <c r="AC96" i="27"/>
  <c r="AD96" i="27"/>
  <c r="AE96" i="27"/>
  <c r="AF96" i="27"/>
  <c r="AG96" i="27"/>
  <c r="AG108" i="27" s="1"/>
  <c r="AG114" i="27" s="1"/>
  <c r="AH96" i="27"/>
  <c r="AI96" i="27"/>
  <c r="AJ96" i="27"/>
  <c r="AJ108" i="27" s="1"/>
  <c r="AJ114" i="27" s="1"/>
  <c r="AK96" i="27"/>
  <c r="AL96" i="27"/>
  <c r="D97" i="27"/>
  <c r="E97" i="27"/>
  <c r="F97" i="27"/>
  <c r="G97" i="27"/>
  <c r="H97" i="27"/>
  <c r="H109" i="27" s="1"/>
  <c r="H115" i="27" s="1"/>
  <c r="I97" i="27"/>
  <c r="J97" i="27"/>
  <c r="K97" i="27"/>
  <c r="L97" i="27"/>
  <c r="M97" i="27"/>
  <c r="M109" i="27" s="1"/>
  <c r="N97" i="27"/>
  <c r="O97" i="27"/>
  <c r="AA97" i="27"/>
  <c r="AB97" i="27"/>
  <c r="AC97" i="27"/>
  <c r="AD97" i="27"/>
  <c r="AE97" i="27"/>
  <c r="AE109" i="27" s="1"/>
  <c r="AE115" i="27" s="1"/>
  <c r="AF97" i="27"/>
  <c r="AG97" i="27"/>
  <c r="AH97" i="27"/>
  <c r="AH109" i="27" s="1"/>
  <c r="AH115" i="27" s="1"/>
  <c r="AI97" i="27"/>
  <c r="AJ97" i="27"/>
  <c r="AK97" i="27"/>
  <c r="AL97" i="27"/>
  <c r="AM97" i="27"/>
  <c r="D108" i="27"/>
  <c r="E108" i="27"/>
  <c r="F108" i="27"/>
  <c r="P108" i="27" s="1"/>
  <c r="G108" i="27"/>
  <c r="I108" i="27"/>
  <c r="J108" i="27"/>
  <c r="K108" i="27"/>
  <c r="K114" i="27" s="1"/>
  <c r="L108" i="27"/>
  <c r="M108" i="27"/>
  <c r="N108" i="27"/>
  <c r="N114" i="27" s="1"/>
  <c r="O108" i="27"/>
  <c r="AA108" i="27"/>
  <c r="AC108" i="27"/>
  <c r="AC114" i="27" s="1"/>
  <c r="AD108" i="27"/>
  <c r="AE108" i="27"/>
  <c r="AF108" i="27"/>
  <c r="AH108" i="27"/>
  <c r="AI108" i="27"/>
  <c r="AK108" i="27"/>
  <c r="AK114" i="27" s="1"/>
  <c r="AL108" i="27"/>
  <c r="D109" i="27"/>
  <c r="F109" i="27"/>
  <c r="G109" i="27"/>
  <c r="I109" i="27"/>
  <c r="I115" i="27" s="1"/>
  <c r="J109" i="27"/>
  <c r="K109" i="27"/>
  <c r="L109" i="27"/>
  <c r="N109" i="27"/>
  <c r="O109" i="27"/>
  <c r="AA109" i="27"/>
  <c r="AB109" i="27"/>
  <c r="AC109" i="27"/>
  <c r="AD109" i="27"/>
  <c r="AD115" i="27" s="1"/>
  <c r="AF109" i="27"/>
  <c r="AG109" i="27"/>
  <c r="AI109" i="27"/>
  <c r="AI115" i="27" s="1"/>
  <c r="AJ109" i="27"/>
  <c r="AK109" i="27"/>
  <c r="AL109" i="27"/>
  <c r="AL115" i="27" s="1"/>
  <c r="D114" i="27"/>
  <c r="E114" i="27"/>
  <c r="G114" i="27"/>
  <c r="I114" i="27"/>
  <c r="J114" i="27"/>
  <c r="L114" i="27"/>
  <c r="M114" i="27"/>
  <c r="O114" i="27"/>
  <c r="AA114" i="27"/>
  <c r="AD114" i="27"/>
  <c r="AE114" i="27"/>
  <c r="AF114" i="27"/>
  <c r="AH114" i="27"/>
  <c r="AI114" i="27"/>
  <c r="AL114" i="27"/>
  <c r="D115" i="27"/>
  <c r="F115" i="27"/>
  <c r="G115" i="27"/>
  <c r="J115" i="27"/>
  <c r="K115" i="27"/>
  <c r="L115" i="27"/>
  <c r="N115" i="27"/>
  <c r="O115" i="27"/>
  <c r="AB115" i="27"/>
  <c r="AC115" i="27"/>
  <c r="AF115" i="27"/>
  <c r="AG115" i="27"/>
  <c r="AJ115" i="27"/>
  <c r="AK115" i="27"/>
  <c r="D119" i="27"/>
  <c r="E119" i="27"/>
  <c r="F119" i="27"/>
  <c r="G119" i="27"/>
  <c r="H119" i="27"/>
  <c r="H123" i="27" s="1"/>
  <c r="H137" i="27" s="1"/>
  <c r="I119" i="27"/>
  <c r="J119" i="27"/>
  <c r="K119" i="27"/>
  <c r="L119" i="27"/>
  <c r="M119" i="27"/>
  <c r="N119" i="27"/>
  <c r="O119" i="27"/>
  <c r="P119" i="27"/>
  <c r="AA119" i="27"/>
  <c r="AB119" i="27"/>
  <c r="AB125" i="27" s="1"/>
  <c r="AB137" i="27" s="1"/>
  <c r="AC119" i="27"/>
  <c r="AD119" i="27"/>
  <c r="AE119" i="27"/>
  <c r="AF119" i="27"/>
  <c r="AG119" i="27"/>
  <c r="AG125" i="27" s="1"/>
  <c r="AG137" i="27" s="1"/>
  <c r="AH119" i="27"/>
  <c r="AI119" i="27"/>
  <c r="AJ119" i="27"/>
  <c r="AJ125" i="27" s="1"/>
  <c r="AJ137" i="27" s="1"/>
  <c r="AK119" i="27"/>
  <c r="AL119" i="27"/>
  <c r="D120" i="27"/>
  <c r="E120" i="27"/>
  <c r="F120" i="27"/>
  <c r="G120" i="27"/>
  <c r="H120" i="27"/>
  <c r="I120" i="27"/>
  <c r="J120" i="27"/>
  <c r="K120" i="27"/>
  <c r="L120" i="27"/>
  <c r="M120" i="27"/>
  <c r="N120" i="27"/>
  <c r="O120" i="27"/>
  <c r="AA120" i="27"/>
  <c r="AB120" i="27"/>
  <c r="AC120" i="27"/>
  <c r="AD120" i="27"/>
  <c r="AE120" i="27"/>
  <c r="AE126" i="27" s="1"/>
  <c r="AE138" i="27" s="1"/>
  <c r="AF120" i="27"/>
  <c r="AG120" i="27"/>
  <c r="AH120" i="27"/>
  <c r="AH126" i="27" s="1"/>
  <c r="AH138" i="27" s="1"/>
  <c r="AI120" i="27"/>
  <c r="AJ120" i="27"/>
  <c r="AK120" i="27"/>
  <c r="AL120" i="27"/>
  <c r="AM120" i="27"/>
  <c r="D123" i="27"/>
  <c r="E123" i="27"/>
  <c r="F123" i="27"/>
  <c r="P123" i="27" s="1"/>
  <c r="G123" i="27"/>
  <c r="I123" i="27"/>
  <c r="J123" i="27"/>
  <c r="K123" i="27"/>
  <c r="K137" i="27" s="1"/>
  <c r="L123" i="27"/>
  <c r="M123" i="27"/>
  <c r="N123" i="27"/>
  <c r="N137" i="27" s="1"/>
  <c r="O123" i="27"/>
  <c r="AM123" i="27"/>
  <c r="D124" i="27"/>
  <c r="E124" i="27"/>
  <c r="F124" i="27"/>
  <c r="G124" i="27"/>
  <c r="H124" i="27"/>
  <c r="H138" i="27" s="1"/>
  <c r="I124" i="27"/>
  <c r="J124" i="27"/>
  <c r="K124" i="27"/>
  <c r="L124" i="27"/>
  <c r="M124" i="27"/>
  <c r="M138" i="27" s="1"/>
  <c r="N124" i="27"/>
  <c r="O124" i="27"/>
  <c r="AM124" i="27"/>
  <c r="AA125" i="27"/>
  <c r="AC125" i="27"/>
  <c r="AD125" i="27"/>
  <c r="AE125" i="27"/>
  <c r="AF125" i="27"/>
  <c r="AH125" i="27"/>
  <c r="AI125" i="27"/>
  <c r="AK125" i="27"/>
  <c r="AL125" i="27"/>
  <c r="AL137" i="27" s="1"/>
  <c r="AA126" i="27"/>
  <c r="AM126" i="27" s="1"/>
  <c r="AB126" i="27"/>
  <c r="AB138" i="27" s="1"/>
  <c r="AC126" i="27"/>
  <c r="AD126" i="27"/>
  <c r="AF126" i="27"/>
  <c r="AG126" i="27"/>
  <c r="AG138" i="27" s="1"/>
  <c r="AI126" i="27"/>
  <c r="AJ126" i="27"/>
  <c r="AJ138" i="27" s="1"/>
  <c r="AK126" i="27"/>
  <c r="AL126" i="27"/>
  <c r="D137" i="27"/>
  <c r="E137" i="27"/>
  <c r="G137" i="27"/>
  <c r="I137" i="27"/>
  <c r="J137" i="27"/>
  <c r="L137" i="27"/>
  <c r="M137" i="27"/>
  <c r="O137" i="27"/>
  <c r="AA137" i="27"/>
  <c r="AC137" i="27"/>
  <c r="AD137" i="27"/>
  <c r="AE137" i="27"/>
  <c r="AF137" i="27"/>
  <c r="AH137" i="27"/>
  <c r="AI137" i="27"/>
  <c r="AK137" i="27"/>
  <c r="D138" i="27"/>
  <c r="F138" i="27"/>
  <c r="G138" i="27"/>
  <c r="I138" i="27"/>
  <c r="J138" i="27"/>
  <c r="K138" i="27"/>
  <c r="L138" i="27"/>
  <c r="N138" i="27"/>
  <c r="O138" i="27"/>
  <c r="AA138" i="27"/>
  <c r="AC138" i="27"/>
  <c r="AD138" i="27"/>
  <c r="AF138" i="27"/>
  <c r="AI138" i="27"/>
  <c r="AK138" i="27"/>
  <c r="AL138" i="27"/>
  <c r="D141" i="27"/>
  <c r="P141" i="27" s="1"/>
  <c r="E141" i="27"/>
  <c r="F141" i="27"/>
  <c r="G141" i="27"/>
  <c r="H141" i="27"/>
  <c r="I141" i="27"/>
  <c r="I145" i="27" s="1"/>
  <c r="I159" i="27" s="1"/>
  <c r="J141" i="27"/>
  <c r="K141" i="27"/>
  <c r="L141" i="27"/>
  <c r="M141" i="27"/>
  <c r="N141" i="27"/>
  <c r="O141" i="27"/>
  <c r="AA141" i="27"/>
  <c r="AB141" i="27"/>
  <c r="AC141" i="27"/>
  <c r="AD141" i="27"/>
  <c r="AE141" i="27"/>
  <c r="AF141" i="27"/>
  <c r="AG141" i="27"/>
  <c r="AH141" i="27"/>
  <c r="AH145" i="27" s="1"/>
  <c r="AH159" i="27" s="1"/>
  <c r="AI141" i="27"/>
  <c r="AJ141" i="27"/>
  <c r="AK141" i="27"/>
  <c r="AK145" i="27" s="1"/>
  <c r="AK159" i="27" s="1"/>
  <c r="AL141" i="27"/>
  <c r="D142" i="27"/>
  <c r="E142" i="27"/>
  <c r="F142" i="27"/>
  <c r="F146" i="27" s="1"/>
  <c r="F160" i="27" s="1"/>
  <c r="G142" i="27"/>
  <c r="H142" i="27"/>
  <c r="I142" i="27"/>
  <c r="I146" i="27" s="1"/>
  <c r="I160" i="27" s="1"/>
  <c r="J142" i="27"/>
  <c r="K142" i="27"/>
  <c r="L142" i="27"/>
  <c r="M142" i="27"/>
  <c r="N142" i="27"/>
  <c r="N146" i="27" s="1"/>
  <c r="N160" i="27" s="1"/>
  <c r="N285" i="27" s="1"/>
  <c r="O142" i="27"/>
  <c r="AA142" i="27"/>
  <c r="AM142" i="27" s="1"/>
  <c r="AB142" i="27"/>
  <c r="AC142" i="27"/>
  <c r="AD142" i="27"/>
  <c r="AE142" i="27"/>
  <c r="AF142" i="27"/>
  <c r="AF146" i="27" s="1"/>
  <c r="AF160" i="27" s="1"/>
  <c r="AG142" i="27"/>
  <c r="AH142" i="27"/>
  <c r="AI142" i="27"/>
  <c r="AI146" i="27" s="1"/>
  <c r="AI160" i="27" s="1"/>
  <c r="AJ142" i="27"/>
  <c r="AK142" i="27"/>
  <c r="AL142" i="27"/>
  <c r="D145" i="27"/>
  <c r="E145" i="27"/>
  <c r="F145" i="27"/>
  <c r="G145" i="27"/>
  <c r="G159" i="27" s="1"/>
  <c r="H145" i="27"/>
  <c r="J145" i="27"/>
  <c r="K145" i="27"/>
  <c r="L145" i="27"/>
  <c r="L159" i="27" s="1"/>
  <c r="M145" i="27"/>
  <c r="N145" i="27"/>
  <c r="O145" i="27"/>
  <c r="O159" i="27" s="1"/>
  <c r="AA145" i="27"/>
  <c r="AB145" i="27"/>
  <c r="AD145" i="27"/>
  <c r="AD159" i="27" s="1"/>
  <c r="AE145" i="27"/>
  <c r="AF145" i="27"/>
  <c r="AG145" i="27"/>
  <c r="AI145" i="27"/>
  <c r="AJ145" i="27"/>
  <c r="AL145" i="27"/>
  <c r="AL159" i="27" s="1"/>
  <c r="D146" i="27"/>
  <c r="E146" i="27"/>
  <c r="G146" i="27"/>
  <c r="H146" i="27"/>
  <c r="J146" i="27"/>
  <c r="J160" i="27" s="1"/>
  <c r="K146" i="27"/>
  <c r="L146" i="27"/>
  <c r="M146" i="27"/>
  <c r="O146" i="27"/>
  <c r="AB146" i="27"/>
  <c r="AB160" i="27" s="1"/>
  <c r="AC146" i="27"/>
  <c r="AD146" i="27"/>
  <c r="AE146" i="27"/>
  <c r="AE160" i="27" s="1"/>
  <c r="AG146" i="27"/>
  <c r="AH146" i="27"/>
  <c r="AJ146" i="27"/>
  <c r="AJ160" i="27" s="1"/>
  <c r="AK146" i="27"/>
  <c r="AL146" i="27"/>
  <c r="E159" i="27"/>
  <c r="F159" i="27"/>
  <c r="H159" i="27"/>
  <c r="J159" i="27"/>
  <c r="K159" i="27"/>
  <c r="M159" i="27"/>
  <c r="N159" i="27"/>
  <c r="AA159" i="27"/>
  <c r="AB159" i="27"/>
  <c r="AE159" i="27"/>
  <c r="AF159" i="27"/>
  <c r="AG159" i="27"/>
  <c r="AI159" i="27"/>
  <c r="AJ159" i="27"/>
  <c r="D160" i="27"/>
  <c r="E160" i="27"/>
  <c r="G160" i="27"/>
  <c r="H160" i="27"/>
  <c r="K160" i="27"/>
  <c r="L160" i="27"/>
  <c r="M160" i="27"/>
  <c r="O160" i="27"/>
  <c r="AC160" i="27"/>
  <c r="AD160" i="27"/>
  <c r="AG160" i="27"/>
  <c r="AH160" i="27"/>
  <c r="AK160" i="27"/>
  <c r="AL160" i="27"/>
  <c r="D163" i="27"/>
  <c r="E163" i="27"/>
  <c r="F163" i="27"/>
  <c r="G163" i="27"/>
  <c r="H163" i="27"/>
  <c r="I163" i="27"/>
  <c r="J163" i="27"/>
  <c r="K163" i="27"/>
  <c r="L163" i="27"/>
  <c r="L169" i="27" s="1"/>
  <c r="L181" i="27" s="1"/>
  <c r="M163" i="27"/>
  <c r="N163" i="27"/>
  <c r="O163" i="27"/>
  <c r="AA163" i="27"/>
  <c r="AB163" i="27"/>
  <c r="AC163" i="27"/>
  <c r="AD163" i="27"/>
  <c r="AE163" i="27"/>
  <c r="AF163" i="27"/>
  <c r="AG163" i="27"/>
  <c r="AH163" i="27"/>
  <c r="AI163" i="27"/>
  <c r="AJ163" i="27"/>
  <c r="AK163" i="27"/>
  <c r="AK169" i="27" s="1"/>
  <c r="AK181" i="27" s="1"/>
  <c r="AL163" i="27"/>
  <c r="D164" i="27"/>
  <c r="P164" i="27" s="1"/>
  <c r="E164" i="27"/>
  <c r="F164" i="27"/>
  <c r="G164" i="27"/>
  <c r="H164" i="27"/>
  <c r="I164" i="27"/>
  <c r="I170" i="27" s="1"/>
  <c r="I182" i="27" s="1"/>
  <c r="J164" i="27"/>
  <c r="K164" i="27"/>
  <c r="L164" i="27"/>
  <c r="M164" i="27"/>
  <c r="N164" i="27"/>
  <c r="O164" i="27"/>
  <c r="AA164" i="27"/>
  <c r="AB164" i="27"/>
  <c r="AC164" i="27"/>
  <c r="AD164" i="27"/>
  <c r="AE164" i="27"/>
  <c r="AF164" i="27"/>
  <c r="AG164" i="27"/>
  <c r="AH164" i="27"/>
  <c r="AI164" i="27"/>
  <c r="AI170" i="27" s="1"/>
  <c r="AI182" i="27" s="1"/>
  <c r="AJ164" i="27"/>
  <c r="AK164" i="27"/>
  <c r="AL164" i="27"/>
  <c r="P167" i="27"/>
  <c r="P168" i="27"/>
  <c r="E169" i="27"/>
  <c r="E181" i="27" s="1"/>
  <c r="F169" i="27"/>
  <c r="G169" i="27"/>
  <c r="H169" i="27"/>
  <c r="I169" i="27"/>
  <c r="J169" i="27"/>
  <c r="K169" i="27"/>
  <c r="M169" i="27"/>
  <c r="M181" i="27" s="1"/>
  <c r="N169" i="27"/>
  <c r="O169" i="27"/>
  <c r="AA169" i="27"/>
  <c r="AB169" i="27"/>
  <c r="AD169" i="27"/>
  <c r="AE169" i="27"/>
  <c r="AF169" i="27"/>
  <c r="AF181" i="27" s="1"/>
  <c r="AF263" i="27" s="1"/>
  <c r="AG169" i="27"/>
  <c r="AH169" i="27"/>
  <c r="AI169" i="27"/>
  <c r="AJ169" i="27"/>
  <c r="AL169" i="27"/>
  <c r="D170" i="27"/>
  <c r="D182" i="27" s="1"/>
  <c r="E170" i="27"/>
  <c r="F170" i="27"/>
  <c r="G170" i="27"/>
  <c r="H170" i="27"/>
  <c r="J170" i="27"/>
  <c r="K170" i="27"/>
  <c r="L170" i="27"/>
  <c r="L182" i="27" s="1"/>
  <c r="M170" i="27"/>
  <c r="N170" i="27"/>
  <c r="O170" i="27"/>
  <c r="AB170" i="27"/>
  <c r="AC170" i="27"/>
  <c r="AD170" i="27"/>
  <c r="AE170" i="27"/>
  <c r="AE182" i="27" s="1"/>
  <c r="AF170" i="27"/>
  <c r="AG170" i="27"/>
  <c r="AH170" i="27"/>
  <c r="AJ170" i="27"/>
  <c r="AK170" i="27"/>
  <c r="AL170" i="27"/>
  <c r="F181" i="27"/>
  <c r="G181" i="27"/>
  <c r="H181" i="27"/>
  <c r="I181" i="27"/>
  <c r="J181" i="27"/>
  <c r="K181" i="27"/>
  <c r="N181" i="27"/>
  <c r="O181" i="27"/>
  <c r="AA181" i="27"/>
  <c r="AB181" i="27"/>
  <c r="AD181" i="27"/>
  <c r="AE181" i="27"/>
  <c r="AG181" i="27"/>
  <c r="AH181" i="27"/>
  <c r="AI181" i="27"/>
  <c r="AJ181" i="27"/>
  <c r="AL181" i="27"/>
  <c r="E182" i="27"/>
  <c r="F182" i="27"/>
  <c r="G182" i="27"/>
  <c r="H182" i="27"/>
  <c r="P182" i="27" s="1"/>
  <c r="R182" i="27" s="1"/>
  <c r="J182" i="27"/>
  <c r="K182" i="27"/>
  <c r="M182" i="27"/>
  <c r="N182" i="27"/>
  <c r="O182" i="27"/>
  <c r="AB182" i="27"/>
  <c r="AC182" i="27"/>
  <c r="AD182" i="27"/>
  <c r="AF182" i="27"/>
  <c r="AG182" i="27"/>
  <c r="AH182" i="27"/>
  <c r="AJ182" i="27"/>
  <c r="AK182" i="27"/>
  <c r="AL182" i="27"/>
  <c r="D185" i="27"/>
  <c r="E185" i="27"/>
  <c r="F185" i="27"/>
  <c r="G185" i="27"/>
  <c r="H185" i="27"/>
  <c r="I185" i="27"/>
  <c r="J185" i="27"/>
  <c r="K185" i="27"/>
  <c r="L185" i="27"/>
  <c r="M185" i="27"/>
  <c r="M189" i="27" s="1"/>
  <c r="M203" i="27" s="1"/>
  <c r="N185" i="27"/>
  <c r="O185" i="27"/>
  <c r="AA185" i="27"/>
  <c r="AB185" i="27"/>
  <c r="AC185" i="27"/>
  <c r="AD185" i="27"/>
  <c r="AE185" i="27"/>
  <c r="AF185" i="27"/>
  <c r="AG185" i="27"/>
  <c r="AH185" i="27"/>
  <c r="AI185" i="27"/>
  <c r="AJ185" i="27"/>
  <c r="AK185" i="27"/>
  <c r="AL185" i="27"/>
  <c r="AL189" i="27" s="1"/>
  <c r="AL203" i="27" s="1"/>
  <c r="D186" i="27"/>
  <c r="E186" i="27"/>
  <c r="P186" i="27" s="1"/>
  <c r="F186" i="27"/>
  <c r="G186" i="27"/>
  <c r="H186" i="27"/>
  <c r="I186" i="27"/>
  <c r="J186" i="27"/>
  <c r="J190" i="27" s="1"/>
  <c r="J204" i="27" s="1"/>
  <c r="K186" i="27"/>
  <c r="L186" i="27"/>
  <c r="M186" i="27"/>
  <c r="N186" i="27"/>
  <c r="O186" i="27"/>
  <c r="AA186" i="27"/>
  <c r="AB186" i="27"/>
  <c r="AC186" i="27"/>
  <c r="AD186" i="27"/>
  <c r="AE186" i="27"/>
  <c r="AF186" i="27"/>
  <c r="AG186" i="27"/>
  <c r="AH186" i="27"/>
  <c r="AI186" i="27"/>
  <c r="AJ186" i="27"/>
  <c r="AJ190" i="27" s="1"/>
  <c r="AJ204" i="27" s="1"/>
  <c r="AK186" i="27"/>
  <c r="AL186" i="27"/>
  <c r="D189" i="27"/>
  <c r="F189" i="27"/>
  <c r="G189" i="27"/>
  <c r="H189" i="27"/>
  <c r="H203" i="27" s="1"/>
  <c r="I189" i="27"/>
  <c r="J189" i="27"/>
  <c r="K189" i="27"/>
  <c r="L189" i="27"/>
  <c r="N189" i="27"/>
  <c r="O189" i="27"/>
  <c r="AA189" i="27"/>
  <c r="AB189" i="27"/>
  <c r="AC189" i="27"/>
  <c r="AE189" i="27"/>
  <c r="AF189" i="27"/>
  <c r="AG189" i="27"/>
  <c r="AH189" i="27"/>
  <c r="AH203" i="27" s="1"/>
  <c r="AI189" i="27"/>
  <c r="AJ189" i="27"/>
  <c r="AK189" i="27"/>
  <c r="D190" i="27"/>
  <c r="E190" i="27"/>
  <c r="F190" i="27"/>
  <c r="G190" i="27"/>
  <c r="H190" i="27"/>
  <c r="I190" i="27"/>
  <c r="K190" i="27"/>
  <c r="L190" i="27"/>
  <c r="M190" i="27"/>
  <c r="N190" i="27"/>
  <c r="N204" i="27" s="1"/>
  <c r="O190" i="27"/>
  <c r="AA190" i="27"/>
  <c r="AC190" i="27"/>
  <c r="AD190" i="27"/>
  <c r="AE190" i="27"/>
  <c r="AF190" i="27"/>
  <c r="AF204" i="27" s="1"/>
  <c r="AG190" i="27"/>
  <c r="AH190" i="27"/>
  <c r="AI190" i="27"/>
  <c r="AK190" i="27"/>
  <c r="AL190" i="27"/>
  <c r="D203" i="27"/>
  <c r="F203" i="27"/>
  <c r="G203" i="27"/>
  <c r="I203" i="27"/>
  <c r="J203" i="27"/>
  <c r="K203" i="27"/>
  <c r="L203" i="27"/>
  <c r="N203" i="27"/>
  <c r="O203" i="27"/>
  <c r="AA203" i="27"/>
  <c r="AB203" i="27"/>
  <c r="AC203" i="27"/>
  <c r="AE203" i="27"/>
  <c r="AF203" i="27"/>
  <c r="AG203" i="27"/>
  <c r="AI203" i="27"/>
  <c r="AJ203" i="27"/>
  <c r="AK203" i="27"/>
  <c r="D204" i="27"/>
  <c r="E204" i="27"/>
  <c r="G204" i="27"/>
  <c r="H204" i="27"/>
  <c r="I204" i="27"/>
  <c r="K204" i="27"/>
  <c r="L204" i="27"/>
  <c r="M204" i="27"/>
  <c r="O204" i="27"/>
  <c r="AA204" i="27"/>
  <c r="AC204" i="27"/>
  <c r="AD204" i="27"/>
  <c r="AE204" i="27"/>
  <c r="AG204" i="27"/>
  <c r="AH204" i="27"/>
  <c r="AI204" i="27"/>
  <c r="AK204" i="27"/>
  <c r="AL204" i="27"/>
  <c r="D207" i="27"/>
  <c r="E207" i="27"/>
  <c r="F207" i="27"/>
  <c r="G207" i="27"/>
  <c r="H207" i="27"/>
  <c r="H215" i="27" s="1"/>
  <c r="H225" i="27" s="1"/>
  <c r="I207" i="27"/>
  <c r="J207" i="27"/>
  <c r="K207" i="27"/>
  <c r="L207" i="27"/>
  <c r="M207" i="27"/>
  <c r="N207" i="27"/>
  <c r="O207" i="27"/>
  <c r="P207" i="27"/>
  <c r="AA207" i="27"/>
  <c r="AB207" i="27"/>
  <c r="AC207" i="27"/>
  <c r="AD207" i="27"/>
  <c r="AE207" i="27"/>
  <c r="AF207" i="27"/>
  <c r="AG207" i="27"/>
  <c r="AG215" i="27" s="1"/>
  <c r="AG225" i="27" s="1"/>
  <c r="AH207" i="27"/>
  <c r="AI207" i="27"/>
  <c r="AJ207" i="27"/>
  <c r="AK207" i="27"/>
  <c r="AL207" i="27"/>
  <c r="D208" i="27"/>
  <c r="E208" i="27"/>
  <c r="F208" i="27"/>
  <c r="G208" i="27"/>
  <c r="H208" i="27"/>
  <c r="I208" i="27"/>
  <c r="J208" i="27"/>
  <c r="K208" i="27"/>
  <c r="L208" i="27"/>
  <c r="M208" i="27"/>
  <c r="M216" i="27" s="1"/>
  <c r="N208" i="27"/>
  <c r="O208" i="27"/>
  <c r="AA208" i="27"/>
  <c r="AB208" i="27"/>
  <c r="AC208" i="27"/>
  <c r="AD208" i="27"/>
  <c r="AE208" i="27"/>
  <c r="AE216" i="27" s="1"/>
  <c r="AF208" i="27"/>
  <c r="AG208" i="27"/>
  <c r="AH208" i="27"/>
  <c r="AI208" i="27"/>
  <c r="AJ208" i="27"/>
  <c r="AK208" i="27"/>
  <c r="AL208" i="27"/>
  <c r="AM208" i="27"/>
  <c r="D215" i="27"/>
  <c r="E215" i="27"/>
  <c r="F215" i="27"/>
  <c r="P215" i="27" s="1"/>
  <c r="G215" i="27"/>
  <c r="I215" i="27"/>
  <c r="J215" i="27"/>
  <c r="K215" i="27"/>
  <c r="K225" i="27" s="1"/>
  <c r="L215" i="27"/>
  <c r="M215" i="27"/>
  <c r="N215" i="27"/>
  <c r="O215" i="27"/>
  <c r="AA215" i="27"/>
  <c r="AB215" i="27"/>
  <c r="AC215" i="27"/>
  <c r="AD215" i="27"/>
  <c r="AE215" i="27"/>
  <c r="AF215" i="27"/>
  <c r="AH215" i="27"/>
  <c r="AI215" i="27"/>
  <c r="AJ215" i="27"/>
  <c r="AK215" i="27"/>
  <c r="AK225" i="27" s="1"/>
  <c r="AL215" i="27"/>
  <c r="D216" i="27"/>
  <c r="F216" i="27"/>
  <c r="G216" i="27"/>
  <c r="H216" i="27"/>
  <c r="I216" i="27"/>
  <c r="I226" i="27" s="1"/>
  <c r="J216" i="27"/>
  <c r="K216" i="27"/>
  <c r="L216" i="27"/>
  <c r="L226" i="27" s="1"/>
  <c r="N216" i="27"/>
  <c r="O216" i="27"/>
  <c r="AA216" i="27"/>
  <c r="AB216" i="27"/>
  <c r="AC216" i="27"/>
  <c r="AD216" i="27"/>
  <c r="AD226" i="27" s="1"/>
  <c r="AF216" i="27"/>
  <c r="AG216" i="27"/>
  <c r="AH216" i="27"/>
  <c r="AI216" i="27"/>
  <c r="AJ216" i="27"/>
  <c r="AK216" i="27"/>
  <c r="AK226" i="27" s="1"/>
  <c r="AL216" i="27"/>
  <c r="AL226" i="27" s="1"/>
  <c r="AL285" i="27" s="1"/>
  <c r="D225" i="27"/>
  <c r="E225" i="27"/>
  <c r="F225" i="27"/>
  <c r="G225" i="27"/>
  <c r="I225" i="27"/>
  <c r="J225" i="27"/>
  <c r="L225" i="27"/>
  <c r="M225" i="27"/>
  <c r="N225" i="27"/>
  <c r="O225" i="27"/>
  <c r="AA225" i="27"/>
  <c r="AB225" i="27"/>
  <c r="AD225" i="27"/>
  <c r="AE225" i="27"/>
  <c r="AF225" i="27"/>
  <c r="AH225" i="27"/>
  <c r="AI225" i="27"/>
  <c r="AJ225" i="27"/>
  <c r="AL225" i="27"/>
  <c r="D226" i="27"/>
  <c r="F226" i="27"/>
  <c r="G226" i="27"/>
  <c r="H226" i="27"/>
  <c r="J226" i="27"/>
  <c r="K226" i="27"/>
  <c r="M226" i="27"/>
  <c r="N226" i="27"/>
  <c r="O226" i="27"/>
  <c r="AA226" i="27"/>
  <c r="AB226" i="27"/>
  <c r="AC226" i="27"/>
  <c r="AE226" i="27"/>
  <c r="AF226" i="27"/>
  <c r="AG226" i="27"/>
  <c r="AH226" i="27"/>
  <c r="AI226" i="27"/>
  <c r="AJ226" i="27"/>
  <c r="P229" i="27"/>
  <c r="Q229" i="27"/>
  <c r="AA229" i="27"/>
  <c r="AA280" i="27" s="1"/>
  <c r="AB229" i="27"/>
  <c r="AC229" i="27"/>
  <c r="AD229" i="27"/>
  <c r="AE229" i="27"/>
  <c r="AF229" i="27"/>
  <c r="AG229" i="27"/>
  <c r="AH229" i="27"/>
  <c r="AM229" i="27" s="1"/>
  <c r="AI229" i="27"/>
  <c r="AI280" i="27" s="1"/>
  <c r="AJ229" i="27"/>
  <c r="AK229" i="27"/>
  <c r="AL229" i="27"/>
  <c r="P230" i="27"/>
  <c r="AA230" i="27"/>
  <c r="AB230" i="27"/>
  <c r="AC230" i="27"/>
  <c r="AD230" i="27"/>
  <c r="AD232" i="27" s="1"/>
  <c r="AD234" i="27" s="1"/>
  <c r="AE230" i="27"/>
  <c r="AF230" i="27"/>
  <c r="AG230" i="27"/>
  <c r="AH230" i="27"/>
  <c r="AI230" i="27"/>
  <c r="AI232" i="27" s="1"/>
  <c r="AJ230" i="27"/>
  <c r="AJ232" i="27" s="1"/>
  <c r="AK230" i="27"/>
  <c r="AL230" i="27"/>
  <c r="AL232" i="27" s="1"/>
  <c r="AL234" i="27" s="1"/>
  <c r="D231" i="27"/>
  <c r="E231" i="27"/>
  <c r="F231" i="27"/>
  <c r="G231" i="27"/>
  <c r="G233" i="27" s="1"/>
  <c r="H231" i="27"/>
  <c r="H233" i="27" s="1"/>
  <c r="I231" i="27"/>
  <c r="J231" i="27"/>
  <c r="J233" i="27" s="1"/>
  <c r="K231" i="27"/>
  <c r="L231" i="27"/>
  <c r="M231" i="27"/>
  <c r="N231" i="27"/>
  <c r="O231" i="27"/>
  <c r="O233" i="27" s="1"/>
  <c r="P231" i="27"/>
  <c r="AA231" i="27"/>
  <c r="AA233" i="27" s="1"/>
  <c r="AB231" i="27"/>
  <c r="AB233" i="27" s="1"/>
  <c r="AC231" i="27"/>
  <c r="AD231" i="27"/>
  <c r="AE231" i="27"/>
  <c r="AE233" i="27" s="1"/>
  <c r="AF231" i="27"/>
  <c r="AF233" i="27" s="1"/>
  <c r="AG231" i="27"/>
  <c r="AH231" i="27"/>
  <c r="AM231" i="27" s="1"/>
  <c r="AI231" i="27"/>
  <c r="AI233" i="27" s="1"/>
  <c r="AJ231" i="27"/>
  <c r="AJ233" i="27" s="1"/>
  <c r="AK231" i="27"/>
  <c r="AL231" i="27"/>
  <c r="D232" i="27"/>
  <c r="D234" i="27" s="1"/>
  <c r="E232" i="27"/>
  <c r="F232" i="27"/>
  <c r="G232" i="27"/>
  <c r="G234" i="27" s="1"/>
  <c r="H232" i="27"/>
  <c r="H234" i="27" s="1"/>
  <c r="I232" i="27"/>
  <c r="J232" i="27"/>
  <c r="K232" i="27"/>
  <c r="K234" i="27" s="1"/>
  <c r="L232" i="27"/>
  <c r="L234" i="27" s="1"/>
  <c r="M232" i="27"/>
  <c r="N232" i="27"/>
  <c r="O232" i="27"/>
  <c r="O234" i="27" s="1"/>
  <c r="AC232" i="27"/>
  <c r="AC234" i="27" s="1"/>
  <c r="AE232" i="27"/>
  <c r="AF232" i="27"/>
  <c r="AF234" i="27" s="1"/>
  <c r="AG232" i="27"/>
  <c r="AG234" i="27" s="1"/>
  <c r="AH232" i="27"/>
  <c r="AK232" i="27"/>
  <c r="AK234" i="27" s="1"/>
  <c r="D233" i="27"/>
  <c r="P233" i="27" s="1"/>
  <c r="E233" i="27"/>
  <c r="F233" i="27"/>
  <c r="I233" i="27"/>
  <c r="K233" i="27"/>
  <c r="L233" i="27"/>
  <c r="M233" i="27"/>
  <c r="N233" i="27"/>
  <c r="R233" i="27"/>
  <c r="AC233" i="27"/>
  <c r="AD233" i="27"/>
  <c r="AG233" i="27"/>
  <c r="AH233" i="27"/>
  <c r="AK233" i="27"/>
  <c r="AL233" i="27"/>
  <c r="E234" i="27"/>
  <c r="F234" i="27"/>
  <c r="I234" i="27"/>
  <c r="J234" i="27"/>
  <c r="M234" i="27"/>
  <c r="N234" i="27"/>
  <c r="AE234" i="27"/>
  <c r="AH234" i="27"/>
  <c r="AI234" i="27"/>
  <c r="D237" i="27"/>
  <c r="E237" i="27"/>
  <c r="F237" i="27"/>
  <c r="F239" i="27" s="1"/>
  <c r="F241" i="27" s="1"/>
  <c r="G237" i="27"/>
  <c r="H237" i="27"/>
  <c r="I237" i="27"/>
  <c r="J237" i="27"/>
  <c r="J239" i="27" s="1"/>
  <c r="J241" i="27" s="1"/>
  <c r="K237" i="27"/>
  <c r="L237" i="27"/>
  <c r="M237" i="27"/>
  <c r="N237" i="27"/>
  <c r="N239" i="27" s="1"/>
  <c r="N241" i="27" s="1"/>
  <c r="O237" i="27"/>
  <c r="AA237" i="27"/>
  <c r="AB237" i="27"/>
  <c r="AC237" i="27"/>
  <c r="AD237" i="27"/>
  <c r="AE237" i="27"/>
  <c r="AF237" i="27"/>
  <c r="AG237" i="27"/>
  <c r="AG239" i="27" s="1"/>
  <c r="AH237" i="27"/>
  <c r="AI237" i="27"/>
  <c r="AI239" i="27" s="1"/>
  <c r="AI241" i="27" s="1"/>
  <c r="AJ237" i="27"/>
  <c r="AK237" i="27"/>
  <c r="AL237" i="27"/>
  <c r="AL239" i="27" s="1"/>
  <c r="D238" i="27"/>
  <c r="E238" i="27"/>
  <c r="E240" i="27" s="1"/>
  <c r="F238" i="27"/>
  <c r="G238" i="27"/>
  <c r="G281" i="27" s="1"/>
  <c r="H238" i="27"/>
  <c r="I238" i="27"/>
  <c r="J238" i="27"/>
  <c r="K238" i="27"/>
  <c r="L238" i="27"/>
  <c r="M238" i="27"/>
  <c r="M240" i="27" s="1"/>
  <c r="M283" i="27" s="1"/>
  <c r="N238" i="27"/>
  <c r="N240" i="27" s="1"/>
  <c r="N242" i="27" s="1"/>
  <c r="O238" i="27"/>
  <c r="O281" i="27" s="1"/>
  <c r="AA238" i="27"/>
  <c r="AB238" i="27"/>
  <c r="AM238" i="27" s="1"/>
  <c r="AC238" i="27"/>
  <c r="AD238" i="27"/>
  <c r="AE238" i="27"/>
  <c r="AF238" i="27"/>
  <c r="AF240" i="27" s="1"/>
  <c r="AF242" i="27" s="1"/>
  <c r="AG238" i="27"/>
  <c r="AG240" i="27" s="1"/>
  <c r="AH238" i="27"/>
  <c r="AI238" i="27"/>
  <c r="AJ238" i="27"/>
  <c r="AK238" i="27"/>
  <c r="AL238" i="27"/>
  <c r="D239" i="27"/>
  <c r="G239" i="27"/>
  <c r="H239" i="27"/>
  <c r="K239" i="27"/>
  <c r="L239" i="27"/>
  <c r="L241" i="27" s="1"/>
  <c r="O239" i="27"/>
  <c r="AB239" i="27"/>
  <c r="AC239" i="27"/>
  <c r="AC241" i="27" s="1"/>
  <c r="AD239" i="27"/>
  <c r="AD241" i="27" s="1"/>
  <c r="AE239" i="27"/>
  <c r="AE241" i="27" s="1"/>
  <c r="AF239" i="27"/>
  <c r="AJ239" i="27"/>
  <c r="AK239" i="27"/>
  <c r="D240" i="27"/>
  <c r="F240" i="27"/>
  <c r="F242" i="27" s="1"/>
  <c r="H240" i="27"/>
  <c r="I240" i="27"/>
  <c r="J240" i="27"/>
  <c r="J242" i="27" s="1"/>
  <c r="K240" i="27"/>
  <c r="K242" i="27" s="1"/>
  <c r="L240" i="27"/>
  <c r="AA240" i="27"/>
  <c r="AA242" i="27" s="1"/>
  <c r="AC240" i="27"/>
  <c r="AD240" i="27"/>
  <c r="AE240" i="27"/>
  <c r="AH240" i="27"/>
  <c r="AI240" i="27"/>
  <c r="AI242" i="27" s="1"/>
  <c r="AJ240" i="27"/>
  <c r="AJ242" i="27" s="1"/>
  <c r="AK240" i="27"/>
  <c r="AK242" i="27" s="1"/>
  <c r="AL240" i="27"/>
  <c r="D241" i="27"/>
  <c r="G241" i="27"/>
  <c r="K241" i="27"/>
  <c r="O241" i="27"/>
  <c r="AB241" i="27"/>
  <c r="AF241" i="27"/>
  <c r="AG241" i="27"/>
  <c r="AJ241" i="27"/>
  <c r="AJ284" i="27" s="1"/>
  <c r="AK241" i="27"/>
  <c r="D242" i="27"/>
  <c r="H242" i="27"/>
  <c r="I242" i="27"/>
  <c r="L242" i="27"/>
  <c r="M242" i="27"/>
  <c r="AD242" i="27"/>
  <c r="AE242" i="27"/>
  <c r="AG242" i="27"/>
  <c r="AH242" i="27"/>
  <c r="AL242" i="27"/>
  <c r="D245" i="27"/>
  <c r="E245" i="27"/>
  <c r="E247" i="27" s="1"/>
  <c r="E249" i="27" s="1"/>
  <c r="F245" i="27"/>
  <c r="G245" i="27"/>
  <c r="G247" i="27" s="1"/>
  <c r="H245" i="27"/>
  <c r="H247" i="27" s="1"/>
  <c r="H249" i="27" s="1"/>
  <c r="I245" i="27"/>
  <c r="J245" i="27"/>
  <c r="K245" i="27"/>
  <c r="K280" i="27" s="1"/>
  <c r="L245" i="27"/>
  <c r="L247" i="27" s="1"/>
  <c r="M245" i="27"/>
  <c r="M247" i="27" s="1"/>
  <c r="M249" i="27" s="1"/>
  <c r="N245" i="27"/>
  <c r="O245" i="27"/>
  <c r="O247" i="27" s="1"/>
  <c r="AA245" i="27"/>
  <c r="AB245" i="27"/>
  <c r="AC245" i="27"/>
  <c r="AC247" i="27" s="1"/>
  <c r="AD245" i="27"/>
  <c r="AE245" i="27"/>
  <c r="AE247" i="27" s="1"/>
  <c r="AF245" i="27"/>
  <c r="AG245" i="27"/>
  <c r="AH245" i="27"/>
  <c r="AI245" i="27"/>
  <c r="AJ245" i="27"/>
  <c r="AK245" i="27"/>
  <c r="AK280" i="27" s="1"/>
  <c r="AL245" i="27"/>
  <c r="AM245" i="27"/>
  <c r="D246" i="27"/>
  <c r="E246" i="27"/>
  <c r="E248" i="27" s="1"/>
  <c r="F246" i="27"/>
  <c r="G246" i="27"/>
  <c r="H246" i="27"/>
  <c r="I246" i="27"/>
  <c r="I281" i="27" s="1"/>
  <c r="J246" i="27"/>
  <c r="K246" i="27"/>
  <c r="L246" i="27"/>
  <c r="M246" i="27"/>
  <c r="N246" i="27"/>
  <c r="O246" i="27"/>
  <c r="AA246" i="27"/>
  <c r="AB246" i="27"/>
  <c r="AB248" i="27" s="1"/>
  <c r="AC246" i="27"/>
  <c r="AC248" i="27" s="1"/>
  <c r="AC250" i="27" s="1"/>
  <c r="AD246" i="27"/>
  <c r="AE246" i="27"/>
  <c r="AF246" i="27"/>
  <c r="AF248" i="27" s="1"/>
  <c r="AG246" i="27"/>
  <c r="AH246" i="27"/>
  <c r="AI246" i="27"/>
  <c r="AJ246" i="27"/>
  <c r="AJ248" i="27" s="1"/>
  <c r="AK246" i="27"/>
  <c r="AK248" i="27" s="1"/>
  <c r="AK250" i="27" s="1"/>
  <c r="AL246" i="27"/>
  <c r="D247" i="27"/>
  <c r="F247" i="27"/>
  <c r="I247" i="27"/>
  <c r="I249" i="27" s="1"/>
  <c r="J247" i="27"/>
  <c r="K247" i="27"/>
  <c r="N247" i="27"/>
  <c r="AA247" i="27"/>
  <c r="AB247" i="27"/>
  <c r="AD247" i="27"/>
  <c r="AF247" i="27"/>
  <c r="AG247" i="27"/>
  <c r="AG292" i="27" s="1"/>
  <c r="AH247" i="27"/>
  <c r="AH249" i="27" s="1"/>
  <c r="AI247" i="27"/>
  <c r="AJ247" i="27"/>
  <c r="AK247" i="27"/>
  <c r="AL247" i="27"/>
  <c r="AL249" i="27" s="1"/>
  <c r="D248" i="27"/>
  <c r="F248" i="27"/>
  <c r="F250" i="27" s="1"/>
  <c r="G248" i="27"/>
  <c r="G250" i="27" s="1"/>
  <c r="H248" i="27"/>
  <c r="J248" i="27"/>
  <c r="L248" i="27"/>
  <c r="M248" i="27"/>
  <c r="N248" i="27"/>
  <c r="N250" i="27" s="1"/>
  <c r="O248" i="27"/>
  <c r="O250" i="27" s="1"/>
  <c r="AA248" i="27"/>
  <c r="AD248" i="27"/>
  <c r="AE248" i="27"/>
  <c r="AG248" i="27"/>
  <c r="AH248" i="27"/>
  <c r="AI248" i="27"/>
  <c r="AI293" i="27" s="1"/>
  <c r="AL248" i="27"/>
  <c r="D249" i="27"/>
  <c r="F249" i="27"/>
  <c r="J249" i="27"/>
  <c r="N249" i="27"/>
  <c r="O249" i="27"/>
  <c r="AB249" i="27"/>
  <c r="AF249" i="27"/>
  <c r="AG249" i="27"/>
  <c r="AJ249" i="27"/>
  <c r="AK249" i="27"/>
  <c r="D250" i="27"/>
  <c r="H250" i="27"/>
  <c r="J250" i="27"/>
  <c r="L250" i="27"/>
  <c r="M250" i="27"/>
  <c r="AA250" i="27"/>
  <c r="AD250" i="27"/>
  <c r="AH250" i="27"/>
  <c r="AI250" i="27"/>
  <c r="AL250" i="27"/>
  <c r="D253" i="27"/>
  <c r="P253" i="27" s="1"/>
  <c r="E253" i="27"/>
  <c r="F253" i="27"/>
  <c r="G253" i="27"/>
  <c r="G255" i="27" s="1"/>
  <c r="H253" i="27"/>
  <c r="H255" i="27" s="1"/>
  <c r="H257" i="27" s="1"/>
  <c r="I253" i="27"/>
  <c r="I255" i="27" s="1"/>
  <c r="J253" i="27"/>
  <c r="K253" i="27"/>
  <c r="K255" i="27" s="1"/>
  <c r="K257" i="27" s="1"/>
  <c r="L253" i="27"/>
  <c r="M253" i="27"/>
  <c r="N253" i="27"/>
  <c r="O253" i="27"/>
  <c r="O255" i="27" s="1"/>
  <c r="O257" i="27" s="1"/>
  <c r="AA253" i="27"/>
  <c r="AB253" i="27"/>
  <c r="AC253" i="27"/>
  <c r="AD253" i="27"/>
  <c r="AE253" i="27"/>
  <c r="AF253" i="27"/>
  <c r="AG253" i="27"/>
  <c r="AH253" i="27"/>
  <c r="AI253" i="27"/>
  <c r="AI255" i="27" s="1"/>
  <c r="AI257" i="27" s="1"/>
  <c r="AJ253" i="27"/>
  <c r="AK253" i="27"/>
  <c r="AK255" i="27" s="1"/>
  <c r="AK257" i="27" s="1"/>
  <c r="AL253" i="27"/>
  <c r="D254" i="27"/>
  <c r="E254" i="27"/>
  <c r="F254" i="27"/>
  <c r="G254" i="27"/>
  <c r="G256" i="27" s="1"/>
  <c r="G258" i="27" s="1"/>
  <c r="H254" i="27"/>
  <c r="I254" i="27"/>
  <c r="J254" i="27"/>
  <c r="J281" i="27" s="1"/>
  <c r="K254" i="27"/>
  <c r="L254" i="27"/>
  <c r="M254" i="27"/>
  <c r="N254" i="27"/>
  <c r="N256" i="27" s="1"/>
  <c r="O254" i="27"/>
  <c r="O256" i="27" s="1"/>
  <c r="O258" i="27" s="1"/>
  <c r="AA254" i="27"/>
  <c r="AB254" i="27"/>
  <c r="AC254" i="27"/>
  <c r="AD254" i="27"/>
  <c r="AE254" i="27"/>
  <c r="AF254" i="27"/>
  <c r="AG254" i="27"/>
  <c r="AG256" i="27" s="1"/>
  <c r="AH254" i="27"/>
  <c r="AI254" i="27"/>
  <c r="AJ254" i="27"/>
  <c r="AK254" i="27"/>
  <c r="AL254" i="27"/>
  <c r="AM254" i="27"/>
  <c r="E255" i="27"/>
  <c r="E257" i="27" s="1"/>
  <c r="F255" i="27"/>
  <c r="J255" i="27"/>
  <c r="L255" i="27"/>
  <c r="L257" i="27" s="1"/>
  <c r="M255" i="27"/>
  <c r="M257" i="27" s="1"/>
  <c r="N255" i="27"/>
  <c r="AB255" i="27"/>
  <c r="AC255" i="27"/>
  <c r="AC257" i="27" s="1"/>
  <c r="AD255" i="27"/>
  <c r="AD257" i="27" s="1"/>
  <c r="AE255" i="27"/>
  <c r="AE257" i="27" s="1"/>
  <c r="AF255" i="27"/>
  <c r="AG255" i="27"/>
  <c r="AG257" i="27" s="1"/>
  <c r="AH255" i="27"/>
  <c r="AJ255" i="27"/>
  <c r="AL255" i="27"/>
  <c r="AL257" i="27" s="1"/>
  <c r="D256" i="27"/>
  <c r="E256" i="27"/>
  <c r="F256" i="27"/>
  <c r="F258" i="27" s="1"/>
  <c r="H256" i="27"/>
  <c r="I256" i="27"/>
  <c r="I258" i="27" s="1"/>
  <c r="K256" i="27"/>
  <c r="K258" i="27" s="1"/>
  <c r="L256" i="27"/>
  <c r="M256" i="27"/>
  <c r="M258" i="27" s="1"/>
  <c r="AA256" i="27"/>
  <c r="AA258" i="27" s="1"/>
  <c r="AB256" i="27"/>
  <c r="AB258" i="27" s="1"/>
  <c r="AC256" i="27"/>
  <c r="AD256" i="27"/>
  <c r="AF256" i="27"/>
  <c r="AF258" i="27" s="1"/>
  <c r="AH256" i="27"/>
  <c r="AI256" i="27"/>
  <c r="AI258" i="27" s="1"/>
  <c r="AJ256" i="27"/>
  <c r="AJ258" i="27" s="1"/>
  <c r="AK256" i="27"/>
  <c r="AL256" i="27"/>
  <c r="F257" i="27"/>
  <c r="G257" i="27"/>
  <c r="I257" i="27"/>
  <c r="J257" i="27"/>
  <c r="N257" i="27"/>
  <c r="AB257" i="27"/>
  <c r="AF257" i="27"/>
  <c r="AH257" i="27"/>
  <c r="AJ257" i="27"/>
  <c r="D258" i="27"/>
  <c r="E258" i="27"/>
  <c r="H258" i="27"/>
  <c r="L258" i="27"/>
  <c r="L285" i="27" s="1"/>
  <c r="N258" i="27"/>
  <c r="AC258" i="27"/>
  <c r="AD258" i="27"/>
  <c r="AG258" i="27"/>
  <c r="AH258" i="27"/>
  <c r="AK258" i="27"/>
  <c r="AL258" i="27"/>
  <c r="AB260" i="27"/>
  <c r="AF260" i="27"/>
  <c r="AG260" i="27"/>
  <c r="AH260" i="27"/>
  <c r="AJ260" i="27"/>
  <c r="AD261" i="27"/>
  <c r="AH261" i="27"/>
  <c r="AK261" i="27"/>
  <c r="AL261" i="27"/>
  <c r="D275" i="27"/>
  <c r="F275" i="27"/>
  <c r="J275" i="27"/>
  <c r="N275" i="27"/>
  <c r="AF275" i="27"/>
  <c r="AI275" i="27"/>
  <c r="AJ275" i="27"/>
  <c r="D276" i="27"/>
  <c r="H276" i="27"/>
  <c r="J276" i="27"/>
  <c r="L276" i="27"/>
  <c r="AD276" i="27"/>
  <c r="AH276" i="27"/>
  <c r="AK276" i="27"/>
  <c r="AL276" i="27"/>
  <c r="D280" i="27"/>
  <c r="F280" i="27"/>
  <c r="G280" i="27"/>
  <c r="H280" i="27"/>
  <c r="J280" i="27"/>
  <c r="L280" i="27"/>
  <c r="N280" i="27"/>
  <c r="AB280" i="27"/>
  <c r="AD280" i="27"/>
  <c r="AF280" i="27"/>
  <c r="AG280" i="27"/>
  <c r="AJ280" i="27"/>
  <c r="AL280" i="27"/>
  <c r="D281" i="27"/>
  <c r="E281" i="27"/>
  <c r="H281" i="27"/>
  <c r="L281" i="27"/>
  <c r="M281" i="27"/>
  <c r="AA281" i="27"/>
  <c r="AD281" i="27"/>
  <c r="AH281" i="27"/>
  <c r="AI281" i="27"/>
  <c r="AJ281" i="27"/>
  <c r="AL281" i="27"/>
  <c r="F282" i="27"/>
  <c r="J282" i="27"/>
  <c r="N282" i="27"/>
  <c r="AF282" i="27"/>
  <c r="AJ282" i="27"/>
  <c r="D283" i="27"/>
  <c r="F283" i="27"/>
  <c r="H283" i="27"/>
  <c r="L283" i="27"/>
  <c r="AD283" i="27"/>
  <c r="AH283" i="27"/>
  <c r="AI283" i="27"/>
  <c r="AL283" i="27"/>
  <c r="J284" i="27"/>
  <c r="AF284" i="27"/>
  <c r="AG284" i="27"/>
  <c r="H285" i="27"/>
  <c r="AD285" i="27"/>
  <c r="AH285" i="27"/>
  <c r="AA290" i="27"/>
  <c r="AC290" i="27"/>
  <c r="AD290" i="27"/>
  <c r="AE290" i="27"/>
  <c r="AF290" i="27"/>
  <c r="AG290" i="27"/>
  <c r="AH290" i="27"/>
  <c r="AI290" i="27"/>
  <c r="AJ290" i="27"/>
  <c r="AK290" i="27"/>
  <c r="AL290" i="27"/>
  <c r="D291" i="27"/>
  <c r="F291" i="27"/>
  <c r="G291" i="27"/>
  <c r="H291" i="27"/>
  <c r="I291" i="27"/>
  <c r="J291" i="27"/>
  <c r="K291" i="27"/>
  <c r="L291" i="27"/>
  <c r="M291" i="27"/>
  <c r="N291" i="27"/>
  <c r="O291" i="27"/>
  <c r="R291" i="27"/>
  <c r="AA291" i="27"/>
  <c r="AC291" i="27"/>
  <c r="AD291" i="27"/>
  <c r="AE291" i="27"/>
  <c r="AF291" i="27"/>
  <c r="AG291" i="27"/>
  <c r="AH291" i="27"/>
  <c r="AI291" i="27"/>
  <c r="AJ291" i="27"/>
  <c r="AK291" i="27"/>
  <c r="AL291" i="27"/>
  <c r="D292" i="27"/>
  <c r="F292" i="27"/>
  <c r="G292" i="27"/>
  <c r="H292" i="27"/>
  <c r="I292" i="27"/>
  <c r="J292" i="27"/>
  <c r="K292" i="27"/>
  <c r="L292" i="27"/>
  <c r="M292" i="27"/>
  <c r="N292" i="27"/>
  <c r="O292" i="27"/>
  <c r="AB292" i="27"/>
  <c r="AF292" i="27"/>
  <c r="AI292" i="27"/>
  <c r="AJ292" i="27"/>
  <c r="AL292" i="27"/>
  <c r="F293" i="27"/>
  <c r="J293" i="27"/>
  <c r="N293" i="27"/>
  <c r="AD293" i="27"/>
  <c r="AH293" i="27"/>
  <c r="AJ293" i="27"/>
  <c r="AK293" i="27"/>
  <c r="AL293" i="27"/>
  <c r="D294" i="27"/>
  <c r="H294" i="27"/>
  <c r="L294" i="27"/>
  <c r="H122" i="26"/>
  <c r="G122" i="26"/>
  <c r="F122" i="26"/>
  <c r="E122" i="26"/>
  <c r="D122" i="26"/>
  <c r="C122" i="26"/>
  <c r="L121" i="26"/>
  <c r="H121" i="26"/>
  <c r="G121" i="26"/>
  <c r="F121" i="26"/>
  <c r="E121" i="26"/>
  <c r="D121" i="26"/>
  <c r="C121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N119" i="26"/>
  <c r="M119" i="26"/>
  <c r="L119" i="26"/>
  <c r="K119" i="26"/>
  <c r="J119" i="26"/>
  <c r="I119" i="26"/>
  <c r="H119" i="26"/>
  <c r="G119" i="26"/>
  <c r="O119" i="26" s="1"/>
  <c r="F119" i="26"/>
  <c r="E119" i="26"/>
  <c r="D119" i="26"/>
  <c r="C119" i="26"/>
  <c r="H111" i="26"/>
  <c r="G111" i="26"/>
  <c r="F111" i="26"/>
  <c r="E111" i="26"/>
  <c r="D111" i="26"/>
  <c r="C111" i="26"/>
  <c r="H110" i="26"/>
  <c r="G110" i="26"/>
  <c r="F110" i="26"/>
  <c r="E110" i="26"/>
  <c r="D110" i="26"/>
  <c r="C110" i="26"/>
  <c r="O109" i="26"/>
  <c r="O102" i="26"/>
  <c r="H94" i="26"/>
  <c r="J93" i="26"/>
  <c r="N92" i="26"/>
  <c r="N94" i="26" s="1"/>
  <c r="M92" i="26"/>
  <c r="M94" i="26" s="1"/>
  <c r="L92" i="26"/>
  <c r="L94" i="26" s="1"/>
  <c r="K92" i="26"/>
  <c r="K94" i="26" s="1"/>
  <c r="J92" i="26"/>
  <c r="J94" i="26" s="1"/>
  <c r="I92" i="26"/>
  <c r="I94" i="26" s="1"/>
  <c r="H92" i="26"/>
  <c r="G92" i="26"/>
  <c r="G94" i="26" s="1"/>
  <c r="F92" i="26"/>
  <c r="F94" i="26" s="1"/>
  <c r="E92" i="26"/>
  <c r="E94" i="26" s="1"/>
  <c r="D92" i="26"/>
  <c r="D94" i="26" s="1"/>
  <c r="C92" i="26"/>
  <c r="C94" i="26" s="1"/>
  <c r="O94" i="26" s="1"/>
  <c r="AC91" i="26"/>
  <c r="AC93" i="26" s="1"/>
  <c r="U91" i="26"/>
  <c r="S91" i="26"/>
  <c r="N91" i="26"/>
  <c r="N93" i="26" s="1"/>
  <c r="M91" i="26"/>
  <c r="M93" i="26" s="1"/>
  <c r="L91" i="26"/>
  <c r="L93" i="26" s="1"/>
  <c r="K91" i="26"/>
  <c r="K93" i="26" s="1"/>
  <c r="J91" i="26"/>
  <c r="I91" i="26"/>
  <c r="I93" i="26" s="1"/>
  <c r="H91" i="26"/>
  <c r="H93" i="26" s="1"/>
  <c r="G91" i="26"/>
  <c r="G93" i="26" s="1"/>
  <c r="F91" i="26"/>
  <c r="F93" i="26" s="1"/>
  <c r="E91" i="26"/>
  <c r="E93" i="26" s="1"/>
  <c r="D91" i="26"/>
  <c r="D93" i="26" s="1"/>
  <c r="C91" i="26"/>
  <c r="A91" i="26"/>
  <c r="AF90" i="26"/>
  <c r="AF92" i="26" s="1"/>
  <c r="AE90" i="26"/>
  <c r="AE92" i="26" s="1"/>
  <c r="AD90" i="26"/>
  <c r="AD92" i="26" s="1"/>
  <c r="AC90" i="26"/>
  <c r="AC92" i="26" s="1"/>
  <c r="AB90" i="26"/>
  <c r="AB92" i="26" s="1"/>
  <c r="AA90" i="26"/>
  <c r="AA92" i="26" s="1"/>
  <c r="Z90" i="26"/>
  <c r="Z92" i="26" s="1"/>
  <c r="Y90" i="26"/>
  <c r="Y92" i="26" s="1"/>
  <c r="X90" i="26"/>
  <c r="X92" i="26" s="1"/>
  <c r="W90" i="26"/>
  <c r="W92" i="26" s="1"/>
  <c r="V90" i="26"/>
  <c r="V92" i="26" s="1"/>
  <c r="U90" i="26"/>
  <c r="U92" i="26" s="1"/>
  <c r="AG92" i="26" s="1"/>
  <c r="O90" i="26"/>
  <c r="AF89" i="26"/>
  <c r="AF91" i="26" s="1"/>
  <c r="AF93" i="26" s="1"/>
  <c r="AE89" i="26"/>
  <c r="AE91" i="26" s="1"/>
  <c r="AE93" i="26" s="1"/>
  <c r="AD89" i="26"/>
  <c r="AD91" i="26" s="1"/>
  <c r="AD93" i="26" s="1"/>
  <c r="AC89" i="26"/>
  <c r="AB89" i="26"/>
  <c r="AB91" i="26" s="1"/>
  <c r="AB93" i="26" s="1"/>
  <c r="AA89" i="26"/>
  <c r="AA91" i="26" s="1"/>
  <c r="AA93" i="26" s="1"/>
  <c r="Z89" i="26"/>
  <c r="Z91" i="26" s="1"/>
  <c r="Z93" i="26" s="1"/>
  <c r="Y89" i="26"/>
  <c r="Y91" i="26" s="1"/>
  <c r="Y93" i="26" s="1"/>
  <c r="X89" i="26"/>
  <c r="X91" i="26" s="1"/>
  <c r="X93" i="26" s="1"/>
  <c r="W89" i="26"/>
  <c r="W91" i="26" s="1"/>
  <c r="W93" i="26" s="1"/>
  <c r="V89" i="26"/>
  <c r="V91" i="26" s="1"/>
  <c r="V93" i="26" s="1"/>
  <c r="U89" i="26"/>
  <c r="O89" i="26"/>
  <c r="H88" i="26"/>
  <c r="J87" i="26"/>
  <c r="N86" i="26"/>
  <c r="N88" i="26" s="1"/>
  <c r="M86" i="26"/>
  <c r="M88" i="26" s="1"/>
  <c r="L86" i="26"/>
  <c r="L88" i="26" s="1"/>
  <c r="K86" i="26"/>
  <c r="K88" i="26" s="1"/>
  <c r="J86" i="26"/>
  <c r="J88" i="26" s="1"/>
  <c r="I86" i="26"/>
  <c r="I88" i="26" s="1"/>
  <c r="H86" i="26"/>
  <c r="G86" i="26"/>
  <c r="G88" i="26" s="1"/>
  <c r="F86" i="26"/>
  <c r="F88" i="26" s="1"/>
  <c r="E86" i="26"/>
  <c r="E88" i="26" s="1"/>
  <c r="D86" i="26"/>
  <c r="D88" i="26" s="1"/>
  <c r="C86" i="26"/>
  <c r="Z85" i="26"/>
  <c r="Z87" i="26" s="1"/>
  <c r="Y85" i="26"/>
  <c r="Y87" i="26" s="1"/>
  <c r="S85" i="26"/>
  <c r="N85" i="26"/>
  <c r="N87" i="26" s="1"/>
  <c r="M85" i="26"/>
  <c r="M87" i="26" s="1"/>
  <c r="L85" i="26"/>
  <c r="L87" i="26" s="1"/>
  <c r="K85" i="26"/>
  <c r="K87" i="26" s="1"/>
  <c r="J85" i="26"/>
  <c r="I85" i="26"/>
  <c r="I87" i="26" s="1"/>
  <c r="H85" i="26"/>
  <c r="H87" i="26" s="1"/>
  <c r="G85" i="26"/>
  <c r="G87" i="26" s="1"/>
  <c r="F85" i="26"/>
  <c r="F87" i="26" s="1"/>
  <c r="E85" i="26"/>
  <c r="E87" i="26" s="1"/>
  <c r="D85" i="26"/>
  <c r="D87" i="26" s="1"/>
  <c r="C85" i="26"/>
  <c r="C87" i="26" s="1"/>
  <c r="A85" i="26"/>
  <c r="AF84" i="26"/>
  <c r="AE84" i="26"/>
  <c r="AD84" i="26"/>
  <c r="AC84" i="26"/>
  <c r="AB84" i="26"/>
  <c r="AB86" i="26" s="1"/>
  <c r="AA84" i="26"/>
  <c r="Z84" i="26"/>
  <c r="Y84" i="26"/>
  <c r="X84" i="26"/>
  <c r="W84" i="26"/>
  <c r="V84" i="26"/>
  <c r="U84" i="26"/>
  <c r="O84" i="26"/>
  <c r="AF83" i="26"/>
  <c r="AF95" i="26" s="1"/>
  <c r="AE83" i="26"/>
  <c r="AD83" i="26"/>
  <c r="AD95" i="26" s="1"/>
  <c r="AC83" i="26"/>
  <c r="AC95" i="26" s="1"/>
  <c r="AB83" i="26"/>
  <c r="AA83" i="26"/>
  <c r="Z83" i="26"/>
  <c r="Z95" i="26" s="1"/>
  <c r="Y83" i="26"/>
  <c r="Y95" i="26" s="1"/>
  <c r="X83" i="26"/>
  <c r="X95" i="26" s="1"/>
  <c r="W83" i="26"/>
  <c r="V83" i="26"/>
  <c r="V95" i="26" s="1"/>
  <c r="U83" i="26"/>
  <c r="U95" i="26" s="1"/>
  <c r="O83" i="26"/>
  <c r="M82" i="26"/>
  <c r="L82" i="26"/>
  <c r="E82" i="26"/>
  <c r="D82" i="26"/>
  <c r="G81" i="26"/>
  <c r="AC80" i="26"/>
  <c r="U80" i="26"/>
  <c r="N80" i="26"/>
  <c r="N82" i="26" s="1"/>
  <c r="M80" i="26"/>
  <c r="L80" i="26"/>
  <c r="K80" i="26"/>
  <c r="K82" i="26" s="1"/>
  <c r="J80" i="26"/>
  <c r="J82" i="26" s="1"/>
  <c r="I80" i="26"/>
  <c r="I82" i="26" s="1"/>
  <c r="H80" i="26"/>
  <c r="H82" i="26" s="1"/>
  <c r="G80" i="26"/>
  <c r="G82" i="26" s="1"/>
  <c r="F80" i="26"/>
  <c r="F82" i="26" s="1"/>
  <c r="E80" i="26"/>
  <c r="D80" i="26"/>
  <c r="C80" i="26"/>
  <c r="Z79" i="26"/>
  <c r="Z81" i="26" s="1"/>
  <c r="Y79" i="26"/>
  <c r="Y81" i="26" s="1"/>
  <c r="S79" i="26"/>
  <c r="N79" i="26"/>
  <c r="N81" i="26" s="1"/>
  <c r="M79" i="26"/>
  <c r="M81" i="26" s="1"/>
  <c r="L79" i="26"/>
  <c r="L81" i="26" s="1"/>
  <c r="K79" i="26"/>
  <c r="K81" i="26" s="1"/>
  <c r="J79" i="26"/>
  <c r="J81" i="26" s="1"/>
  <c r="I79" i="26"/>
  <c r="I81" i="26" s="1"/>
  <c r="H79" i="26"/>
  <c r="H81" i="26" s="1"/>
  <c r="G79" i="26"/>
  <c r="F79" i="26"/>
  <c r="F81" i="26" s="1"/>
  <c r="E79" i="26"/>
  <c r="E81" i="26" s="1"/>
  <c r="D79" i="26"/>
  <c r="D81" i="26" s="1"/>
  <c r="C79" i="26"/>
  <c r="C81" i="26" s="1"/>
  <c r="A79" i="26"/>
  <c r="AF78" i="26"/>
  <c r="AF80" i="26" s="1"/>
  <c r="AE78" i="26"/>
  <c r="AE80" i="26" s="1"/>
  <c r="AD78" i="26"/>
  <c r="AD80" i="26" s="1"/>
  <c r="AC78" i="26"/>
  <c r="AB78" i="26"/>
  <c r="AB80" i="26" s="1"/>
  <c r="AA78" i="26"/>
  <c r="AA80" i="26" s="1"/>
  <c r="Z78" i="26"/>
  <c r="Z80" i="26" s="1"/>
  <c r="Y78" i="26"/>
  <c r="Y80" i="26" s="1"/>
  <c r="X78" i="26"/>
  <c r="X80" i="26" s="1"/>
  <c r="W78" i="26"/>
  <c r="W80" i="26" s="1"/>
  <c r="V78" i="26"/>
  <c r="V80" i="26" s="1"/>
  <c r="U78" i="26"/>
  <c r="O78" i="26"/>
  <c r="AF77" i="26"/>
  <c r="AF79" i="26" s="1"/>
  <c r="AF81" i="26" s="1"/>
  <c r="AE77" i="26"/>
  <c r="AE79" i="26" s="1"/>
  <c r="AE81" i="26" s="1"/>
  <c r="AD77" i="26"/>
  <c r="AD79" i="26" s="1"/>
  <c r="AD81" i="26" s="1"/>
  <c r="AC77" i="26"/>
  <c r="AC79" i="26" s="1"/>
  <c r="AC81" i="26" s="1"/>
  <c r="AB77" i="26"/>
  <c r="AB79" i="26" s="1"/>
  <c r="AB81" i="26" s="1"/>
  <c r="AA77" i="26"/>
  <c r="AA79" i="26" s="1"/>
  <c r="AA81" i="26" s="1"/>
  <c r="Z77" i="26"/>
  <c r="Y77" i="26"/>
  <c r="X77" i="26"/>
  <c r="X79" i="26" s="1"/>
  <c r="X81" i="26" s="1"/>
  <c r="W77" i="26"/>
  <c r="W79" i="26" s="1"/>
  <c r="W81" i="26" s="1"/>
  <c r="V77" i="26"/>
  <c r="V79" i="26" s="1"/>
  <c r="V81" i="26" s="1"/>
  <c r="U77" i="26"/>
  <c r="O77" i="26"/>
  <c r="D76" i="26"/>
  <c r="C76" i="26"/>
  <c r="Y75" i="26"/>
  <c r="E75" i="26"/>
  <c r="D75" i="26"/>
  <c r="H74" i="26"/>
  <c r="H76" i="26" s="1"/>
  <c r="G74" i="26"/>
  <c r="G76" i="26" s="1"/>
  <c r="F74" i="26"/>
  <c r="F76" i="26" s="1"/>
  <c r="E74" i="26"/>
  <c r="E76" i="26" s="1"/>
  <c r="D74" i="26"/>
  <c r="C74" i="26"/>
  <c r="AE73" i="26"/>
  <c r="AE75" i="26" s="1"/>
  <c r="S73" i="26"/>
  <c r="X75" i="26" s="1"/>
  <c r="K73" i="26"/>
  <c r="K75" i="26" s="1"/>
  <c r="J73" i="26"/>
  <c r="J75" i="26" s="1"/>
  <c r="H73" i="26"/>
  <c r="H75" i="26" s="1"/>
  <c r="G73" i="26"/>
  <c r="G75" i="26" s="1"/>
  <c r="F73" i="26"/>
  <c r="F75" i="26" s="1"/>
  <c r="E73" i="26"/>
  <c r="D73" i="26"/>
  <c r="C73" i="26"/>
  <c r="A73" i="26"/>
  <c r="Z72" i="26"/>
  <c r="Z74" i="26" s="1"/>
  <c r="Y72" i="26"/>
  <c r="Y74" i="26" s="1"/>
  <c r="X72" i="26"/>
  <c r="X74" i="26" s="1"/>
  <c r="W72" i="26"/>
  <c r="W74" i="26" s="1"/>
  <c r="V72" i="26"/>
  <c r="V74" i="26" s="1"/>
  <c r="U72" i="26"/>
  <c r="U74" i="26" s="1"/>
  <c r="N72" i="26"/>
  <c r="M72" i="26"/>
  <c r="AE71" i="26"/>
  <c r="AD71" i="26"/>
  <c r="AD73" i="26" s="1"/>
  <c r="AD75" i="26" s="1"/>
  <c r="Z71" i="26"/>
  <c r="Z73" i="26" s="1"/>
  <c r="Z75" i="26" s="1"/>
  <c r="Y71" i="26"/>
  <c r="Y73" i="26" s="1"/>
  <c r="X71" i="26"/>
  <c r="W71" i="26"/>
  <c r="W73" i="26" s="1"/>
  <c r="W75" i="26" s="1"/>
  <c r="V71" i="26"/>
  <c r="V73" i="26" s="1"/>
  <c r="V75" i="26" s="1"/>
  <c r="U71" i="26"/>
  <c r="N71" i="26"/>
  <c r="N121" i="26" s="1"/>
  <c r="M71" i="26"/>
  <c r="M73" i="26" s="1"/>
  <c r="M75" i="26" s="1"/>
  <c r="L71" i="26"/>
  <c r="L110" i="26" s="1"/>
  <c r="K71" i="26"/>
  <c r="AC71" i="26" s="1"/>
  <c r="AC73" i="26" s="1"/>
  <c r="AC75" i="26" s="1"/>
  <c r="J71" i="26"/>
  <c r="I71" i="26"/>
  <c r="N70" i="26"/>
  <c r="M70" i="26"/>
  <c r="H70" i="26"/>
  <c r="F70" i="26"/>
  <c r="E70" i="26"/>
  <c r="H69" i="26"/>
  <c r="N68" i="26"/>
  <c r="M68" i="26"/>
  <c r="L68" i="26"/>
  <c r="L70" i="26" s="1"/>
  <c r="K68" i="26"/>
  <c r="K70" i="26" s="1"/>
  <c r="J68" i="26"/>
  <c r="J70" i="26" s="1"/>
  <c r="I68" i="26"/>
  <c r="I70" i="26" s="1"/>
  <c r="H68" i="26"/>
  <c r="G68" i="26"/>
  <c r="G70" i="26" s="1"/>
  <c r="F68" i="26"/>
  <c r="E68" i="26"/>
  <c r="D68" i="26"/>
  <c r="D70" i="26" s="1"/>
  <c r="C68" i="26"/>
  <c r="AA67" i="26"/>
  <c r="AA69" i="26" s="1"/>
  <c r="Z67" i="26"/>
  <c r="Z69" i="26" s="1"/>
  <c r="S67" i="26"/>
  <c r="N67" i="26"/>
  <c r="N69" i="26" s="1"/>
  <c r="M67" i="26"/>
  <c r="M69" i="26" s="1"/>
  <c r="L67" i="26"/>
  <c r="L69" i="26" s="1"/>
  <c r="K67" i="26"/>
  <c r="K69" i="26" s="1"/>
  <c r="J67" i="26"/>
  <c r="J69" i="26" s="1"/>
  <c r="I67" i="26"/>
  <c r="I69" i="26" s="1"/>
  <c r="H67" i="26"/>
  <c r="G67" i="26"/>
  <c r="G69" i="26" s="1"/>
  <c r="F67" i="26"/>
  <c r="F69" i="26" s="1"/>
  <c r="E67" i="26"/>
  <c r="E69" i="26" s="1"/>
  <c r="D67" i="26"/>
  <c r="D69" i="26" s="1"/>
  <c r="C67" i="26"/>
  <c r="C69" i="26" s="1"/>
  <c r="A67" i="26"/>
  <c r="AF66" i="26"/>
  <c r="AF68" i="26" s="1"/>
  <c r="AE66" i="26"/>
  <c r="AE68" i="26" s="1"/>
  <c r="AD66" i="26"/>
  <c r="AD68" i="26" s="1"/>
  <c r="AC66" i="26"/>
  <c r="AC68" i="26" s="1"/>
  <c r="AB66" i="26"/>
  <c r="AB68" i="26" s="1"/>
  <c r="AA66" i="26"/>
  <c r="AA68" i="26" s="1"/>
  <c r="Z66" i="26"/>
  <c r="Z68" i="26" s="1"/>
  <c r="Y66" i="26"/>
  <c r="Y68" i="26" s="1"/>
  <c r="X66" i="26"/>
  <c r="X68" i="26" s="1"/>
  <c r="W66" i="26"/>
  <c r="W68" i="26" s="1"/>
  <c r="V66" i="26"/>
  <c r="V68" i="26" s="1"/>
  <c r="U66" i="26"/>
  <c r="O66" i="26"/>
  <c r="AF65" i="26"/>
  <c r="AF67" i="26" s="1"/>
  <c r="AF69" i="26" s="1"/>
  <c r="AE65" i="26"/>
  <c r="AE67" i="26" s="1"/>
  <c r="AE69" i="26" s="1"/>
  <c r="AD65" i="26"/>
  <c r="AD67" i="26" s="1"/>
  <c r="AD69" i="26" s="1"/>
  <c r="AC65" i="26"/>
  <c r="AC67" i="26" s="1"/>
  <c r="AC69" i="26" s="1"/>
  <c r="AB65" i="26"/>
  <c r="AB67" i="26" s="1"/>
  <c r="AB69" i="26" s="1"/>
  <c r="AA65" i="26"/>
  <c r="Z65" i="26"/>
  <c r="Y65" i="26"/>
  <c r="Y67" i="26" s="1"/>
  <c r="Y69" i="26" s="1"/>
  <c r="X65" i="26"/>
  <c r="X67" i="26" s="1"/>
  <c r="X69" i="26" s="1"/>
  <c r="W65" i="26"/>
  <c r="W67" i="26" s="1"/>
  <c r="W69" i="26" s="1"/>
  <c r="V65" i="26"/>
  <c r="V67" i="26" s="1"/>
  <c r="V69" i="26" s="1"/>
  <c r="U65" i="26"/>
  <c r="O65" i="26"/>
  <c r="N64" i="26"/>
  <c r="M64" i="26"/>
  <c r="F64" i="26"/>
  <c r="E64" i="26"/>
  <c r="H63" i="26"/>
  <c r="N62" i="26"/>
  <c r="M62" i="26"/>
  <c r="L62" i="26"/>
  <c r="L64" i="26" s="1"/>
  <c r="K62" i="26"/>
  <c r="K64" i="26" s="1"/>
  <c r="J62" i="26"/>
  <c r="J64" i="26" s="1"/>
  <c r="I62" i="26"/>
  <c r="I64" i="26" s="1"/>
  <c r="H62" i="26"/>
  <c r="H64" i="26" s="1"/>
  <c r="G62" i="26"/>
  <c r="G64" i="26" s="1"/>
  <c r="F62" i="26"/>
  <c r="E62" i="26"/>
  <c r="D62" i="26"/>
  <c r="D64" i="26" s="1"/>
  <c r="C62" i="26"/>
  <c r="AA61" i="26"/>
  <c r="AA63" i="26" s="1"/>
  <c r="Z61" i="26"/>
  <c r="Z63" i="26" s="1"/>
  <c r="S61" i="26"/>
  <c r="N61" i="26"/>
  <c r="N63" i="26" s="1"/>
  <c r="M61" i="26"/>
  <c r="M63" i="26" s="1"/>
  <c r="L61" i="26"/>
  <c r="L63" i="26" s="1"/>
  <c r="K61" i="26"/>
  <c r="K63" i="26" s="1"/>
  <c r="J61" i="26"/>
  <c r="J63" i="26" s="1"/>
  <c r="I61" i="26"/>
  <c r="I63" i="26" s="1"/>
  <c r="H61" i="26"/>
  <c r="G61" i="26"/>
  <c r="G63" i="26" s="1"/>
  <c r="F61" i="26"/>
  <c r="F63" i="26" s="1"/>
  <c r="E61" i="26"/>
  <c r="E63" i="26" s="1"/>
  <c r="D61" i="26"/>
  <c r="D63" i="26" s="1"/>
  <c r="C61" i="26"/>
  <c r="C63" i="26" s="1"/>
  <c r="A61" i="26"/>
  <c r="AF60" i="26"/>
  <c r="AF62" i="26" s="1"/>
  <c r="AE60" i="26"/>
  <c r="AE62" i="26" s="1"/>
  <c r="AD60" i="26"/>
  <c r="AD62" i="26" s="1"/>
  <c r="AC60" i="26"/>
  <c r="AC62" i="26" s="1"/>
  <c r="AB60" i="26"/>
  <c r="AB62" i="26" s="1"/>
  <c r="AA60" i="26"/>
  <c r="AA62" i="26" s="1"/>
  <c r="Z60" i="26"/>
  <c r="Z62" i="26" s="1"/>
  <c r="Y60" i="26"/>
  <c r="Y62" i="26" s="1"/>
  <c r="X60" i="26"/>
  <c r="X62" i="26" s="1"/>
  <c r="W60" i="26"/>
  <c r="W62" i="26" s="1"/>
  <c r="V60" i="26"/>
  <c r="V62" i="26" s="1"/>
  <c r="U60" i="26"/>
  <c r="O60" i="26"/>
  <c r="AF59" i="26"/>
  <c r="AF61" i="26" s="1"/>
  <c r="AF63" i="26" s="1"/>
  <c r="AE59" i="26"/>
  <c r="AE61" i="26" s="1"/>
  <c r="AE63" i="26" s="1"/>
  <c r="AD59" i="26"/>
  <c r="AD61" i="26" s="1"/>
  <c r="AD63" i="26" s="1"/>
  <c r="AC59" i="26"/>
  <c r="AC61" i="26" s="1"/>
  <c r="AC63" i="26" s="1"/>
  <c r="AB59" i="26"/>
  <c r="AB61" i="26" s="1"/>
  <c r="AB63" i="26" s="1"/>
  <c r="AA59" i="26"/>
  <c r="Z59" i="26"/>
  <c r="Y59" i="26"/>
  <c r="Y61" i="26" s="1"/>
  <c r="Y63" i="26" s="1"/>
  <c r="X59" i="26"/>
  <c r="X61" i="26" s="1"/>
  <c r="X63" i="26" s="1"/>
  <c r="W59" i="26"/>
  <c r="W61" i="26" s="1"/>
  <c r="W63" i="26" s="1"/>
  <c r="V59" i="26"/>
  <c r="V61" i="26" s="1"/>
  <c r="V63" i="26" s="1"/>
  <c r="U59" i="26"/>
  <c r="O59" i="26"/>
  <c r="N58" i="26"/>
  <c r="M58" i="26"/>
  <c r="F58" i="26"/>
  <c r="E58" i="26"/>
  <c r="H57" i="26"/>
  <c r="AI56" i="26"/>
  <c r="AE56" i="26"/>
  <c r="W56" i="26"/>
  <c r="N56" i="26"/>
  <c r="M56" i="26"/>
  <c r="L56" i="26"/>
  <c r="L58" i="26" s="1"/>
  <c r="K56" i="26"/>
  <c r="K58" i="26" s="1"/>
  <c r="J56" i="26"/>
  <c r="J58" i="26" s="1"/>
  <c r="I56" i="26"/>
  <c r="I58" i="26" s="1"/>
  <c r="H56" i="26"/>
  <c r="H58" i="26" s="1"/>
  <c r="G56" i="26"/>
  <c r="G58" i="26" s="1"/>
  <c r="F56" i="26"/>
  <c r="E56" i="26"/>
  <c r="D56" i="26"/>
  <c r="D58" i="26" s="1"/>
  <c r="C56" i="26"/>
  <c r="AB55" i="26"/>
  <c r="AA55" i="26"/>
  <c r="AA57" i="26" s="1"/>
  <c r="S55" i="26"/>
  <c r="AB57" i="26" s="1"/>
  <c r="O55" i="26"/>
  <c r="N55" i="26"/>
  <c r="N57" i="26" s="1"/>
  <c r="M55" i="26"/>
  <c r="M57" i="26" s="1"/>
  <c r="L55" i="26"/>
  <c r="L57" i="26" s="1"/>
  <c r="K55" i="26"/>
  <c r="K57" i="26" s="1"/>
  <c r="J55" i="26"/>
  <c r="J57" i="26" s="1"/>
  <c r="I55" i="26"/>
  <c r="I57" i="26" s="1"/>
  <c r="H55" i="26"/>
  <c r="G55" i="26"/>
  <c r="G57" i="26" s="1"/>
  <c r="F55" i="26"/>
  <c r="F57" i="26" s="1"/>
  <c r="E55" i="26"/>
  <c r="E57" i="26" s="1"/>
  <c r="D55" i="26"/>
  <c r="D57" i="26" s="1"/>
  <c r="C55" i="26"/>
  <c r="C57" i="26" s="1"/>
  <c r="A55" i="26"/>
  <c r="AI54" i="26"/>
  <c r="AF54" i="26"/>
  <c r="AF56" i="26" s="1"/>
  <c r="AE54" i="26"/>
  <c r="AD54" i="26"/>
  <c r="AD56" i="26" s="1"/>
  <c r="AC54" i="26"/>
  <c r="AC56" i="26" s="1"/>
  <c r="AB54" i="26"/>
  <c r="AB56" i="26" s="1"/>
  <c r="AA54" i="26"/>
  <c r="AA56" i="26" s="1"/>
  <c r="Z54" i="26"/>
  <c r="Z56" i="26" s="1"/>
  <c r="Y54" i="26"/>
  <c r="Y56" i="26" s="1"/>
  <c r="X54" i="26"/>
  <c r="W54" i="26"/>
  <c r="V54" i="26"/>
  <c r="V56" i="26" s="1"/>
  <c r="U54" i="26"/>
  <c r="U56" i="26" s="1"/>
  <c r="O54" i="26"/>
  <c r="AF53" i="26"/>
  <c r="AF55" i="26" s="1"/>
  <c r="AE53" i="26"/>
  <c r="AE55" i="26" s="1"/>
  <c r="AE57" i="26" s="1"/>
  <c r="AD53" i="26"/>
  <c r="AD55" i="26" s="1"/>
  <c r="AD57" i="26" s="1"/>
  <c r="AC53" i="26"/>
  <c r="AC55" i="26" s="1"/>
  <c r="AC57" i="26" s="1"/>
  <c r="AB53" i="26"/>
  <c r="AA53" i="26"/>
  <c r="Z53" i="26"/>
  <c r="Z55" i="26" s="1"/>
  <c r="Z57" i="26" s="1"/>
  <c r="Y53" i="26"/>
  <c r="Y55" i="26" s="1"/>
  <c r="Y57" i="26" s="1"/>
  <c r="X53" i="26"/>
  <c r="X55" i="26" s="1"/>
  <c r="W53" i="26"/>
  <c r="W55" i="26" s="1"/>
  <c r="W57" i="26" s="1"/>
  <c r="V53" i="26"/>
  <c r="V55" i="26" s="1"/>
  <c r="V57" i="26" s="1"/>
  <c r="U53" i="26"/>
  <c r="AG53" i="26" s="1"/>
  <c r="O53" i="26"/>
  <c r="H52" i="26"/>
  <c r="G52" i="26"/>
  <c r="AE51" i="26"/>
  <c r="W51" i="26"/>
  <c r="Y50" i="26"/>
  <c r="N50" i="26"/>
  <c r="N52" i="26" s="1"/>
  <c r="M50" i="26"/>
  <c r="M52" i="26" s="1"/>
  <c r="L50" i="26"/>
  <c r="L52" i="26" s="1"/>
  <c r="K50" i="26"/>
  <c r="K52" i="26" s="1"/>
  <c r="J50" i="26"/>
  <c r="J52" i="26" s="1"/>
  <c r="I50" i="26"/>
  <c r="I52" i="26" s="1"/>
  <c r="H50" i="26"/>
  <c r="G50" i="26"/>
  <c r="F50" i="26"/>
  <c r="F52" i="26" s="1"/>
  <c r="E50" i="26"/>
  <c r="E52" i="26" s="1"/>
  <c r="D50" i="26"/>
  <c r="D52" i="26" s="1"/>
  <c r="C50" i="26"/>
  <c r="C52" i="26" s="1"/>
  <c r="X49" i="26"/>
  <c r="X51" i="26" s="1"/>
  <c r="W49" i="26"/>
  <c r="S49" i="26"/>
  <c r="N49" i="26"/>
  <c r="N51" i="26" s="1"/>
  <c r="M49" i="26"/>
  <c r="M51" i="26" s="1"/>
  <c r="L49" i="26"/>
  <c r="L51" i="26" s="1"/>
  <c r="K49" i="26"/>
  <c r="K51" i="26" s="1"/>
  <c r="J49" i="26"/>
  <c r="J51" i="26" s="1"/>
  <c r="I49" i="26"/>
  <c r="I51" i="26" s="1"/>
  <c r="H49" i="26"/>
  <c r="H51" i="26" s="1"/>
  <c r="G49" i="26"/>
  <c r="G51" i="26" s="1"/>
  <c r="F49" i="26"/>
  <c r="F51" i="26" s="1"/>
  <c r="E49" i="26"/>
  <c r="E51" i="26" s="1"/>
  <c r="D49" i="26"/>
  <c r="D51" i="26" s="1"/>
  <c r="C49" i="26"/>
  <c r="A49" i="26"/>
  <c r="AF48" i="26"/>
  <c r="AF50" i="26" s="1"/>
  <c r="AE48" i="26"/>
  <c r="AE50" i="26" s="1"/>
  <c r="AD48" i="26"/>
  <c r="AD50" i="26" s="1"/>
  <c r="AC48" i="26"/>
  <c r="AC50" i="26" s="1"/>
  <c r="AB48" i="26"/>
  <c r="AB50" i="26" s="1"/>
  <c r="AA48" i="26"/>
  <c r="AA50" i="26" s="1"/>
  <c r="Z48" i="26"/>
  <c r="Z50" i="26" s="1"/>
  <c r="Y48" i="26"/>
  <c r="X48" i="26"/>
  <c r="X50" i="26" s="1"/>
  <c r="W48" i="26"/>
  <c r="W50" i="26" s="1"/>
  <c r="V48" i="26"/>
  <c r="V50" i="26" s="1"/>
  <c r="U48" i="26"/>
  <c r="U50" i="26" s="1"/>
  <c r="O48" i="26"/>
  <c r="AF47" i="26"/>
  <c r="AF49" i="26" s="1"/>
  <c r="AF51" i="26" s="1"/>
  <c r="AE47" i="26"/>
  <c r="AE49" i="26" s="1"/>
  <c r="AD47" i="26"/>
  <c r="AD49" i="26" s="1"/>
  <c r="AD51" i="26" s="1"/>
  <c r="AC47" i="26"/>
  <c r="AC49" i="26" s="1"/>
  <c r="AC51" i="26" s="1"/>
  <c r="AB47" i="26"/>
  <c r="AB49" i="26" s="1"/>
  <c r="AB51" i="26" s="1"/>
  <c r="AA47" i="26"/>
  <c r="AA49" i="26" s="1"/>
  <c r="AA51" i="26" s="1"/>
  <c r="Z47" i="26"/>
  <c r="Z49" i="26" s="1"/>
  <c r="Z51" i="26" s="1"/>
  <c r="Y47" i="26"/>
  <c r="Y49" i="26" s="1"/>
  <c r="Y51" i="26" s="1"/>
  <c r="X47" i="26"/>
  <c r="W47" i="26"/>
  <c r="V47" i="26"/>
  <c r="V49" i="26" s="1"/>
  <c r="V51" i="26" s="1"/>
  <c r="U47" i="26"/>
  <c r="U49" i="26" s="1"/>
  <c r="O47" i="26"/>
  <c r="N46" i="26"/>
  <c r="M46" i="26"/>
  <c r="K46" i="26"/>
  <c r="F46" i="26"/>
  <c r="E46" i="26"/>
  <c r="C46" i="26"/>
  <c r="M45" i="26"/>
  <c r="I45" i="26"/>
  <c r="G45" i="26"/>
  <c r="E45" i="26"/>
  <c r="AA44" i="26"/>
  <c r="N44" i="26"/>
  <c r="M44" i="26"/>
  <c r="L44" i="26"/>
  <c r="L46" i="26" s="1"/>
  <c r="K44" i="26"/>
  <c r="J44" i="26"/>
  <c r="I44" i="26"/>
  <c r="H44" i="26"/>
  <c r="G44" i="26"/>
  <c r="F44" i="26"/>
  <c r="F129" i="26" s="1"/>
  <c r="E44" i="26"/>
  <c r="D44" i="26"/>
  <c r="D46" i="26" s="1"/>
  <c r="C44" i="26"/>
  <c r="A44" i="26"/>
  <c r="AF43" i="26"/>
  <c r="AE43" i="26"/>
  <c r="X43" i="26"/>
  <c r="W43" i="26"/>
  <c r="S43" i="26"/>
  <c r="N43" i="26"/>
  <c r="M43" i="26"/>
  <c r="L43" i="26"/>
  <c r="K43" i="26"/>
  <c r="J43" i="26"/>
  <c r="J45" i="26" s="1"/>
  <c r="I43" i="26"/>
  <c r="H43" i="26"/>
  <c r="H128" i="26" s="1"/>
  <c r="G43" i="26"/>
  <c r="F43" i="26"/>
  <c r="E43" i="26"/>
  <c r="E128" i="26" s="1"/>
  <c r="D43" i="26"/>
  <c r="D128" i="26" s="1"/>
  <c r="C43" i="26"/>
  <c r="A43" i="26"/>
  <c r="AF42" i="26"/>
  <c r="AE42" i="26"/>
  <c r="AD42" i="26"/>
  <c r="AC42" i="26"/>
  <c r="AB42" i="26"/>
  <c r="AA42" i="26"/>
  <c r="Z42" i="26"/>
  <c r="Z122" i="26" s="1"/>
  <c r="Y42" i="26"/>
  <c r="Y122" i="26" s="1"/>
  <c r="X42" i="26"/>
  <c r="W42" i="26"/>
  <c r="W122" i="26" s="1"/>
  <c r="V42" i="26"/>
  <c r="V44" i="26" s="1"/>
  <c r="U42" i="26"/>
  <c r="O42" i="26"/>
  <c r="AF41" i="26"/>
  <c r="AE41" i="26"/>
  <c r="AD41" i="26"/>
  <c r="AC41" i="26"/>
  <c r="AC121" i="26" s="1"/>
  <c r="AB41" i="26"/>
  <c r="AA41" i="26"/>
  <c r="Z41" i="26"/>
  <c r="Z121" i="26" s="1"/>
  <c r="Y41" i="26"/>
  <c r="X41" i="26"/>
  <c r="X121" i="26" s="1"/>
  <c r="W41" i="26"/>
  <c r="V41" i="26"/>
  <c r="V121" i="26" s="1"/>
  <c r="U41" i="26"/>
  <c r="U121" i="26" s="1"/>
  <c r="O41" i="26"/>
  <c r="AC35" i="26"/>
  <c r="W35" i="26"/>
  <c r="U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O35" i="26" s="1"/>
  <c r="AF34" i="26"/>
  <c r="AB34" i="26"/>
  <c r="Y34" i="26"/>
  <c r="X34" i="26"/>
  <c r="S34" i="26"/>
  <c r="O34" i="26"/>
  <c r="N34" i="26"/>
  <c r="M34" i="26"/>
  <c r="M36" i="26" s="1"/>
  <c r="L34" i="26"/>
  <c r="K34" i="26"/>
  <c r="J34" i="26"/>
  <c r="I34" i="26"/>
  <c r="H34" i="26"/>
  <c r="G34" i="26"/>
  <c r="F34" i="26"/>
  <c r="E34" i="26"/>
  <c r="E36" i="26" s="1"/>
  <c r="D34" i="26"/>
  <c r="C34" i="26"/>
  <c r="A34" i="26"/>
  <c r="AF33" i="26"/>
  <c r="AF35" i="26" s="1"/>
  <c r="AE33" i="26"/>
  <c r="AE35" i="26" s="1"/>
  <c r="AD33" i="26"/>
  <c r="AD35" i="26" s="1"/>
  <c r="AC33" i="26"/>
  <c r="AB33" i="26"/>
  <c r="AB35" i="26" s="1"/>
  <c r="AA33" i="26"/>
  <c r="AA35" i="26" s="1"/>
  <c r="Z33" i="26"/>
  <c r="Z35" i="26" s="1"/>
  <c r="Y33" i="26"/>
  <c r="Y35" i="26" s="1"/>
  <c r="X33" i="26"/>
  <c r="X35" i="26" s="1"/>
  <c r="W33" i="26"/>
  <c r="V33" i="26"/>
  <c r="V35" i="26" s="1"/>
  <c r="U33" i="26"/>
  <c r="O33" i="26"/>
  <c r="AF32" i="26"/>
  <c r="AE32" i="26"/>
  <c r="AE34" i="26" s="1"/>
  <c r="AD32" i="26"/>
  <c r="AD34" i="26" s="1"/>
  <c r="AC32" i="26"/>
  <c r="AC34" i="26" s="1"/>
  <c r="AC36" i="26" s="1"/>
  <c r="AB32" i="26"/>
  <c r="AA32" i="26"/>
  <c r="AA34" i="26" s="1"/>
  <c r="AA36" i="26" s="1"/>
  <c r="Z32" i="26"/>
  <c r="Z34" i="26" s="1"/>
  <c r="Y32" i="26"/>
  <c r="X32" i="26"/>
  <c r="W32" i="26"/>
  <c r="W34" i="26" s="1"/>
  <c r="V32" i="26"/>
  <c r="V34" i="26" s="1"/>
  <c r="U32" i="26"/>
  <c r="O32" i="26"/>
  <c r="AI29" i="26"/>
  <c r="X29" i="26"/>
  <c r="U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Z28" i="26"/>
  <c r="Z30" i="26" s="1"/>
  <c r="Y28" i="26"/>
  <c r="S28" i="26"/>
  <c r="N28" i="26"/>
  <c r="N30" i="26" s="1"/>
  <c r="M28" i="26"/>
  <c r="L28" i="26"/>
  <c r="K28" i="26"/>
  <c r="J28" i="26"/>
  <c r="I28" i="26"/>
  <c r="H28" i="26"/>
  <c r="H30" i="26" s="1"/>
  <c r="G28" i="26"/>
  <c r="F28" i="26"/>
  <c r="E28" i="26"/>
  <c r="D28" i="26"/>
  <c r="C28" i="26"/>
  <c r="A28" i="26"/>
  <c r="AF27" i="26"/>
  <c r="AF29" i="26" s="1"/>
  <c r="AE27" i="26"/>
  <c r="AE29" i="26" s="1"/>
  <c r="AD27" i="26"/>
  <c r="AD29" i="26" s="1"/>
  <c r="AC27" i="26"/>
  <c r="AC29" i="26" s="1"/>
  <c r="AB27" i="26"/>
  <c r="AB29" i="26" s="1"/>
  <c r="AA27" i="26"/>
  <c r="AA29" i="26" s="1"/>
  <c r="Z27" i="26"/>
  <c r="Z29" i="26" s="1"/>
  <c r="Y27" i="26"/>
  <c r="Y29" i="26" s="1"/>
  <c r="X27" i="26"/>
  <c r="W27" i="26"/>
  <c r="W29" i="26" s="1"/>
  <c r="V27" i="26"/>
  <c r="V29" i="26" s="1"/>
  <c r="U27" i="26"/>
  <c r="O27" i="26"/>
  <c r="AF26" i="26"/>
  <c r="AF28" i="26" s="1"/>
  <c r="AE26" i="26"/>
  <c r="AE28" i="26" s="1"/>
  <c r="AD26" i="26"/>
  <c r="AD28" i="26" s="1"/>
  <c r="AC26" i="26"/>
  <c r="AC28" i="26" s="1"/>
  <c r="AC30" i="26" s="1"/>
  <c r="AB26" i="26"/>
  <c r="AB28" i="26" s="1"/>
  <c r="AB30" i="26" s="1"/>
  <c r="AA26" i="26"/>
  <c r="AA28" i="26" s="1"/>
  <c r="AA30" i="26" s="1"/>
  <c r="Z26" i="26"/>
  <c r="Y26" i="26"/>
  <c r="X26" i="26"/>
  <c r="X28" i="26" s="1"/>
  <c r="W26" i="26"/>
  <c r="W28" i="26" s="1"/>
  <c r="V26" i="26"/>
  <c r="V28" i="26" s="1"/>
  <c r="U26" i="26"/>
  <c r="O26" i="26"/>
  <c r="AF23" i="26"/>
  <c r="AD23" i="26"/>
  <c r="AC23" i="26"/>
  <c r="X23" i="26"/>
  <c r="V23" i="26"/>
  <c r="U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AI22" i="26"/>
  <c r="AC22" i="26"/>
  <c r="AA22" i="26"/>
  <c r="AA24" i="26" s="1"/>
  <c r="Z22" i="26"/>
  <c r="U22" i="26"/>
  <c r="S22" i="26"/>
  <c r="N22" i="26"/>
  <c r="M22" i="26"/>
  <c r="L22" i="26"/>
  <c r="K22" i="26"/>
  <c r="J22" i="26"/>
  <c r="I22" i="26"/>
  <c r="H22" i="26"/>
  <c r="G22" i="26"/>
  <c r="G24" i="26" s="1"/>
  <c r="F22" i="26"/>
  <c r="E22" i="26"/>
  <c r="D22" i="26"/>
  <c r="C22" i="26"/>
  <c r="A22" i="26"/>
  <c r="AF21" i="26"/>
  <c r="AE21" i="26"/>
  <c r="AE23" i="26" s="1"/>
  <c r="AD21" i="26"/>
  <c r="AC21" i="26"/>
  <c r="AB21" i="26"/>
  <c r="AB23" i="26" s="1"/>
  <c r="AA21" i="26"/>
  <c r="AA23" i="26" s="1"/>
  <c r="Z21" i="26"/>
  <c r="Z23" i="26" s="1"/>
  <c r="Y21" i="26"/>
  <c r="Y23" i="26" s="1"/>
  <c r="X21" i="26"/>
  <c r="W21" i="26"/>
  <c r="W23" i="26" s="1"/>
  <c r="V21" i="26"/>
  <c r="U21" i="26"/>
  <c r="O21" i="26"/>
  <c r="AF20" i="26"/>
  <c r="AF22" i="26" s="1"/>
  <c r="AE20" i="26"/>
  <c r="AE22" i="26" s="1"/>
  <c r="AD20" i="26"/>
  <c r="AD22" i="26" s="1"/>
  <c r="AD24" i="26" s="1"/>
  <c r="AC20" i="26"/>
  <c r="AB20" i="26"/>
  <c r="AB22" i="26" s="1"/>
  <c r="AB24" i="26" s="1"/>
  <c r="AA20" i="26"/>
  <c r="Z20" i="26"/>
  <c r="Y20" i="26"/>
  <c r="Y22" i="26" s="1"/>
  <c r="X20" i="26"/>
  <c r="X22" i="26" s="1"/>
  <c r="W20" i="26"/>
  <c r="W22" i="26" s="1"/>
  <c r="V20" i="26"/>
  <c r="V22" i="26" s="1"/>
  <c r="V24" i="26" s="1"/>
  <c r="U20" i="26"/>
  <c r="O20" i="26"/>
  <c r="W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AD16" i="26"/>
  <c r="AB16" i="26"/>
  <c r="AA16" i="26"/>
  <c r="V16" i="26"/>
  <c r="S16" i="26"/>
  <c r="N16" i="26"/>
  <c r="M16" i="26"/>
  <c r="L16" i="26"/>
  <c r="K16" i="26"/>
  <c r="J16" i="26"/>
  <c r="I16" i="26"/>
  <c r="H16" i="26"/>
  <c r="H18" i="26" s="1"/>
  <c r="G16" i="26"/>
  <c r="G18" i="26" s="1"/>
  <c r="F16" i="26"/>
  <c r="E16" i="26"/>
  <c r="D16" i="26"/>
  <c r="C16" i="26"/>
  <c r="A16" i="26"/>
  <c r="AF15" i="26"/>
  <c r="AF17" i="26" s="1"/>
  <c r="AE15" i="26"/>
  <c r="AE17" i="26" s="1"/>
  <c r="AD15" i="26"/>
  <c r="AD17" i="26" s="1"/>
  <c r="AC15" i="26"/>
  <c r="AC17" i="26" s="1"/>
  <c r="AB15" i="26"/>
  <c r="AB17" i="26" s="1"/>
  <c r="AA15" i="26"/>
  <c r="AA17" i="26" s="1"/>
  <c r="Z15" i="26"/>
  <c r="Z17" i="26" s="1"/>
  <c r="Y15" i="26"/>
  <c r="Y17" i="26" s="1"/>
  <c r="X15" i="26"/>
  <c r="X17" i="26" s="1"/>
  <c r="W15" i="26"/>
  <c r="V15" i="26"/>
  <c r="V17" i="26" s="1"/>
  <c r="U15" i="26"/>
  <c r="U17" i="26" s="1"/>
  <c r="O15" i="26"/>
  <c r="AF14" i="26"/>
  <c r="AF16" i="26" s="1"/>
  <c r="AE14" i="26"/>
  <c r="AE16" i="26" s="1"/>
  <c r="AD14" i="26"/>
  <c r="AC14" i="26"/>
  <c r="AC16" i="26" s="1"/>
  <c r="AC18" i="26" s="1"/>
  <c r="AB14" i="26"/>
  <c r="AA14" i="26"/>
  <c r="Z14" i="26"/>
  <c r="Z16" i="26" s="1"/>
  <c r="Y14" i="26"/>
  <c r="Y16" i="26" s="1"/>
  <c r="X14" i="26"/>
  <c r="X16" i="26" s="1"/>
  <c r="W14" i="26"/>
  <c r="W16" i="26" s="1"/>
  <c r="W18" i="26" s="1"/>
  <c r="V14" i="26"/>
  <c r="U14" i="26"/>
  <c r="O14" i="26"/>
  <c r="AF11" i="26"/>
  <c r="AC11" i="26"/>
  <c r="Z11" i="26"/>
  <c r="Y11" i="26"/>
  <c r="X11" i="26"/>
  <c r="U11" i="26"/>
  <c r="Q11" i="26"/>
  <c r="N11" i="26"/>
  <c r="N13" i="26" s="1"/>
  <c r="M11" i="26"/>
  <c r="L11" i="26"/>
  <c r="K11" i="26"/>
  <c r="J11" i="26"/>
  <c r="I11" i="26"/>
  <c r="H11" i="26"/>
  <c r="G11" i="26"/>
  <c r="G13" i="26" s="1"/>
  <c r="F11" i="26"/>
  <c r="F13" i="26" s="1"/>
  <c r="E11" i="26"/>
  <c r="D11" i="26"/>
  <c r="C11" i="26"/>
  <c r="A11" i="26"/>
  <c r="AF10" i="26"/>
  <c r="AE10" i="26"/>
  <c r="AD10" i="26"/>
  <c r="AD12" i="26" s="1"/>
  <c r="AB10" i="26"/>
  <c r="Z10" i="26"/>
  <c r="X10" i="26"/>
  <c r="W10" i="26"/>
  <c r="V10" i="26"/>
  <c r="S10" i="26"/>
  <c r="Q10" i="26"/>
  <c r="O10" i="26"/>
  <c r="N10" i="26"/>
  <c r="M10" i="26"/>
  <c r="L10" i="26"/>
  <c r="K10" i="26"/>
  <c r="K12" i="26" s="1"/>
  <c r="J10" i="26"/>
  <c r="I10" i="26"/>
  <c r="H10" i="26"/>
  <c r="G10" i="26"/>
  <c r="G12" i="26" s="1"/>
  <c r="F10" i="26"/>
  <c r="E10" i="26"/>
  <c r="D10" i="26"/>
  <c r="C10" i="26"/>
  <c r="A10" i="26"/>
  <c r="AF9" i="26"/>
  <c r="AE9" i="26"/>
  <c r="AD9" i="26"/>
  <c r="AC9" i="26"/>
  <c r="AB9" i="26"/>
  <c r="AB11" i="26" s="1"/>
  <c r="AA9" i="26"/>
  <c r="AA11" i="26" s="1"/>
  <c r="Z9" i="26"/>
  <c r="Y9" i="26"/>
  <c r="X9" i="26"/>
  <c r="W9" i="26"/>
  <c r="V9" i="26"/>
  <c r="U9" i="26"/>
  <c r="O9" i="26"/>
  <c r="AF8" i="26"/>
  <c r="AE8" i="26"/>
  <c r="AD8" i="26"/>
  <c r="AC8" i="26"/>
  <c r="AB8" i="26"/>
  <c r="AA8" i="26"/>
  <c r="Z8" i="26"/>
  <c r="Y8" i="26"/>
  <c r="Y10" i="26" s="1"/>
  <c r="X8" i="26"/>
  <c r="W8" i="26"/>
  <c r="V8" i="26"/>
  <c r="U8" i="26"/>
  <c r="AG8" i="26" s="1"/>
  <c r="O8" i="26"/>
  <c r="P4" i="26"/>
  <c r="Q3" i="26"/>
  <c r="P3" i="26"/>
  <c r="AH2" i="26"/>
  <c r="AE2" i="26"/>
  <c r="S74" i="26" s="1"/>
  <c r="M2" i="26"/>
  <c r="A23" i="26" s="1"/>
  <c r="AI1" i="26"/>
  <c r="AH1" i="26"/>
  <c r="Q1" i="26"/>
  <c r="O1" i="26"/>
  <c r="C1" i="26"/>
  <c r="K51" i="14" l="1"/>
  <c r="M50" i="14"/>
  <c r="L50" i="14"/>
  <c r="J51" i="14"/>
  <c r="H51" i="14"/>
  <c r="M49" i="14"/>
  <c r="AE281" i="27"/>
  <c r="AE256" i="27"/>
  <c r="AE258" i="27" s="1"/>
  <c r="AM258" i="27" s="1"/>
  <c r="AG293" i="27"/>
  <c r="AG250" i="27"/>
  <c r="AG261" i="27"/>
  <c r="AG276" i="27"/>
  <c r="K249" i="27"/>
  <c r="K284" i="27" s="1"/>
  <c r="K293" i="27"/>
  <c r="AC242" i="27"/>
  <c r="AC264" i="27" s="1"/>
  <c r="AC276" i="27"/>
  <c r="AC293" i="27"/>
  <c r="G284" i="27"/>
  <c r="L263" i="27"/>
  <c r="L265" i="27" s="1"/>
  <c r="I239" i="27"/>
  <c r="P237" i="27"/>
  <c r="AK263" i="27"/>
  <c r="AK265" i="27" s="1"/>
  <c r="AI285" i="27"/>
  <c r="AI264" i="27"/>
  <c r="O282" i="27"/>
  <c r="O293" i="27"/>
  <c r="G282" i="27"/>
  <c r="G293" i="27"/>
  <c r="G249" i="27"/>
  <c r="P249" i="27" s="1"/>
  <c r="AK285" i="27"/>
  <c r="AK264" i="27"/>
  <c r="AH239" i="27"/>
  <c r="AH280" i="27"/>
  <c r="O263" i="27"/>
  <c r="M264" i="27"/>
  <c r="AG263" i="27"/>
  <c r="AM248" i="27"/>
  <c r="AF250" i="27"/>
  <c r="AF261" i="27"/>
  <c r="E250" i="27"/>
  <c r="H275" i="27"/>
  <c r="H282" i="27"/>
  <c r="H241" i="27"/>
  <c r="H293" i="27"/>
  <c r="AF264" i="27"/>
  <c r="K248" i="27"/>
  <c r="K281" i="27"/>
  <c r="AE249" i="27"/>
  <c r="AE284" i="27" s="1"/>
  <c r="AE260" i="27"/>
  <c r="AE275" i="27"/>
  <c r="AE292" i="27"/>
  <c r="L293" i="27"/>
  <c r="L275" i="27"/>
  <c r="L249" i="27"/>
  <c r="L284" i="27" s="1"/>
  <c r="L286" i="27" s="1"/>
  <c r="P245" i="27"/>
  <c r="P239" i="27"/>
  <c r="AM233" i="27"/>
  <c r="I282" i="27"/>
  <c r="AJ234" i="27"/>
  <c r="AJ276" i="27"/>
  <c r="AJ283" i="27"/>
  <c r="AB232" i="27"/>
  <c r="AB234" i="27" s="1"/>
  <c r="AB281" i="27"/>
  <c r="AM281" i="27" s="1"/>
  <c r="K282" i="27"/>
  <c r="AD260" i="27"/>
  <c r="AD249" i="27"/>
  <c r="P247" i="27"/>
  <c r="AF285" i="27"/>
  <c r="AF286" i="27" s="1"/>
  <c r="AK282" i="27"/>
  <c r="AE283" i="27"/>
  <c r="AL241" i="27"/>
  <c r="AL282" i="27"/>
  <c r="AL275" i="27"/>
  <c r="AJ250" i="27"/>
  <c r="AJ285" i="27" s="1"/>
  <c r="AJ286" i="27" s="1"/>
  <c r="AJ261" i="27"/>
  <c r="AB250" i="27"/>
  <c r="AB261" i="27"/>
  <c r="AC249" i="27"/>
  <c r="AC260" i="27"/>
  <c r="O284" i="27"/>
  <c r="N284" i="27"/>
  <c r="N286" i="27" s="1"/>
  <c r="AG282" i="27"/>
  <c r="L282" i="27"/>
  <c r="F281" i="27"/>
  <c r="P281" i="27" s="1"/>
  <c r="AF276" i="27"/>
  <c r="K263" i="27"/>
  <c r="AI261" i="27"/>
  <c r="AK260" i="27"/>
  <c r="D255" i="27"/>
  <c r="P254" i="27"/>
  <c r="AM246" i="27"/>
  <c r="AM237" i="27"/>
  <c r="J263" i="27"/>
  <c r="AK281" i="27"/>
  <c r="AC281" i="27"/>
  <c r="AF265" i="27"/>
  <c r="AG17" i="27"/>
  <c r="AG27" i="27" s="1"/>
  <c r="AG281" i="27"/>
  <c r="AK292" i="27"/>
  <c r="N281" i="27"/>
  <c r="AC280" i="27"/>
  <c r="AM280" i="27" s="1"/>
  <c r="G263" i="27"/>
  <c r="AL260" i="27"/>
  <c r="AB240" i="27"/>
  <c r="AB242" i="27" s="1"/>
  <c r="AM242" i="27" s="1"/>
  <c r="G275" i="27"/>
  <c r="AI276" i="27"/>
  <c r="AM230" i="27"/>
  <c r="AM226" i="27"/>
  <c r="AL264" i="27"/>
  <c r="AE250" i="27"/>
  <c r="AM250" i="27" s="1"/>
  <c r="P232" i="27"/>
  <c r="AE280" i="27"/>
  <c r="M294" i="27"/>
  <c r="M285" i="27"/>
  <c r="D285" i="27"/>
  <c r="AF281" i="27"/>
  <c r="F276" i="27"/>
  <c r="AC261" i="27"/>
  <c r="J256" i="27"/>
  <c r="I248" i="27"/>
  <c r="AA260" i="27"/>
  <c r="AM247" i="27"/>
  <c r="AA249" i="27"/>
  <c r="P238" i="27"/>
  <c r="Q237" i="27" s="1"/>
  <c r="AD189" i="27"/>
  <c r="AM185" i="27"/>
  <c r="AE49" i="27"/>
  <c r="AE276" i="27"/>
  <c r="N294" i="27"/>
  <c r="AF293" i="27"/>
  <c r="AF283" i="27"/>
  <c r="O280" i="27"/>
  <c r="AA261" i="27"/>
  <c r="AM253" i="27"/>
  <c r="AA255" i="27"/>
  <c r="AI260" i="27"/>
  <c r="AI249" i="27"/>
  <c r="AI284" i="27" s="1"/>
  <c r="AI286" i="27" s="1"/>
  <c r="AK275" i="27"/>
  <c r="M239" i="27"/>
  <c r="M280" i="27"/>
  <c r="P280" i="27" s="1"/>
  <c r="E239" i="27"/>
  <c r="E241" i="27" s="1"/>
  <c r="E280" i="27"/>
  <c r="D264" i="27"/>
  <c r="P234" i="27"/>
  <c r="R234" i="27" s="1"/>
  <c r="M282" i="27"/>
  <c r="P190" i="27"/>
  <c r="F204" i="27"/>
  <c r="P204" i="27" s="1"/>
  <c r="R204" i="27" s="1"/>
  <c r="AH264" i="27"/>
  <c r="AD264" i="27"/>
  <c r="M115" i="27"/>
  <c r="M276" i="27"/>
  <c r="P97" i="27"/>
  <c r="Q96" i="27" s="1"/>
  <c r="E109" i="27"/>
  <c r="E115" i="27" s="1"/>
  <c r="P115" i="27" s="1"/>
  <c r="R115" i="27" s="1"/>
  <c r="F294" i="27"/>
  <c r="N283" i="27"/>
  <c r="AE293" i="27"/>
  <c r="AK284" i="27"/>
  <c r="AK286" i="27" s="1"/>
  <c r="J283" i="27"/>
  <c r="N276" i="27"/>
  <c r="E242" i="27"/>
  <c r="O275" i="27"/>
  <c r="L264" i="27"/>
  <c r="AM215" i="27"/>
  <c r="AC225" i="27"/>
  <c r="AM225" i="27" s="1"/>
  <c r="AM227" i="27" s="1"/>
  <c r="AM125" i="27"/>
  <c r="P246" i="27"/>
  <c r="AJ263" i="27"/>
  <c r="I80" i="27"/>
  <c r="I92" i="27" s="1"/>
  <c r="I280" i="27"/>
  <c r="N265" i="27"/>
  <c r="AG283" i="27"/>
  <c r="G283" i="27"/>
  <c r="AI282" i="27"/>
  <c r="AG275" i="27"/>
  <c r="H264" i="27"/>
  <c r="AM163" i="27"/>
  <c r="AC169" i="27"/>
  <c r="AC181" i="27" s="1"/>
  <c r="P142" i="27"/>
  <c r="Q141" i="27" s="1"/>
  <c r="P120" i="27"/>
  <c r="Q119" i="27" s="1"/>
  <c r="AM80" i="27"/>
  <c r="AA92" i="27"/>
  <c r="AM92" i="27" s="1"/>
  <c r="P53" i="27"/>
  <c r="Q52" i="27" s="1"/>
  <c r="E65" i="27"/>
  <c r="E71" i="27" s="1"/>
  <c r="P71" i="27" s="1"/>
  <c r="R71" i="27" s="1"/>
  <c r="P9" i="27"/>
  <c r="Q8" i="27" s="1"/>
  <c r="O240" i="27"/>
  <c r="P240" i="27" s="1"/>
  <c r="G240" i="27"/>
  <c r="AA239" i="27"/>
  <c r="P225" i="27"/>
  <c r="AM207" i="27"/>
  <c r="AM186" i="27"/>
  <c r="AB190" i="27"/>
  <c r="AM181" i="27"/>
  <c r="P145" i="27"/>
  <c r="D159" i="27"/>
  <c r="P75" i="27"/>
  <c r="F81" i="27"/>
  <c r="F93" i="27" s="1"/>
  <c r="P93" i="27" s="1"/>
  <c r="R93" i="27" s="1"/>
  <c r="P70" i="27"/>
  <c r="R70" i="27" s="1"/>
  <c r="AM169" i="27"/>
  <c r="AM164" i="27"/>
  <c r="AA170" i="27"/>
  <c r="AM138" i="27"/>
  <c r="AM109" i="27"/>
  <c r="AA115" i="27"/>
  <c r="AM115" i="27" s="1"/>
  <c r="AM43" i="27"/>
  <c r="AM42" i="27"/>
  <c r="AM31" i="27"/>
  <c r="AB43" i="27"/>
  <c r="P160" i="27"/>
  <c r="R160" i="27" s="1"/>
  <c r="AM141" i="27"/>
  <c r="P138" i="27"/>
  <c r="R138" i="27" s="1"/>
  <c r="P124" i="27"/>
  <c r="E138" i="27"/>
  <c r="AM96" i="27"/>
  <c r="P92" i="27"/>
  <c r="AM65" i="27"/>
  <c r="AA71" i="27"/>
  <c r="AM71" i="27" s="1"/>
  <c r="AK283" i="27"/>
  <c r="AC283" i="27"/>
  <c r="K283" i="27"/>
  <c r="AE282" i="27"/>
  <c r="I276" i="27"/>
  <c r="K275" i="27"/>
  <c r="AA232" i="27"/>
  <c r="AM216" i="27"/>
  <c r="P208" i="27"/>
  <c r="Q207" i="27" s="1"/>
  <c r="E216" i="27"/>
  <c r="AM137" i="27"/>
  <c r="AM139" i="27" s="1"/>
  <c r="AM52" i="27"/>
  <c r="P27" i="27"/>
  <c r="AM9" i="27"/>
  <c r="Q185" i="27"/>
  <c r="P185" i="27"/>
  <c r="E189" i="27"/>
  <c r="P146" i="27"/>
  <c r="AM119" i="27"/>
  <c r="P26" i="27"/>
  <c r="AM8" i="27"/>
  <c r="AA16" i="27"/>
  <c r="P216" i="27"/>
  <c r="P163" i="27"/>
  <c r="Q163" i="27" s="1"/>
  <c r="D169" i="27"/>
  <c r="P30" i="27"/>
  <c r="Q30" i="27" s="1"/>
  <c r="E42" i="27"/>
  <c r="F137" i="27"/>
  <c r="P137" i="27" s="1"/>
  <c r="AA81" i="27"/>
  <c r="AA49" i="27"/>
  <c r="AA146" i="27"/>
  <c r="AC145" i="27"/>
  <c r="F114" i="27"/>
  <c r="P114" i="27" s="1"/>
  <c r="R114" i="27" s="1"/>
  <c r="AB108" i="27"/>
  <c r="P74" i="27"/>
  <c r="F70" i="27"/>
  <c r="AB64" i="27"/>
  <c r="E43" i="27"/>
  <c r="AB17" i="27"/>
  <c r="AB27" i="27" s="1"/>
  <c r="P8" i="27"/>
  <c r="AM74" i="27"/>
  <c r="AB52" i="26"/>
  <c r="Y126" i="26"/>
  <c r="Y12" i="26"/>
  <c r="AB127" i="26"/>
  <c r="N19" i="26"/>
  <c r="AA127" i="26"/>
  <c r="X19" i="26"/>
  <c r="AC19" i="26"/>
  <c r="AF19" i="26"/>
  <c r="Z19" i="26"/>
  <c r="D31" i="26"/>
  <c r="J36" i="26"/>
  <c r="G37" i="26"/>
  <c r="V126" i="26"/>
  <c r="Y127" i="26"/>
  <c r="M18" i="26"/>
  <c r="Z119" i="26"/>
  <c r="Z110" i="26"/>
  <c r="D126" i="26"/>
  <c r="D130" i="26" s="1"/>
  <c r="D112" i="26"/>
  <c r="W126" i="26"/>
  <c r="O11" i="26"/>
  <c r="Z18" i="26"/>
  <c r="F18" i="26"/>
  <c r="N18" i="26"/>
  <c r="AA119" i="26"/>
  <c r="AA110" i="26"/>
  <c r="U111" i="26"/>
  <c r="U120" i="26"/>
  <c r="E126" i="26"/>
  <c r="E130" i="26" s="1"/>
  <c r="E112" i="26"/>
  <c r="M126" i="26"/>
  <c r="M130" i="26" s="1"/>
  <c r="M112" i="26"/>
  <c r="M12" i="26"/>
  <c r="X126" i="26"/>
  <c r="AF126" i="26"/>
  <c r="H127" i="26"/>
  <c r="H131" i="26" s="1"/>
  <c r="H113" i="26"/>
  <c r="H13" i="26"/>
  <c r="D12" i="26"/>
  <c r="V19" i="26"/>
  <c r="O16" i="26"/>
  <c r="M24" i="26"/>
  <c r="I25" i="26"/>
  <c r="AG26" i="26"/>
  <c r="AG29" i="26"/>
  <c r="F30" i="26"/>
  <c r="AF36" i="26"/>
  <c r="N36" i="26"/>
  <c r="AB43" i="26"/>
  <c r="AD44" i="26"/>
  <c r="AB119" i="26"/>
  <c r="V111" i="26"/>
  <c r="V120" i="26"/>
  <c r="AD120" i="26"/>
  <c r="F126" i="26"/>
  <c r="F130" i="26" s="1"/>
  <c r="F112" i="26"/>
  <c r="N126" i="26"/>
  <c r="I127" i="26"/>
  <c r="S11" i="26"/>
  <c r="AC13" i="26" s="1"/>
  <c r="E12" i="26"/>
  <c r="E19" i="26"/>
  <c r="J25" i="26"/>
  <c r="M25" i="26"/>
  <c r="V30" i="26"/>
  <c r="AD30" i="26"/>
  <c r="J30" i="26"/>
  <c r="AG33" i="26"/>
  <c r="W45" i="26"/>
  <c r="D45" i="26"/>
  <c r="AG49" i="26"/>
  <c r="U51" i="26"/>
  <c r="AG51" i="26" s="1"/>
  <c r="X56" i="26"/>
  <c r="X58" i="26" s="1"/>
  <c r="AG54" i="26"/>
  <c r="O67" i="26"/>
  <c r="AE111" i="26"/>
  <c r="AE120" i="26"/>
  <c r="Z126" i="26"/>
  <c r="Z112" i="26"/>
  <c r="Z12" i="26"/>
  <c r="AC127" i="26"/>
  <c r="I18" i="26"/>
  <c r="G19" i="26"/>
  <c r="F19" i="26"/>
  <c r="F115" i="26" s="1"/>
  <c r="C25" i="26"/>
  <c r="AE30" i="26"/>
  <c r="K30" i="26"/>
  <c r="AD37" i="26"/>
  <c r="Z36" i="26"/>
  <c r="X45" i="26"/>
  <c r="AF52" i="26"/>
  <c r="V64" i="26"/>
  <c r="O61" i="26"/>
  <c r="A92" i="26"/>
  <c r="A50" i="26"/>
  <c r="A74" i="26"/>
  <c r="A56" i="26"/>
  <c r="A68" i="26"/>
  <c r="A62" i="26"/>
  <c r="A17" i="26"/>
  <c r="A86" i="26"/>
  <c r="A80" i="26"/>
  <c r="A35" i="26"/>
  <c r="K37" i="26" s="1"/>
  <c r="V110" i="26"/>
  <c r="V119" i="26"/>
  <c r="AD110" i="26"/>
  <c r="AD119" i="26"/>
  <c r="X120" i="26"/>
  <c r="X111" i="26"/>
  <c r="AF120" i="26"/>
  <c r="H112" i="26"/>
  <c r="H126" i="26"/>
  <c r="H130" i="26" s="1"/>
  <c r="AA10" i="26"/>
  <c r="C127" i="26"/>
  <c r="C113" i="26"/>
  <c r="C13" i="26"/>
  <c r="K127" i="26"/>
  <c r="K13" i="26"/>
  <c r="V11" i="26"/>
  <c r="AD11" i="26"/>
  <c r="W12" i="26"/>
  <c r="AA18" i="26"/>
  <c r="H19" i="26"/>
  <c r="AG20" i="26"/>
  <c r="H24" i="26"/>
  <c r="X30" i="26"/>
  <c r="AF30" i="26"/>
  <c r="D30" i="26"/>
  <c r="L30" i="26"/>
  <c r="A29" i="26"/>
  <c r="G31" i="26" s="1"/>
  <c r="J31" i="26"/>
  <c r="K31" i="26"/>
  <c r="Z43" i="26"/>
  <c r="G129" i="26"/>
  <c r="G46" i="26"/>
  <c r="O46" i="26" s="1"/>
  <c r="O44" i="26"/>
  <c r="O81" i="26"/>
  <c r="U110" i="26"/>
  <c r="U119" i="26"/>
  <c r="W111" i="26"/>
  <c r="W120" i="26"/>
  <c r="G112" i="26"/>
  <c r="G126" i="26"/>
  <c r="U127" i="26"/>
  <c r="U13" i="26"/>
  <c r="F12" i="26"/>
  <c r="V12" i="26"/>
  <c r="I13" i="26"/>
  <c r="O22" i="26"/>
  <c r="K25" i="26"/>
  <c r="Z31" i="26"/>
  <c r="M30" i="26"/>
  <c r="G36" i="26"/>
  <c r="W110" i="26"/>
  <c r="W119" i="26"/>
  <c r="Y120" i="26"/>
  <c r="Y111" i="26"/>
  <c r="I126" i="26"/>
  <c r="I112" i="26"/>
  <c r="AB126" i="26"/>
  <c r="AB12" i="26"/>
  <c r="L127" i="26"/>
  <c r="L13" i="26"/>
  <c r="AE11" i="26"/>
  <c r="X12" i="26"/>
  <c r="C18" i="26"/>
  <c r="I19" i="26"/>
  <c r="M19" i="26"/>
  <c r="AG21" i="26"/>
  <c r="F24" i="26"/>
  <c r="AG32" i="26"/>
  <c r="U34" i="26"/>
  <c r="I36" i="26"/>
  <c r="C128" i="26"/>
  <c r="C45" i="26"/>
  <c r="O43" i="26"/>
  <c r="AE45" i="26"/>
  <c r="H129" i="26"/>
  <c r="H46" i="26"/>
  <c r="S44" i="26"/>
  <c r="V46" i="26" s="1"/>
  <c r="C51" i="26"/>
  <c r="O51" i="26" s="1"/>
  <c r="O49" i="26"/>
  <c r="O52" i="26"/>
  <c r="V82" i="26"/>
  <c r="AD82" i="26"/>
  <c r="AC110" i="26"/>
  <c r="AC119" i="26"/>
  <c r="J127" i="26"/>
  <c r="J13" i="26"/>
  <c r="AG14" i="26"/>
  <c r="U16" i="26"/>
  <c r="V18" i="26"/>
  <c r="J18" i="26"/>
  <c r="W30" i="26"/>
  <c r="C30" i="26"/>
  <c r="I31" i="26"/>
  <c r="F31" i="26"/>
  <c r="S92" i="26"/>
  <c r="U94" i="26" s="1"/>
  <c r="S86" i="26"/>
  <c r="S68" i="26"/>
  <c r="Z70" i="26" s="1"/>
  <c r="S62" i="26"/>
  <c r="Z64" i="26" s="1"/>
  <c r="S56" i="26"/>
  <c r="S50" i="26"/>
  <c r="AC52" i="26" s="1"/>
  <c r="S80" i="26"/>
  <c r="Z82" i="26" s="1"/>
  <c r="S29" i="26"/>
  <c r="V31" i="26" s="1"/>
  <c r="S23" i="26"/>
  <c r="AE25" i="26" s="1"/>
  <c r="S17" i="26"/>
  <c r="AE19" i="26" s="1"/>
  <c r="AE110" i="26"/>
  <c r="AE119" i="26"/>
  <c r="AG9" i="26"/>
  <c r="D127" i="26"/>
  <c r="D113" i="26"/>
  <c r="D13" i="26"/>
  <c r="W11" i="26"/>
  <c r="AG11" i="26" s="1"/>
  <c r="H12" i="26"/>
  <c r="K18" i="26"/>
  <c r="K114" i="26" s="1"/>
  <c r="AG22" i="26"/>
  <c r="U24" i="26"/>
  <c r="O29" i="26"/>
  <c r="L31" i="26"/>
  <c r="X36" i="26"/>
  <c r="K128" i="26"/>
  <c r="K45" i="26"/>
  <c r="X110" i="26"/>
  <c r="X119" i="26"/>
  <c r="AF119" i="26"/>
  <c r="Z111" i="26"/>
  <c r="Z120" i="26"/>
  <c r="J126" i="26"/>
  <c r="J112" i="26"/>
  <c r="U10" i="26"/>
  <c r="AC10" i="26"/>
  <c r="E113" i="26"/>
  <c r="E127" i="26"/>
  <c r="E131" i="26" s="1"/>
  <c r="E13" i="26"/>
  <c r="M127" i="26"/>
  <c r="M13" i="26"/>
  <c r="X127" i="26"/>
  <c r="AF127" i="26"/>
  <c r="AF113" i="26"/>
  <c r="I12" i="26"/>
  <c r="X18" i="26"/>
  <c r="AF18" i="26"/>
  <c r="D18" i="26"/>
  <c r="L18" i="26"/>
  <c r="AD18" i="26"/>
  <c r="J19" i="26"/>
  <c r="W24" i="26"/>
  <c r="AE24" i="26"/>
  <c r="J24" i="26"/>
  <c r="Z24" i="26"/>
  <c r="F25" i="26"/>
  <c r="N25" i="26"/>
  <c r="D25" i="26"/>
  <c r="AG27" i="26"/>
  <c r="N31" i="26"/>
  <c r="V36" i="26"/>
  <c r="AD36" i="26"/>
  <c r="Y36" i="26"/>
  <c r="F36" i="26"/>
  <c r="Y121" i="26"/>
  <c r="Y43" i="26"/>
  <c r="Y112" i="26" s="1"/>
  <c r="AG41" i="26"/>
  <c r="L128" i="26"/>
  <c r="AF45" i="26"/>
  <c r="L45" i="26"/>
  <c r="AG47" i="26"/>
  <c r="AA52" i="26"/>
  <c r="O57" i="26"/>
  <c r="C70" i="26"/>
  <c r="O70" i="26" s="1"/>
  <c r="O68" i="26"/>
  <c r="X76" i="26"/>
  <c r="W82" i="26"/>
  <c r="AE82" i="26"/>
  <c r="AC82" i="26"/>
  <c r="AA120" i="26"/>
  <c r="N113" i="26"/>
  <c r="N127" i="26"/>
  <c r="Y18" i="26"/>
  <c r="AB19" i="26"/>
  <c r="E18" i="26"/>
  <c r="K19" i="26"/>
  <c r="AB18" i="26"/>
  <c r="U19" i="26"/>
  <c r="X24" i="26"/>
  <c r="AF24" i="26"/>
  <c r="C24" i="26"/>
  <c r="K24" i="26"/>
  <c r="AG23" i="26"/>
  <c r="I24" i="26"/>
  <c r="E25" i="26"/>
  <c r="G30" i="26"/>
  <c r="G114" i="26" s="1"/>
  <c r="E31" i="26"/>
  <c r="M31" i="26"/>
  <c r="W36" i="26"/>
  <c r="AE36" i="26"/>
  <c r="Z37" i="26"/>
  <c r="C36" i="26"/>
  <c r="K36" i="26"/>
  <c r="S35" i="26"/>
  <c r="X37" i="26" s="1"/>
  <c r="H36" i="26"/>
  <c r="AA46" i="26"/>
  <c r="U58" i="26"/>
  <c r="AC58" i="26"/>
  <c r="C64" i="26"/>
  <c r="O64" i="26" s="1"/>
  <c r="O62" i="26"/>
  <c r="AA70" i="26"/>
  <c r="O69" i="26"/>
  <c r="Y76" i="26"/>
  <c r="C126" i="26"/>
  <c r="C112" i="26"/>
  <c r="AD126" i="26"/>
  <c r="J12" i="26"/>
  <c r="AB120" i="26"/>
  <c r="AE126" i="26"/>
  <c r="AE12" i="26"/>
  <c r="C12" i="26"/>
  <c r="AG17" i="26"/>
  <c r="D19" i="26"/>
  <c r="L19" i="26"/>
  <c r="Y24" i="26"/>
  <c r="D24" i="26"/>
  <c r="L24" i="26"/>
  <c r="AC24" i="26"/>
  <c r="H25" i="26"/>
  <c r="N24" i="26"/>
  <c r="G25" i="26"/>
  <c r="W31" i="26"/>
  <c r="Y30" i="26"/>
  <c r="E30" i="26"/>
  <c r="D36" i="26"/>
  <c r="L36" i="26"/>
  <c r="AB36" i="26"/>
  <c r="H37" i="26"/>
  <c r="AG35" i="26"/>
  <c r="F37" i="26"/>
  <c r="F128" i="26"/>
  <c r="F45" i="26"/>
  <c r="N45" i="26"/>
  <c r="AB44" i="26"/>
  <c r="J46" i="26"/>
  <c r="U52" i="26"/>
  <c r="V58" i="26"/>
  <c r="AD58" i="26"/>
  <c r="O63" i="26"/>
  <c r="Y82" i="26"/>
  <c r="Y110" i="26"/>
  <c r="Y119" i="26"/>
  <c r="K126" i="26"/>
  <c r="K130" i="26" s="1"/>
  <c r="K112" i="26"/>
  <c r="F113" i="26"/>
  <c r="F127" i="26"/>
  <c r="F131" i="26" s="1"/>
  <c r="C19" i="26"/>
  <c r="O17" i="26"/>
  <c r="L126" i="26"/>
  <c r="L112" i="26"/>
  <c r="L12" i="26"/>
  <c r="G127" i="26"/>
  <c r="G113" i="26"/>
  <c r="Z127" i="26"/>
  <c r="Z13" i="26"/>
  <c r="AF12" i="26"/>
  <c r="AC120" i="26"/>
  <c r="N12" i="26"/>
  <c r="AD19" i="26"/>
  <c r="AE18" i="26"/>
  <c r="E24" i="26"/>
  <c r="X25" i="26"/>
  <c r="L25" i="26"/>
  <c r="I30" i="26"/>
  <c r="C31" i="26"/>
  <c r="V122" i="26"/>
  <c r="V52" i="26"/>
  <c r="AD52" i="26"/>
  <c r="Y52" i="26"/>
  <c r="W58" i="26"/>
  <c r="AB64" i="26"/>
  <c r="M122" i="26"/>
  <c r="M111" i="26"/>
  <c r="M74" i="26"/>
  <c r="M76" i="26" s="1"/>
  <c r="AE72" i="26"/>
  <c r="AE74" i="26" s="1"/>
  <c r="AE76" i="26" s="1"/>
  <c r="AG15" i="26"/>
  <c r="O28" i="26"/>
  <c r="AA121" i="26"/>
  <c r="U122" i="26"/>
  <c r="M128" i="26"/>
  <c r="U44" i="26"/>
  <c r="AC44" i="26"/>
  <c r="AG60" i="26"/>
  <c r="AC64" i="26"/>
  <c r="AG66" i="26"/>
  <c r="Z76" i="26"/>
  <c r="AG77" i="26"/>
  <c r="X82" i="26"/>
  <c r="AF82" i="26"/>
  <c r="AB95" i="26"/>
  <c r="AB85" i="26"/>
  <c r="AB87" i="26" s="1"/>
  <c r="U28" i="26"/>
  <c r="G128" i="26"/>
  <c r="AA43" i="26"/>
  <c r="C129" i="26"/>
  <c r="W44" i="26"/>
  <c r="AE44" i="26"/>
  <c r="H45" i="26"/>
  <c r="W52" i="26"/>
  <c r="AE52" i="26"/>
  <c r="Y58" i="26"/>
  <c r="N122" i="26"/>
  <c r="N111" i="26"/>
  <c r="AF72" i="26"/>
  <c r="AF74" i="26" s="1"/>
  <c r="AF76" i="26" s="1"/>
  <c r="N74" i="26"/>
  <c r="N76" i="26" s="1"/>
  <c r="AD121" i="26"/>
  <c r="X122" i="26"/>
  <c r="D129" i="26"/>
  <c r="X44" i="26"/>
  <c r="X113" i="26" s="1"/>
  <c r="AF44" i="26"/>
  <c r="AG50" i="26"/>
  <c r="AE58" i="26"/>
  <c r="AG59" i="26"/>
  <c r="U61" i="26"/>
  <c r="X64" i="26"/>
  <c r="AG65" i="26"/>
  <c r="U67" i="26"/>
  <c r="I121" i="26"/>
  <c r="I110" i="26"/>
  <c r="O110" i="26" s="1"/>
  <c r="O71" i="26"/>
  <c r="AA71" i="26"/>
  <c r="AA73" i="26" s="1"/>
  <c r="AA75" i="26" s="1"/>
  <c r="I72" i="26"/>
  <c r="I73" i="26"/>
  <c r="I75" i="26" s="1"/>
  <c r="U76" i="26"/>
  <c r="C75" i="26"/>
  <c r="AA82" i="26"/>
  <c r="O80" i="26"/>
  <c r="O23" i="26"/>
  <c r="W121" i="26"/>
  <c r="AE121" i="26"/>
  <c r="AG42" i="26"/>
  <c r="U43" i="26"/>
  <c r="AC43" i="26"/>
  <c r="E129" i="26"/>
  <c r="M129" i="26"/>
  <c r="Y44" i="26"/>
  <c r="Y113" i="26" s="1"/>
  <c r="AG48" i="26"/>
  <c r="X57" i="26"/>
  <c r="AF57" i="26"/>
  <c r="Y64" i="26"/>
  <c r="Y70" i="26"/>
  <c r="J121" i="26"/>
  <c r="J110" i="26"/>
  <c r="AB71" i="26"/>
  <c r="AB73" i="26" s="1"/>
  <c r="AB75" i="26" s="1"/>
  <c r="J72" i="26"/>
  <c r="V76" i="26"/>
  <c r="AB82" i="26"/>
  <c r="J128" i="26"/>
  <c r="V43" i="26"/>
  <c r="AD43" i="26"/>
  <c r="AD112" i="26" s="1"/>
  <c r="N129" i="26"/>
  <c r="Z44" i="26"/>
  <c r="Z113" i="26" s="1"/>
  <c r="I46" i="26"/>
  <c r="Z52" i="26"/>
  <c r="AB58" i="26"/>
  <c r="C58" i="26"/>
  <c r="O58" i="26" s="1"/>
  <c r="O56" i="26"/>
  <c r="W76" i="26"/>
  <c r="AG78" i="26"/>
  <c r="AG90" i="26"/>
  <c r="U86" i="26"/>
  <c r="U96" i="26"/>
  <c r="AG84" i="26"/>
  <c r="AC86" i="26"/>
  <c r="AC88" i="26" s="1"/>
  <c r="AC96" i="26"/>
  <c r="U82" i="26"/>
  <c r="AG80" i="26"/>
  <c r="AA95" i="26"/>
  <c r="AA85" i="26"/>
  <c r="AA87" i="26" s="1"/>
  <c r="V86" i="26"/>
  <c r="V88" i="26" s="1"/>
  <c r="V96" i="26"/>
  <c r="AD86" i="26"/>
  <c r="AD88" i="26" s="1"/>
  <c r="AD96" i="26"/>
  <c r="U62" i="26"/>
  <c r="U68" i="26"/>
  <c r="L72" i="26"/>
  <c r="U73" i="26"/>
  <c r="C82" i="26"/>
  <c r="O82" i="26" s="1"/>
  <c r="AB88" i="26"/>
  <c r="X85" i="26"/>
  <c r="X87" i="26" s="1"/>
  <c r="AF85" i="26"/>
  <c r="AF87" i="26" s="1"/>
  <c r="AG89" i="26"/>
  <c r="AF94" i="26"/>
  <c r="U93" i="26"/>
  <c r="AG93" i="26" s="1"/>
  <c r="AG91" i="26"/>
  <c r="AB96" i="26"/>
  <c r="O120" i="26"/>
  <c r="U55" i="26"/>
  <c r="K110" i="26"/>
  <c r="K121" i="26"/>
  <c r="O121" i="26" s="1"/>
  <c r="AF71" i="26"/>
  <c r="AF73" i="26" s="1"/>
  <c r="AF75" i="26" s="1"/>
  <c r="L73" i="26"/>
  <c r="L75" i="26" s="1"/>
  <c r="O79" i="26"/>
  <c r="W86" i="26"/>
  <c r="W88" i="26" s="1"/>
  <c r="W96" i="26"/>
  <c r="AE86" i="26"/>
  <c r="AE88" i="26" s="1"/>
  <c r="AE96" i="26"/>
  <c r="O85" i="26"/>
  <c r="C88" i="26"/>
  <c r="O88" i="26" s="1"/>
  <c r="O86" i="26"/>
  <c r="O91" i="26"/>
  <c r="O50" i="26"/>
  <c r="X96" i="26"/>
  <c r="X86" i="26"/>
  <c r="X88" i="26" s="1"/>
  <c r="AF96" i="26"/>
  <c r="AF86" i="26"/>
  <c r="AF88" i="26" s="1"/>
  <c r="M121" i="26"/>
  <c r="M110" i="26"/>
  <c r="N73" i="26"/>
  <c r="N75" i="26" s="1"/>
  <c r="U79" i="26"/>
  <c r="W95" i="26"/>
  <c r="AE95" i="26"/>
  <c r="Y96" i="26"/>
  <c r="U85" i="26"/>
  <c r="AC85" i="26"/>
  <c r="AC87" i="26" s="1"/>
  <c r="N110" i="26"/>
  <c r="Z96" i="26"/>
  <c r="Z86" i="26"/>
  <c r="Z88" i="26" s="1"/>
  <c r="V85" i="26"/>
  <c r="V87" i="26" s="1"/>
  <c r="AD85" i="26"/>
  <c r="AD87" i="26" s="1"/>
  <c r="K72" i="26"/>
  <c r="AG83" i="26"/>
  <c r="AA86" i="26"/>
  <c r="AA88" i="26" s="1"/>
  <c r="AA96" i="26"/>
  <c r="O87" i="26"/>
  <c r="W85" i="26"/>
  <c r="W87" i="26" s="1"/>
  <c r="AE85" i="26"/>
  <c r="AE87" i="26" s="1"/>
  <c r="Y86" i="26"/>
  <c r="Y88" i="26" s="1"/>
  <c r="C93" i="26"/>
  <c r="O93" i="26" s="1"/>
  <c r="O92" i="26"/>
  <c r="M51" i="14" l="1"/>
  <c r="L51" i="14"/>
  <c r="P250" i="27"/>
  <c r="P251" i="27" s="1"/>
  <c r="R249" i="27"/>
  <c r="R137" i="27"/>
  <c r="P139" i="27"/>
  <c r="F263" i="27"/>
  <c r="F265" i="27" s="1"/>
  <c r="F284" i="27"/>
  <c r="AM239" i="27"/>
  <c r="AA241" i="27"/>
  <c r="AM241" i="27" s="1"/>
  <c r="AM243" i="27" s="1"/>
  <c r="AA292" i="27"/>
  <c r="AA275" i="27"/>
  <c r="AE263" i="27"/>
  <c r="H284" i="27"/>
  <c r="H286" i="27" s="1"/>
  <c r="H263" i="27"/>
  <c r="H265" i="27" s="1"/>
  <c r="E48" i="27"/>
  <c r="P42" i="27"/>
  <c r="E282" i="27"/>
  <c r="E291" i="27"/>
  <c r="P291" i="27" s="1"/>
  <c r="E275" i="27"/>
  <c r="AM16" i="27"/>
  <c r="AA26" i="27"/>
  <c r="G242" i="27"/>
  <c r="G276" i="27"/>
  <c r="G294" i="27"/>
  <c r="M241" i="27"/>
  <c r="M293" i="27"/>
  <c r="M275" i="27"/>
  <c r="AM249" i="27"/>
  <c r="AM251" i="27" s="1"/>
  <c r="AE261" i="27"/>
  <c r="AG264" i="27"/>
  <c r="AG265" i="27" s="1"/>
  <c r="AG285" i="27"/>
  <c r="AG286" i="27" s="1"/>
  <c r="AM240" i="27"/>
  <c r="AI263" i="27"/>
  <c r="AI265" i="27" s="1"/>
  <c r="AC285" i="27"/>
  <c r="O242" i="27"/>
  <c r="O276" i="27"/>
  <c r="O294" i="27"/>
  <c r="P28" i="27"/>
  <c r="R26" i="27"/>
  <c r="R92" i="27"/>
  <c r="P94" i="27"/>
  <c r="AB204" i="27"/>
  <c r="AM204" i="27" s="1"/>
  <c r="AB293" i="27"/>
  <c r="O283" i="27"/>
  <c r="AM260" i="27"/>
  <c r="AC159" i="27"/>
  <c r="AM145" i="27"/>
  <c r="AC275" i="27"/>
  <c r="AC282" i="27"/>
  <c r="AC292" i="27"/>
  <c r="D181" i="27"/>
  <c r="P181" i="27" s="1"/>
  <c r="R181" i="27" s="1"/>
  <c r="D282" i="27"/>
  <c r="P282" i="27" s="1"/>
  <c r="P65" i="27"/>
  <c r="AM17" i="27"/>
  <c r="I250" i="27"/>
  <c r="I294" i="27"/>
  <c r="I283" i="27"/>
  <c r="D293" i="27"/>
  <c r="P293" i="27" s="1"/>
  <c r="P255" i="27"/>
  <c r="D257" i="27"/>
  <c r="P257" i="27" s="1"/>
  <c r="R257" i="27" s="1"/>
  <c r="AL263" i="27"/>
  <c r="AL265" i="27" s="1"/>
  <c r="AL284" i="27"/>
  <c r="AL286" i="27" s="1"/>
  <c r="K250" i="27"/>
  <c r="K294" i="27"/>
  <c r="K276" i="27"/>
  <c r="P248" i="27"/>
  <c r="I275" i="27"/>
  <c r="I241" i="27"/>
  <c r="P241" i="27" s="1"/>
  <c r="I293" i="27"/>
  <c r="AM108" i="27"/>
  <c r="AB114" i="27"/>
  <c r="AM114" i="27" s="1"/>
  <c r="AN116" i="27" s="1"/>
  <c r="AB275" i="27"/>
  <c r="AM232" i="27"/>
  <c r="AA234" i="27"/>
  <c r="AM234" i="27" s="1"/>
  <c r="AM235" i="27" s="1"/>
  <c r="R27" i="27"/>
  <c r="AM146" i="27"/>
  <c r="AM274" i="27" s="1"/>
  <c r="AA160" i="27"/>
  <c r="AM160" i="27" s="1"/>
  <c r="AA276" i="27"/>
  <c r="AM276" i="27" s="1"/>
  <c r="AA293" i="27"/>
  <c r="AA283" i="27"/>
  <c r="F264" i="27"/>
  <c r="F285" i="27"/>
  <c r="AE285" i="27"/>
  <c r="AE286" i="27" s="1"/>
  <c r="AE264" i="27"/>
  <c r="J258" i="27"/>
  <c r="J294" i="27"/>
  <c r="P256" i="27"/>
  <c r="AH292" i="27"/>
  <c r="AH241" i="27"/>
  <c r="AH275" i="27"/>
  <c r="AH282" i="27"/>
  <c r="P43" i="27"/>
  <c r="E49" i="27"/>
  <c r="E276" i="27"/>
  <c r="E283" i="27"/>
  <c r="P283" i="27" s="1"/>
  <c r="E292" i="27"/>
  <c r="P292" i="27" s="1"/>
  <c r="AM49" i="27"/>
  <c r="AM50" i="27" s="1"/>
  <c r="AA285" i="27"/>
  <c r="AM285" i="27" s="1"/>
  <c r="E203" i="27"/>
  <c r="P203" i="27" s="1"/>
  <c r="P189" i="27"/>
  <c r="E293" i="27"/>
  <c r="P109" i="27"/>
  <c r="AA182" i="27"/>
  <c r="AM182" i="27" s="1"/>
  <c r="AM170" i="27"/>
  <c r="Q74" i="27"/>
  <c r="AM256" i="27"/>
  <c r="AJ264" i="27"/>
  <c r="AJ265" i="27" s="1"/>
  <c r="AM27" i="27"/>
  <c r="AB264" i="27"/>
  <c r="AB285" i="27"/>
  <c r="AB49" i="27"/>
  <c r="AB291" i="27"/>
  <c r="AM291" i="27" s="1"/>
  <c r="AB276" i="27"/>
  <c r="AB283" i="27"/>
  <c r="AA257" i="27"/>
  <c r="AM257" i="27" s="1"/>
  <c r="AM255" i="27"/>
  <c r="AM64" i="27"/>
  <c r="AB70" i="27"/>
  <c r="AB282" i="27"/>
  <c r="AB290" i="27"/>
  <c r="AM290" i="27" s="1"/>
  <c r="AM81" i="27"/>
  <c r="AA93" i="27"/>
  <c r="AM93" i="27" s="1"/>
  <c r="AM190" i="27"/>
  <c r="E226" i="27"/>
  <c r="P226" i="27" s="1"/>
  <c r="R226" i="27" s="1"/>
  <c r="E294" i="27"/>
  <c r="AM273" i="27"/>
  <c r="R225" i="27"/>
  <c r="AM94" i="27"/>
  <c r="AM261" i="27"/>
  <c r="AM189" i="27"/>
  <c r="AD203" i="27"/>
  <c r="AD275" i="27"/>
  <c r="AD282" i="27"/>
  <c r="AD292" i="27"/>
  <c r="P235" i="27"/>
  <c r="P159" i="27"/>
  <c r="AA282" i="27"/>
  <c r="G100" i="26"/>
  <c r="G115" i="26"/>
  <c r="G116" i="26" s="1"/>
  <c r="AB46" i="26"/>
  <c r="U36" i="26"/>
  <c r="AG36" i="26" s="1"/>
  <c r="AG34" i="26"/>
  <c r="AD94" i="26"/>
  <c r="Z94" i="26"/>
  <c r="Z100" i="26" s="1"/>
  <c r="AG67" i="26"/>
  <c r="U69" i="26"/>
  <c r="AG69" i="26" s="1"/>
  <c r="V94" i="26"/>
  <c r="AB94" i="26"/>
  <c r="I111" i="26"/>
  <c r="O111" i="26" s="1"/>
  <c r="I122" i="26"/>
  <c r="I74" i="26"/>
  <c r="O72" i="26"/>
  <c r="AA72" i="26"/>
  <c r="I114" i="26"/>
  <c r="I99" i="26"/>
  <c r="J130" i="26"/>
  <c r="M37" i="26"/>
  <c r="M100" i="26" s="1"/>
  <c r="AE37" i="26"/>
  <c r="U75" i="26"/>
  <c r="AG73" i="26"/>
  <c r="V128" i="26"/>
  <c r="V45" i="26"/>
  <c r="V114" i="26" s="1"/>
  <c r="AF64" i="26"/>
  <c r="AF114" i="26"/>
  <c r="AF99" i="26"/>
  <c r="L130" i="26"/>
  <c r="U37" i="26"/>
  <c r="AE31" i="26"/>
  <c r="O36" i="26"/>
  <c r="AF13" i="26"/>
  <c r="M113" i="26"/>
  <c r="E37" i="26"/>
  <c r="H114" i="26"/>
  <c r="H99" i="26"/>
  <c r="H101" i="26" s="1"/>
  <c r="O18" i="26"/>
  <c r="AB112" i="26"/>
  <c r="F114" i="26"/>
  <c r="F116" i="26" s="1"/>
  <c r="F99" i="26"/>
  <c r="F101" i="26" s="1"/>
  <c r="AG119" i="26"/>
  <c r="Z128" i="26"/>
  <c r="Z130" i="26" s="1"/>
  <c r="Z45" i="26"/>
  <c r="AF25" i="26"/>
  <c r="V127" i="26"/>
  <c r="V113" i="26"/>
  <c r="V13" i="26"/>
  <c r="AD64" i="26"/>
  <c r="AC37" i="26"/>
  <c r="H31" i="26"/>
  <c r="E114" i="26"/>
  <c r="E99" i="26"/>
  <c r="AB128" i="26"/>
  <c r="AB45" i="26"/>
  <c r="AB114" i="26" s="1"/>
  <c r="U31" i="26"/>
  <c r="H115" i="26"/>
  <c r="H100" i="26"/>
  <c r="AE112" i="26"/>
  <c r="AF31" i="26"/>
  <c r="AC31" i="26"/>
  <c r="AB13" i="26"/>
  <c r="AC46" i="26"/>
  <c r="X94" i="26"/>
  <c r="AG94" i="26" s="1"/>
  <c r="O75" i="26"/>
  <c r="O19" i="26"/>
  <c r="AB25" i="26"/>
  <c r="U70" i="26"/>
  <c r="AG68" i="26"/>
  <c r="U88" i="26"/>
  <c r="AG86" i="26"/>
  <c r="I128" i="26"/>
  <c r="I130" i="26" s="1"/>
  <c r="O73" i="26"/>
  <c r="AE122" i="26"/>
  <c r="AB70" i="26"/>
  <c r="N128" i="26"/>
  <c r="AF37" i="26"/>
  <c r="C37" i="26"/>
  <c r="X13" i="26"/>
  <c r="AF110" i="26"/>
  <c r="AB31" i="26"/>
  <c r="U131" i="26"/>
  <c r="AE64" i="26"/>
  <c r="X52" i="26"/>
  <c r="AG52" i="26" s="1"/>
  <c r="AD70" i="26"/>
  <c r="I37" i="26"/>
  <c r="AF112" i="26"/>
  <c r="Y13" i="26"/>
  <c r="AA37" i="26"/>
  <c r="Y114" i="26"/>
  <c r="Y99" i="26"/>
  <c r="W127" i="26"/>
  <c r="W131" i="26" s="1"/>
  <c r="W113" i="26"/>
  <c r="W13" i="26"/>
  <c r="AG16" i="26"/>
  <c r="U18" i="26"/>
  <c r="AG18" i="26" s="1"/>
  <c r="X114" i="26"/>
  <c r="X99" i="26"/>
  <c r="U81" i="26"/>
  <c r="AG81" i="26" s="1"/>
  <c r="AG79" i="26"/>
  <c r="AF122" i="26"/>
  <c r="U25" i="26"/>
  <c r="V37" i="26"/>
  <c r="AE94" i="26"/>
  <c r="U64" i="26"/>
  <c r="AG62" i="26"/>
  <c r="AF70" i="26"/>
  <c r="V25" i="26"/>
  <c r="D37" i="26"/>
  <c r="D100" i="26" s="1"/>
  <c r="O24" i="26"/>
  <c r="AC112" i="26"/>
  <c r="AC126" i="26"/>
  <c r="AC12" i="26"/>
  <c r="Z25" i="26"/>
  <c r="D131" i="26"/>
  <c r="O30" i="26"/>
  <c r="O45" i="26"/>
  <c r="W25" i="26"/>
  <c r="G130" i="26"/>
  <c r="W64" i="26"/>
  <c r="C115" i="26"/>
  <c r="C100" i="26"/>
  <c r="O13" i="26"/>
  <c r="AC94" i="26"/>
  <c r="V70" i="26"/>
  <c r="W128" i="26"/>
  <c r="N112" i="26"/>
  <c r="AA19" i="26"/>
  <c r="AG120" i="26"/>
  <c r="W112" i="26"/>
  <c r="K99" i="26"/>
  <c r="V129" i="26"/>
  <c r="AA64" i="26"/>
  <c r="G99" i="26"/>
  <c r="G101" i="26" s="1"/>
  <c r="X31" i="26"/>
  <c r="AC128" i="26"/>
  <c r="AC45" i="26"/>
  <c r="Y128" i="26"/>
  <c r="Y45" i="26"/>
  <c r="E115" i="26"/>
  <c r="E100" i="26"/>
  <c r="AG110" i="26"/>
  <c r="AB121" i="26"/>
  <c r="AG121" i="26" s="1"/>
  <c r="AA13" i="26"/>
  <c r="L122" i="26"/>
  <c r="L74" i="26"/>
  <c r="L111" i="26"/>
  <c r="AD72" i="26"/>
  <c r="AF121" i="26"/>
  <c r="U128" i="26"/>
  <c r="AG128" i="26" s="1"/>
  <c r="U45" i="26"/>
  <c r="AG43" i="26"/>
  <c r="AG61" i="26"/>
  <c r="U63" i="26"/>
  <c r="AG63" i="26" s="1"/>
  <c r="U129" i="26"/>
  <c r="U46" i="26"/>
  <c r="AG44" i="26"/>
  <c r="Z131" i="26"/>
  <c r="J114" i="26"/>
  <c r="J99" i="26"/>
  <c r="AE128" i="26"/>
  <c r="AE130" i="26" s="1"/>
  <c r="AE127" i="26"/>
  <c r="AE113" i="26"/>
  <c r="AE13" i="26"/>
  <c r="U113" i="26"/>
  <c r="AF111" i="26"/>
  <c r="AG55" i="26"/>
  <c r="U57" i="26"/>
  <c r="AG57" i="26" s="1"/>
  <c r="AG82" i="26"/>
  <c r="W94" i="26"/>
  <c r="K122" i="26"/>
  <c r="K111" i="26"/>
  <c r="K74" i="26"/>
  <c r="AC72" i="26"/>
  <c r="Y94" i="26"/>
  <c r="Z129" i="26"/>
  <c r="Z46" i="26"/>
  <c r="J111" i="26"/>
  <c r="J74" i="26"/>
  <c r="AB72" i="26"/>
  <c r="J122" i="26"/>
  <c r="X70" i="26"/>
  <c r="AE129" i="26"/>
  <c r="AE46" i="26"/>
  <c r="U30" i="26"/>
  <c r="AG30" i="26" s="1"/>
  <c r="AG28" i="26"/>
  <c r="AC70" i="26"/>
  <c r="W37" i="26"/>
  <c r="N114" i="26"/>
  <c r="N99" i="26"/>
  <c r="G131" i="26"/>
  <c r="Y31" i="26"/>
  <c r="C114" i="26"/>
  <c r="C99" i="26"/>
  <c r="O12" i="26"/>
  <c r="O112" i="26"/>
  <c r="AG56" i="26"/>
  <c r="AA25" i="26"/>
  <c r="AF128" i="26"/>
  <c r="AF130" i="26" s="1"/>
  <c r="U112" i="26"/>
  <c r="U126" i="26"/>
  <c r="U12" i="26"/>
  <c r="AG10" i="26"/>
  <c r="AG24" i="26"/>
  <c r="Z58" i="26"/>
  <c r="AG58" i="26" s="1"/>
  <c r="AA58" i="26"/>
  <c r="O128" i="26"/>
  <c r="W19" i="26"/>
  <c r="AG19" i="26" s="1"/>
  <c r="Y19" i="26"/>
  <c r="AE70" i="26"/>
  <c r="X128" i="26"/>
  <c r="X130" i="26" s="1"/>
  <c r="O25" i="26"/>
  <c r="Z114" i="26"/>
  <c r="Z99" i="26"/>
  <c r="AF58" i="26"/>
  <c r="L37" i="26"/>
  <c r="AC25" i="26"/>
  <c r="N130" i="26"/>
  <c r="AB110" i="26"/>
  <c r="AA31" i="26"/>
  <c r="X112" i="26"/>
  <c r="W130" i="26"/>
  <c r="Y25" i="26"/>
  <c r="AD31" i="26"/>
  <c r="Y130" i="26"/>
  <c r="AA128" i="26"/>
  <c r="AA45" i="26"/>
  <c r="U87" i="26"/>
  <c r="AG87" i="26" s="1"/>
  <c r="AG85" i="26"/>
  <c r="W129" i="26"/>
  <c r="W46" i="26"/>
  <c r="AG71" i="26"/>
  <c r="O31" i="26"/>
  <c r="L114" i="26"/>
  <c r="L99" i="26"/>
  <c r="AE114" i="26"/>
  <c r="AE99" i="26"/>
  <c r="C130" i="26"/>
  <c r="O126" i="26"/>
  <c r="N131" i="26"/>
  <c r="AD25" i="26"/>
  <c r="Y37" i="26"/>
  <c r="AB99" i="26"/>
  <c r="W114" i="26"/>
  <c r="W99" i="26"/>
  <c r="C131" i="26"/>
  <c r="O127" i="26"/>
  <c r="W70" i="26"/>
  <c r="N37" i="26"/>
  <c r="N115" i="26" s="1"/>
  <c r="J37" i="26"/>
  <c r="AD46" i="26"/>
  <c r="V112" i="26"/>
  <c r="AB37" i="26"/>
  <c r="F100" i="26"/>
  <c r="Y129" i="26"/>
  <c r="Y131" i="26" s="1"/>
  <c r="Y46" i="26"/>
  <c r="AF129" i="26"/>
  <c r="AF131" i="26" s="1"/>
  <c r="AF46" i="26"/>
  <c r="AA94" i="26"/>
  <c r="AD128" i="26"/>
  <c r="AD130" i="26" s="1"/>
  <c r="AD45" i="26"/>
  <c r="AD99" i="26" s="1"/>
  <c r="X129" i="26"/>
  <c r="X131" i="26" s="1"/>
  <c r="X46" i="26"/>
  <c r="M131" i="26"/>
  <c r="AB130" i="26"/>
  <c r="AD127" i="26"/>
  <c r="AD13" i="26"/>
  <c r="AA126" i="26"/>
  <c r="AA130" i="26" s="1"/>
  <c r="AA112" i="26"/>
  <c r="AA12" i="26"/>
  <c r="D114" i="26"/>
  <c r="D99" i="26"/>
  <c r="M114" i="26"/>
  <c r="M99" i="26"/>
  <c r="V130" i="26"/>
  <c r="R241" i="27" l="1"/>
  <c r="P261" i="27"/>
  <c r="R261" i="27" s="1"/>
  <c r="J285" i="27"/>
  <c r="J286" i="27" s="1"/>
  <c r="J264" i="27"/>
  <c r="J265" i="27" s="1"/>
  <c r="P258" i="27"/>
  <c r="R258" i="27" s="1"/>
  <c r="G285" i="27"/>
  <c r="G286" i="27" s="1"/>
  <c r="G264" i="27"/>
  <c r="G265" i="27" s="1"/>
  <c r="D284" i="27"/>
  <c r="P276" i="27"/>
  <c r="E284" i="27"/>
  <c r="E263" i="27"/>
  <c r="P48" i="27"/>
  <c r="AM292" i="27"/>
  <c r="AM283" i="27"/>
  <c r="P227" i="27"/>
  <c r="R203" i="27"/>
  <c r="P205" i="27"/>
  <c r="P274" i="27"/>
  <c r="AM293" i="27"/>
  <c r="AM26" i="27"/>
  <c r="AA284" i="27"/>
  <c r="AA263" i="27"/>
  <c r="AB263" i="27"/>
  <c r="AB265" i="27" s="1"/>
  <c r="AB284" i="27"/>
  <c r="AB286" i="27" s="1"/>
  <c r="AM70" i="27"/>
  <c r="AM282" i="27"/>
  <c r="P294" i="27"/>
  <c r="AA264" i="27"/>
  <c r="AM264" i="27" s="1"/>
  <c r="K264" i="27"/>
  <c r="K265" i="27" s="1"/>
  <c r="K285" i="27"/>
  <c r="K286" i="27" s="1"/>
  <c r="I264" i="27"/>
  <c r="I285" i="27"/>
  <c r="O285" i="27"/>
  <c r="O286" i="27" s="1"/>
  <c r="O264" i="27"/>
  <c r="O265" i="27" s="1"/>
  <c r="P275" i="27"/>
  <c r="AE265" i="27"/>
  <c r="F286" i="27"/>
  <c r="AD284" i="27"/>
  <c r="AD286" i="27" s="1"/>
  <c r="AD263" i="27"/>
  <c r="AD265" i="27" s="1"/>
  <c r="AM203" i="27"/>
  <c r="AM205" i="27" s="1"/>
  <c r="AH263" i="27"/>
  <c r="AH265" i="27" s="1"/>
  <c r="AH284" i="27"/>
  <c r="AH286" i="27" s="1"/>
  <c r="R250" i="27"/>
  <c r="D263" i="27"/>
  <c r="AC263" i="27"/>
  <c r="AC265" i="27" s="1"/>
  <c r="AC284" i="27"/>
  <c r="AC286" i="27" s="1"/>
  <c r="AM159" i="27"/>
  <c r="AM161" i="27" s="1"/>
  <c r="M284" i="27"/>
  <c r="M286" i="27" s="1"/>
  <c r="M263" i="27"/>
  <c r="M265" i="27" s="1"/>
  <c r="E285" i="27"/>
  <c r="P285" i="27" s="1"/>
  <c r="E264" i="27"/>
  <c r="P49" i="27"/>
  <c r="P161" i="27"/>
  <c r="R159" i="27"/>
  <c r="AM117" i="27"/>
  <c r="I263" i="27"/>
  <c r="I284" i="27"/>
  <c r="I286" i="27" s="1"/>
  <c r="P273" i="27"/>
  <c r="AM275" i="27"/>
  <c r="P242" i="27"/>
  <c r="R242" i="27" s="1"/>
  <c r="L100" i="26"/>
  <c r="L101" i="26" s="1"/>
  <c r="AA99" i="26"/>
  <c r="AA114" i="26"/>
  <c r="AG25" i="26"/>
  <c r="W115" i="26"/>
  <c r="W116" i="26" s="1"/>
  <c r="W100" i="26"/>
  <c r="W101" i="26" s="1"/>
  <c r="X115" i="26"/>
  <c r="X100" i="26"/>
  <c r="U115" i="26"/>
  <c r="AF115" i="26"/>
  <c r="AF116" i="26" s="1"/>
  <c r="AF100" i="26"/>
  <c r="V99" i="26"/>
  <c r="V101" i="26" s="1"/>
  <c r="AA74" i="26"/>
  <c r="AA111" i="26"/>
  <c r="AG111" i="26" s="1"/>
  <c r="AA122" i="26"/>
  <c r="AG72" i="26"/>
  <c r="O130" i="26"/>
  <c r="N101" i="26"/>
  <c r="AC74" i="26"/>
  <c r="AC111" i="26"/>
  <c r="AC122" i="26"/>
  <c r="AG45" i="26"/>
  <c r="AG127" i="26"/>
  <c r="O37" i="26"/>
  <c r="O38" i="26" s="1"/>
  <c r="AG88" i="26"/>
  <c r="AI17" i="26"/>
  <c r="AG31" i="26"/>
  <c r="V115" i="26"/>
  <c r="V116" i="26" s="1"/>
  <c r="V100" i="26"/>
  <c r="AE116" i="26"/>
  <c r="AB74" i="26"/>
  <c r="AB111" i="26"/>
  <c r="AB122" i="26"/>
  <c r="AC130" i="26"/>
  <c r="AG64" i="26"/>
  <c r="AG70" i="26"/>
  <c r="V131" i="26"/>
  <c r="O122" i="26"/>
  <c r="K76" i="26"/>
  <c r="K129" i="26"/>
  <c r="K131" i="26" s="1"/>
  <c r="K113" i="26"/>
  <c r="AC114" i="26"/>
  <c r="AC99" i="26"/>
  <c r="U114" i="26"/>
  <c r="U99" i="26"/>
  <c r="AG12" i="26"/>
  <c r="AG46" i="26"/>
  <c r="X101" i="26"/>
  <c r="M115" i="26"/>
  <c r="M116" i="26" s="1"/>
  <c r="Z115" i="26"/>
  <c r="Z116" i="26" s="1"/>
  <c r="Z101" i="26"/>
  <c r="AG126" i="26"/>
  <c r="U130" i="26"/>
  <c r="C101" i="26"/>
  <c r="O99" i="26"/>
  <c r="X116" i="26"/>
  <c r="AD114" i="26"/>
  <c r="E116" i="26"/>
  <c r="H116" i="26"/>
  <c r="N100" i="26"/>
  <c r="N116" i="26"/>
  <c r="I76" i="26"/>
  <c r="O74" i="26"/>
  <c r="I129" i="26"/>
  <c r="I113" i="26"/>
  <c r="AD74" i="26"/>
  <c r="AD122" i="26"/>
  <c r="AD111" i="26"/>
  <c r="E101" i="26"/>
  <c r="D101" i="26"/>
  <c r="AG112" i="26"/>
  <c r="C116" i="26"/>
  <c r="O114" i="26"/>
  <c r="AE131" i="26"/>
  <c r="L76" i="26"/>
  <c r="L115" i="26" s="1"/>
  <c r="L116" i="26" s="1"/>
  <c r="L113" i="26"/>
  <c r="L129" i="26"/>
  <c r="L131" i="26" s="1"/>
  <c r="D115" i="26"/>
  <c r="AG13" i="26"/>
  <c r="AF101" i="26"/>
  <c r="M101" i="26"/>
  <c r="J76" i="26"/>
  <c r="J100" i="26" s="1"/>
  <c r="J101" i="26" s="1"/>
  <c r="J113" i="26"/>
  <c r="J129" i="26"/>
  <c r="J131" i="26" s="1"/>
  <c r="AE115" i="26"/>
  <c r="AE100" i="26"/>
  <c r="AE101" i="26" s="1"/>
  <c r="AG37" i="26"/>
  <c r="Y100" i="26"/>
  <c r="Y101" i="26" s="1"/>
  <c r="Y115" i="26"/>
  <c r="Y116" i="26" s="1"/>
  <c r="U100" i="26"/>
  <c r="P264" i="27" l="1"/>
  <c r="D265" i="27"/>
  <c r="P263" i="27"/>
  <c r="P265" i="27" s="1"/>
  <c r="E265" i="27"/>
  <c r="I265" i="27"/>
  <c r="P262" i="27"/>
  <c r="R262" i="27" s="1"/>
  <c r="AM263" i="27"/>
  <c r="AM265" i="27" s="1"/>
  <c r="AA265" i="27"/>
  <c r="AM284" i="27"/>
  <c r="AA286" i="27"/>
  <c r="AM286" i="27" s="1"/>
  <c r="AM28" i="27"/>
  <c r="AM116" i="27"/>
  <c r="P284" i="27"/>
  <c r="D286" i="27"/>
  <c r="E286" i="27"/>
  <c r="R49" i="27"/>
  <c r="P117" i="27"/>
  <c r="R48" i="27"/>
  <c r="P50" i="27"/>
  <c r="P116" i="27"/>
  <c r="P243" i="27"/>
  <c r="O76" i="26"/>
  <c r="I115" i="26"/>
  <c r="I116" i="26" s="1"/>
  <c r="I100" i="26"/>
  <c r="D116" i="26"/>
  <c r="O116" i="26" s="1"/>
  <c r="K115" i="26"/>
  <c r="K116" i="26" s="1"/>
  <c r="K100" i="26"/>
  <c r="K101" i="26" s="1"/>
  <c r="AC76" i="26"/>
  <c r="AC113" i="26"/>
  <c r="AC129" i="26"/>
  <c r="AC131" i="26" s="1"/>
  <c r="AD76" i="26"/>
  <c r="AD129" i="26"/>
  <c r="AD131" i="26" s="1"/>
  <c r="AD113" i="26"/>
  <c r="U101" i="26"/>
  <c r="AG99" i="26"/>
  <c r="AG130" i="26"/>
  <c r="U116" i="26"/>
  <c r="AG114" i="26"/>
  <c r="J115" i="26"/>
  <c r="J116" i="26" s="1"/>
  <c r="O113" i="26"/>
  <c r="AB76" i="26"/>
  <c r="AB129" i="26"/>
  <c r="AB131" i="26" s="1"/>
  <c r="AB113" i="26"/>
  <c r="AA76" i="26"/>
  <c r="AG74" i="26"/>
  <c r="AA113" i="26"/>
  <c r="AA129" i="26"/>
  <c r="I131" i="26"/>
  <c r="O131" i="26" s="1"/>
  <c r="O129" i="26"/>
  <c r="AG122" i="26"/>
  <c r="P267" i="27" l="1"/>
  <c r="I268" i="27"/>
  <c r="I267" i="27" s="1"/>
  <c r="I266" i="27" s="1"/>
  <c r="P286" i="27"/>
  <c r="AP28" i="27"/>
  <c r="Q266" i="27"/>
  <c r="AM277" i="27"/>
  <c r="P277" i="27"/>
  <c r="AP116" i="27" s="1"/>
  <c r="AQ116" i="27" s="1"/>
  <c r="AB100" i="26"/>
  <c r="AB101" i="26" s="1"/>
  <c r="AB115" i="26"/>
  <c r="AB116" i="26" s="1"/>
  <c r="AA131" i="26"/>
  <c r="AG131" i="26" s="1"/>
  <c r="AG129" i="26"/>
  <c r="AG113" i="26"/>
  <c r="AA100" i="26"/>
  <c r="AA115" i="26"/>
  <c r="AD115" i="26"/>
  <c r="AD116" i="26" s="1"/>
  <c r="AD100" i="26"/>
  <c r="AD101" i="26" s="1"/>
  <c r="AC100" i="26"/>
  <c r="AC101" i="26" s="1"/>
  <c r="AC115" i="26"/>
  <c r="AC116" i="26" s="1"/>
  <c r="O100" i="26"/>
  <c r="I101" i="26"/>
  <c r="O115" i="26"/>
  <c r="AQ28" i="27" l="1"/>
  <c r="S50" i="27"/>
  <c r="T50" i="27" s="1"/>
  <c r="AP227" i="27"/>
  <c r="AQ227" i="27" s="1"/>
  <c r="AP139" i="27"/>
  <c r="AQ139" i="27" s="1"/>
  <c r="AP251" i="27"/>
  <c r="AQ251" i="27" s="1"/>
  <c r="AP50" i="27"/>
  <c r="AQ50" i="27" s="1"/>
  <c r="S139" i="27"/>
  <c r="T139" i="27" s="1"/>
  <c r="AP235" i="27"/>
  <c r="AQ235" i="27" s="1"/>
  <c r="AP94" i="27"/>
  <c r="AQ94" i="27" s="1"/>
  <c r="S94" i="27"/>
  <c r="T94" i="27" s="1"/>
  <c r="S251" i="27"/>
  <c r="T251" i="27" s="1"/>
  <c r="AP243" i="27"/>
  <c r="AQ243" i="27" s="1"/>
  <c r="S28" i="27"/>
  <c r="S235" i="27"/>
  <c r="T235" i="27" s="1"/>
  <c r="S161" i="27"/>
  <c r="T161" i="27" s="1"/>
  <c r="AP161" i="27"/>
  <c r="AQ161" i="27" s="1"/>
  <c r="AP205" i="27"/>
  <c r="AQ205" i="27" s="1"/>
  <c r="S227" i="27"/>
  <c r="T227" i="27" s="1"/>
  <c r="S205" i="27"/>
  <c r="T205" i="27" s="1"/>
  <c r="S243" i="27"/>
  <c r="T243" i="27" s="1"/>
  <c r="N268" i="27"/>
  <c r="N267" i="27" s="1"/>
  <c r="N266" i="27" s="1"/>
  <c r="L268" i="27"/>
  <c r="L267" i="27" s="1"/>
  <c r="L266" i="27" s="1"/>
  <c r="M268" i="27"/>
  <c r="M267" i="27" s="1"/>
  <c r="M266" i="27" s="1"/>
  <c r="O268" i="27"/>
  <c r="O267" i="27" s="1"/>
  <c r="O266" i="27" s="1"/>
  <c r="K268" i="27"/>
  <c r="K267" i="27" s="1"/>
  <c r="K266" i="27" s="1"/>
  <c r="J268" i="27"/>
  <c r="J267" i="27" s="1"/>
  <c r="J266" i="27" s="1"/>
  <c r="P266" i="27" s="1"/>
  <c r="Q267" i="27" s="1"/>
  <c r="S116" i="27"/>
  <c r="T116" i="27" s="1"/>
  <c r="AG115" i="26"/>
  <c r="AA116" i="26"/>
  <c r="AG116" i="26" s="1"/>
  <c r="O104" i="26"/>
  <c r="I104" i="26" s="1"/>
  <c r="I103" i="26" s="1"/>
  <c r="O101" i="26"/>
  <c r="P102" i="26" s="1"/>
  <c r="AA101" i="26"/>
  <c r="AG100" i="26"/>
  <c r="AG101" i="26" s="1"/>
  <c r="AP277" i="27" l="1"/>
  <c r="T28" i="27"/>
  <c r="T277" i="27" s="1"/>
  <c r="S277" i="27"/>
  <c r="AQ277" i="27"/>
  <c r="H104" i="26"/>
  <c r="H103" i="26" s="1"/>
  <c r="J104" i="26"/>
  <c r="J103" i="26" s="1"/>
  <c r="M104" i="26"/>
  <c r="M103" i="26" s="1"/>
  <c r="N104" i="26"/>
  <c r="N103" i="26" s="1"/>
  <c r="L104" i="26"/>
  <c r="L103" i="26" s="1"/>
  <c r="K104" i="26"/>
  <c r="K103" i="26" s="1"/>
  <c r="AG3" i="27" l="1"/>
  <c r="AG4" i="27" s="1"/>
  <c r="H3" i="27" l="1"/>
  <c r="J3" i="27" s="1"/>
  <c r="G9" i="23" l="1"/>
  <c r="AM173" i="24"/>
  <c r="AL173" i="24"/>
  <c r="AK173" i="24"/>
  <c r="AJ173" i="24"/>
  <c r="AI173" i="24"/>
  <c r="AH173" i="24"/>
  <c r="AG173" i="24"/>
  <c r="AF173" i="24"/>
  <c r="AE173" i="24"/>
  <c r="AD173" i="24"/>
  <c r="AC173" i="24"/>
  <c r="AM172" i="24"/>
  <c r="AL172" i="24"/>
  <c r="AK172" i="24"/>
  <c r="AJ172" i="24"/>
  <c r="AI172" i="24"/>
  <c r="AH172" i="24"/>
  <c r="AG172" i="24"/>
  <c r="AF172" i="24"/>
  <c r="AE172" i="24"/>
  <c r="AD172" i="24"/>
  <c r="AC172" i="24"/>
  <c r="AB173" i="24"/>
  <c r="AB172" i="24"/>
  <c r="AM165" i="24"/>
  <c r="AL165" i="24"/>
  <c r="AK165" i="24"/>
  <c r="AJ165" i="24"/>
  <c r="AI165" i="24"/>
  <c r="AH165" i="24"/>
  <c r="AG165" i="24"/>
  <c r="AF165" i="24"/>
  <c r="AE165" i="24"/>
  <c r="AD165" i="24"/>
  <c r="AC165" i="24"/>
  <c r="AM164" i="24"/>
  <c r="AL164" i="24"/>
  <c r="AK164" i="24"/>
  <c r="AJ164" i="24"/>
  <c r="AI164" i="24"/>
  <c r="AH164" i="24"/>
  <c r="AG164" i="24"/>
  <c r="AF164" i="24"/>
  <c r="AE164" i="24"/>
  <c r="AD164" i="24"/>
  <c r="AC164" i="24"/>
  <c r="AB165" i="24"/>
  <c r="AB164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3" i="24"/>
  <c r="AB142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M120" i="24"/>
  <c r="AL120" i="24"/>
  <c r="AK120" i="24"/>
  <c r="AJ120" i="24"/>
  <c r="AI120" i="24"/>
  <c r="AH120" i="24"/>
  <c r="AG120" i="24"/>
  <c r="AF120" i="24"/>
  <c r="AE120" i="24"/>
  <c r="AC120" i="24"/>
  <c r="AB121" i="24"/>
  <c r="AB120" i="24"/>
  <c r="AM99" i="24"/>
  <c r="AL99" i="24"/>
  <c r="AK99" i="24"/>
  <c r="AJ99" i="24"/>
  <c r="AI99" i="24"/>
  <c r="AH99" i="24"/>
  <c r="AG99" i="24"/>
  <c r="AF99" i="24"/>
  <c r="AE99" i="24"/>
  <c r="AD99" i="24"/>
  <c r="AC99" i="24"/>
  <c r="AM98" i="24"/>
  <c r="AL98" i="24"/>
  <c r="AK98" i="24"/>
  <c r="AJ98" i="24"/>
  <c r="AI98" i="24"/>
  <c r="AH98" i="24"/>
  <c r="AG98" i="24"/>
  <c r="AF98" i="24"/>
  <c r="AE98" i="24"/>
  <c r="AD98" i="24"/>
  <c r="AC98" i="24"/>
  <c r="AB99" i="24"/>
  <c r="AB98" i="24"/>
  <c r="AC72" i="24"/>
  <c r="AD72" i="24"/>
  <c r="AE72" i="24"/>
  <c r="AF72" i="24"/>
  <c r="AG72" i="24"/>
  <c r="AH72" i="24"/>
  <c r="AI72" i="24"/>
  <c r="AJ72" i="24"/>
  <c r="AK72" i="24"/>
  <c r="AL72" i="24"/>
  <c r="AM72" i="24"/>
  <c r="AC73" i="24"/>
  <c r="AD73" i="24"/>
  <c r="AE73" i="24"/>
  <c r="AF73" i="24"/>
  <c r="AG73" i="24"/>
  <c r="AH73" i="24"/>
  <c r="AI73" i="24"/>
  <c r="AJ73" i="24"/>
  <c r="AK73" i="24"/>
  <c r="AL73" i="24"/>
  <c r="AM73" i="24"/>
  <c r="AB73" i="24"/>
  <c r="AB72" i="24"/>
  <c r="AC52" i="24"/>
  <c r="AD52" i="24"/>
  <c r="AE52" i="24"/>
  <c r="AF52" i="24"/>
  <c r="AG52" i="24"/>
  <c r="AH52" i="24"/>
  <c r="AI52" i="24"/>
  <c r="AJ52" i="24"/>
  <c r="AK52" i="24"/>
  <c r="AL52" i="24"/>
  <c r="AM52" i="24"/>
  <c r="AC53" i="24"/>
  <c r="AE53" i="24"/>
  <c r="AF53" i="24"/>
  <c r="AG53" i="24"/>
  <c r="AH53" i="24"/>
  <c r="AI53" i="24"/>
  <c r="AJ53" i="24"/>
  <c r="AK53" i="24"/>
  <c r="AB53" i="24"/>
  <c r="AB52" i="24"/>
  <c r="AC30" i="24"/>
  <c r="AD30" i="24"/>
  <c r="AE30" i="24"/>
  <c r="AF30" i="24"/>
  <c r="AG30" i="24"/>
  <c r="AI30" i="24"/>
  <c r="AL30" i="24"/>
  <c r="AM30" i="24"/>
  <c r="AC31" i="24"/>
  <c r="AD31" i="24"/>
  <c r="AE31" i="24"/>
  <c r="AF31" i="24"/>
  <c r="AG31" i="24"/>
  <c r="AH31" i="24"/>
  <c r="AI31" i="24"/>
  <c r="AJ31" i="24"/>
  <c r="AL31" i="24"/>
  <c r="AM31" i="24"/>
  <c r="AB31" i="24"/>
  <c r="AB30" i="24"/>
  <c r="AE14" i="23"/>
  <c r="AD14" i="23"/>
  <c r="AC14" i="23"/>
  <c r="AB14" i="23"/>
  <c r="AA14" i="23"/>
  <c r="Z14" i="23"/>
  <c r="Y14" i="23"/>
  <c r="X14" i="23"/>
  <c r="W14" i="23"/>
  <c r="AE13" i="23"/>
  <c r="AJ30" i="24" s="1"/>
  <c r="AD13" i="23"/>
  <c r="AC13" i="23"/>
  <c r="AH30" i="24" s="1"/>
  <c r="AB13" i="23"/>
  <c r="AA13" i="23"/>
  <c r="Z13" i="23"/>
  <c r="Y13" i="23"/>
  <c r="X13" i="23"/>
  <c r="W13" i="23"/>
  <c r="I43" i="14" l="1"/>
  <c r="G43" i="14"/>
  <c r="F43" i="14"/>
  <c r="E43" i="14"/>
  <c r="J42" i="14"/>
  <c r="M42" i="14" s="1"/>
  <c r="H42" i="14"/>
  <c r="L42" i="14" s="1"/>
  <c r="J40" i="14"/>
  <c r="W70" i="25"/>
  <c r="V70" i="25"/>
  <c r="U70" i="25"/>
  <c r="T70" i="25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W62" i="25"/>
  <c r="V62" i="25"/>
  <c r="U62" i="25"/>
  <c r="T62" i="25"/>
  <c r="J70" i="25"/>
  <c r="F70" i="25"/>
  <c r="E70" i="25"/>
  <c r="D70" i="25"/>
  <c r="C70" i="25"/>
  <c r="L66" i="25"/>
  <c r="K66" i="25"/>
  <c r="J66" i="25"/>
  <c r="I66" i="25"/>
  <c r="H66" i="25"/>
  <c r="G66" i="25"/>
  <c r="F66" i="25"/>
  <c r="E66" i="25"/>
  <c r="D66" i="25"/>
  <c r="C66" i="25"/>
  <c r="H69" i="25"/>
  <c r="I69" i="25"/>
  <c r="J69" i="25"/>
  <c r="J62" i="25"/>
  <c r="F62" i="25"/>
  <c r="E62" i="25"/>
  <c r="D62" i="25"/>
  <c r="C62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AF29" i="25" s="1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AF25" i="25" s="1"/>
  <c r="AE21" i="25"/>
  <c r="AD21" i="25"/>
  <c r="AC21" i="25"/>
  <c r="AB21" i="25"/>
  <c r="AA21" i="25"/>
  <c r="Z21" i="25"/>
  <c r="Y21" i="25"/>
  <c r="X21" i="25"/>
  <c r="AF21" i="25" s="1"/>
  <c r="W21" i="25"/>
  <c r="V21" i="25"/>
  <c r="U21" i="25"/>
  <c r="T21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AE9" i="25"/>
  <c r="AD9" i="25"/>
  <c r="AC9" i="25"/>
  <c r="AB9" i="25"/>
  <c r="AA9" i="25"/>
  <c r="Z9" i="25"/>
  <c r="Y9" i="25"/>
  <c r="X9" i="25"/>
  <c r="W9" i="25"/>
  <c r="V9" i="25"/>
  <c r="U9" i="25"/>
  <c r="T9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AF47" i="25"/>
  <c r="AE47" i="25"/>
  <c r="AD47" i="25"/>
  <c r="AC47" i="25"/>
  <c r="AB47" i="25"/>
  <c r="AA47" i="25"/>
  <c r="Z47" i="25"/>
  <c r="Y47" i="25"/>
  <c r="X47" i="25"/>
  <c r="W47" i="25"/>
  <c r="V47" i="25"/>
  <c r="U47" i="25"/>
  <c r="T47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AF35" i="25"/>
  <c r="AE35" i="25"/>
  <c r="AD35" i="25"/>
  <c r="AC35" i="25"/>
  <c r="AB35" i="25"/>
  <c r="AA35" i="25"/>
  <c r="Z35" i="25"/>
  <c r="Y35" i="25"/>
  <c r="X35" i="25"/>
  <c r="W35" i="25"/>
  <c r="V35" i="25"/>
  <c r="U35" i="25"/>
  <c r="T3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M47" i="25"/>
  <c r="L47" i="25"/>
  <c r="K47" i="25"/>
  <c r="J47" i="25"/>
  <c r="I47" i="25"/>
  <c r="H47" i="25"/>
  <c r="G47" i="25"/>
  <c r="F47" i="25"/>
  <c r="D47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N25" i="25"/>
  <c r="M25" i="25"/>
  <c r="L25" i="25"/>
  <c r="K25" i="25"/>
  <c r="J25" i="25"/>
  <c r="I25" i="25"/>
  <c r="O25" i="25" s="1"/>
  <c r="H25" i="25"/>
  <c r="G25" i="25"/>
  <c r="F25" i="25"/>
  <c r="E25" i="25"/>
  <c r="D25" i="25"/>
  <c r="C25" i="25"/>
  <c r="N21" i="25"/>
  <c r="M21" i="25"/>
  <c r="L21" i="25"/>
  <c r="K21" i="25"/>
  <c r="J21" i="25"/>
  <c r="I21" i="25"/>
  <c r="H21" i="25"/>
  <c r="G21" i="25"/>
  <c r="O21" i="25" s="1"/>
  <c r="F21" i="25"/>
  <c r="E21" i="25"/>
  <c r="D21" i="25"/>
  <c r="C21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N9" i="25"/>
  <c r="M9" i="25"/>
  <c r="L9" i="25"/>
  <c r="K9" i="25"/>
  <c r="J9" i="25"/>
  <c r="I9" i="25"/>
  <c r="H9" i="25"/>
  <c r="G9" i="25"/>
  <c r="F9" i="25"/>
  <c r="E9" i="25"/>
  <c r="D9" i="25"/>
  <c r="C9" i="25"/>
  <c r="E193" i="15"/>
  <c r="AB9" i="24"/>
  <c r="AB200" i="24" s="1"/>
  <c r="AB8" i="24"/>
  <c r="D64" i="23"/>
  <c r="F180" i="24" s="1"/>
  <c r="F182" i="24" s="1"/>
  <c r="E64" i="23"/>
  <c r="G180" i="24" s="1"/>
  <c r="G182" i="24" s="1"/>
  <c r="G184" i="24" s="1"/>
  <c r="F64" i="23"/>
  <c r="H180" i="24" s="1"/>
  <c r="H182" i="24" s="1"/>
  <c r="H184" i="24" s="1"/>
  <c r="G64" i="23"/>
  <c r="I180" i="24" s="1"/>
  <c r="I182" i="24" s="1"/>
  <c r="I184" i="24" s="1"/>
  <c r="H64" i="23"/>
  <c r="J180" i="24" s="1"/>
  <c r="J182" i="24" s="1"/>
  <c r="J184" i="24" s="1"/>
  <c r="I64" i="23"/>
  <c r="K180" i="24" s="1"/>
  <c r="K182" i="24" s="1"/>
  <c r="K184" i="24" s="1"/>
  <c r="J64" i="23"/>
  <c r="L180" i="24" s="1"/>
  <c r="L182" i="24" s="1"/>
  <c r="L184" i="24" s="1"/>
  <c r="K64" i="23"/>
  <c r="M180" i="24" s="1"/>
  <c r="M182" i="24" s="1"/>
  <c r="M184" i="24" s="1"/>
  <c r="L64" i="23"/>
  <c r="N180" i="24" s="1"/>
  <c r="N182" i="24" s="1"/>
  <c r="N184" i="24" s="1"/>
  <c r="M64" i="23"/>
  <c r="O180" i="24" s="1"/>
  <c r="O182" i="24" s="1"/>
  <c r="O184" i="24" s="1"/>
  <c r="N64" i="23"/>
  <c r="P180" i="24" s="1"/>
  <c r="P182" i="24" s="1"/>
  <c r="P184" i="24" s="1"/>
  <c r="D65" i="23"/>
  <c r="F181" i="24" s="1"/>
  <c r="F183" i="24" s="1"/>
  <c r="E65" i="23"/>
  <c r="G181" i="24" s="1"/>
  <c r="G183" i="24" s="1"/>
  <c r="F65" i="23"/>
  <c r="H181" i="24" s="1"/>
  <c r="H183" i="24" s="1"/>
  <c r="H185" i="24" s="1"/>
  <c r="G65" i="23"/>
  <c r="I181" i="24" s="1"/>
  <c r="I183" i="24" s="1"/>
  <c r="I185" i="24" s="1"/>
  <c r="H65" i="23"/>
  <c r="J181" i="24" s="1"/>
  <c r="J183" i="24" s="1"/>
  <c r="J185" i="24" s="1"/>
  <c r="I65" i="23"/>
  <c r="K181" i="24" s="1"/>
  <c r="K183" i="24" s="1"/>
  <c r="K185" i="24" s="1"/>
  <c r="J65" i="23"/>
  <c r="L181" i="24" s="1"/>
  <c r="L183" i="24" s="1"/>
  <c r="L185" i="24" s="1"/>
  <c r="K65" i="23"/>
  <c r="M181" i="24" s="1"/>
  <c r="M183" i="24" s="1"/>
  <c r="M185" i="24" s="1"/>
  <c r="L65" i="23"/>
  <c r="N181" i="24" s="1"/>
  <c r="N183" i="24" s="1"/>
  <c r="N185" i="24" s="1"/>
  <c r="M65" i="23"/>
  <c r="O181" i="24" s="1"/>
  <c r="O183" i="24" s="1"/>
  <c r="O185" i="24" s="1"/>
  <c r="N65" i="23"/>
  <c r="P181" i="24" s="1"/>
  <c r="P183" i="24" s="1"/>
  <c r="P185" i="24" s="1"/>
  <c r="C65" i="23"/>
  <c r="E181" i="24" s="1"/>
  <c r="C64" i="23"/>
  <c r="E180" i="24" s="1"/>
  <c r="D58" i="23"/>
  <c r="F172" i="24" s="1"/>
  <c r="F174" i="24" s="1"/>
  <c r="E58" i="23"/>
  <c r="G172" i="24" s="1"/>
  <c r="G174" i="24" s="1"/>
  <c r="F58" i="23"/>
  <c r="H172" i="24" s="1"/>
  <c r="H174" i="24" s="1"/>
  <c r="G58" i="23"/>
  <c r="I172" i="24" s="1"/>
  <c r="I174" i="24" s="1"/>
  <c r="H58" i="23"/>
  <c r="J172" i="24" s="1"/>
  <c r="J174" i="24" s="1"/>
  <c r="I58" i="23"/>
  <c r="K172" i="24" s="1"/>
  <c r="K174" i="24" s="1"/>
  <c r="J58" i="23"/>
  <c r="L172" i="24" s="1"/>
  <c r="L174" i="24" s="1"/>
  <c r="K58" i="23"/>
  <c r="M172" i="24" s="1"/>
  <c r="M174" i="24" s="1"/>
  <c r="L58" i="23"/>
  <c r="N172" i="24" s="1"/>
  <c r="N174" i="24" s="1"/>
  <c r="M58" i="23"/>
  <c r="O172" i="24" s="1"/>
  <c r="O174" i="24" s="1"/>
  <c r="N58" i="23"/>
  <c r="P172" i="24" s="1"/>
  <c r="P174" i="24" s="1"/>
  <c r="D59" i="23"/>
  <c r="F173" i="24" s="1"/>
  <c r="F175" i="24" s="1"/>
  <c r="E59" i="23"/>
  <c r="G173" i="24" s="1"/>
  <c r="G175" i="24" s="1"/>
  <c r="G177" i="24" s="1"/>
  <c r="F59" i="23"/>
  <c r="H173" i="24" s="1"/>
  <c r="H175" i="24" s="1"/>
  <c r="G59" i="23"/>
  <c r="I173" i="24" s="1"/>
  <c r="I175" i="24" s="1"/>
  <c r="H59" i="23"/>
  <c r="J173" i="24" s="1"/>
  <c r="J175" i="24" s="1"/>
  <c r="J177" i="24" s="1"/>
  <c r="I59" i="23"/>
  <c r="K173" i="24" s="1"/>
  <c r="K175" i="24" s="1"/>
  <c r="J59" i="23"/>
  <c r="L173" i="24" s="1"/>
  <c r="L175" i="24" s="1"/>
  <c r="K59" i="23"/>
  <c r="M173" i="24" s="1"/>
  <c r="M175" i="24" s="1"/>
  <c r="L59" i="23"/>
  <c r="N173" i="24" s="1"/>
  <c r="N175" i="24" s="1"/>
  <c r="M59" i="23"/>
  <c r="O173" i="24" s="1"/>
  <c r="O175" i="24" s="1"/>
  <c r="O177" i="24" s="1"/>
  <c r="N59" i="23"/>
  <c r="P173" i="24" s="1"/>
  <c r="P175" i="24" s="1"/>
  <c r="P177" i="24" s="1"/>
  <c r="C59" i="23"/>
  <c r="E173" i="24" s="1"/>
  <c r="E175" i="24" s="1"/>
  <c r="E187" i="24" s="1"/>
  <c r="C58" i="23"/>
  <c r="E172" i="24" s="1"/>
  <c r="E174" i="24" s="1"/>
  <c r="D52" i="23"/>
  <c r="F164" i="24" s="1"/>
  <c r="E52" i="23"/>
  <c r="G164" i="24" s="1"/>
  <c r="F52" i="23"/>
  <c r="H164" i="24" s="1"/>
  <c r="H166" i="24" s="1"/>
  <c r="H168" i="24" s="1"/>
  <c r="G52" i="23"/>
  <c r="I164" i="24" s="1"/>
  <c r="I166" i="24" s="1"/>
  <c r="H52" i="23"/>
  <c r="J164" i="24" s="1"/>
  <c r="I52" i="23"/>
  <c r="K164" i="24" s="1"/>
  <c r="J52" i="23"/>
  <c r="L164" i="24" s="1"/>
  <c r="K52" i="23"/>
  <c r="M164" i="24" s="1"/>
  <c r="L52" i="23"/>
  <c r="N164" i="24" s="1"/>
  <c r="M52" i="23"/>
  <c r="O164" i="24" s="1"/>
  <c r="N52" i="23"/>
  <c r="P164" i="24" s="1"/>
  <c r="D53" i="23"/>
  <c r="F165" i="24" s="1"/>
  <c r="E53" i="23"/>
  <c r="G165" i="24" s="1"/>
  <c r="F53" i="23"/>
  <c r="H165" i="24" s="1"/>
  <c r="H167" i="24" s="1"/>
  <c r="G53" i="23"/>
  <c r="I165" i="24" s="1"/>
  <c r="I167" i="24" s="1"/>
  <c r="I169" i="24" s="1"/>
  <c r="H53" i="23"/>
  <c r="J165" i="24" s="1"/>
  <c r="I53" i="23"/>
  <c r="K165" i="24" s="1"/>
  <c r="J53" i="23"/>
  <c r="L165" i="24" s="1"/>
  <c r="K53" i="23"/>
  <c r="M165" i="24" s="1"/>
  <c r="L53" i="23"/>
  <c r="N165" i="24" s="1"/>
  <c r="M53" i="23"/>
  <c r="O165" i="24" s="1"/>
  <c r="N53" i="23"/>
  <c r="P165" i="24" s="1"/>
  <c r="C53" i="23"/>
  <c r="E165" i="24" s="1"/>
  <c r="C52" i="23"/>
  <c r="E164" i="24" s="1"/>
  <c r="D46" i="23"/>
  <c r="F142" i="24" s="1"/>
  <c r="F146" i="24" s="1"/>
  <c r="F160" i="24" s="1"/>
  <c r="E46" i="23"/>
  <c r="G142" i="24" s="1"/>
  <c r="G146" i="24" s="1"/>
  <c r="G160" i="24" s="1"/>
  <c r="F46" i="23"/>
  <c r="H142" i="24" s="1"/>
  <c r="H146" i="24" s="1"/>
  <c r="H160" i="24" s="1"/>
  <c r="G46" i="23"/>
  <c r="I142" i="24" s="1"/>
  <c r="I146" i="24" s="1"/>
  <c r="I160" i="24" s="1"/>
  <c r="H46" i="23"/>
  <c r="J142" i="24" s="1"/>
  <c r="J146" i="24" s="1"/>
  <c r="J160" i="24" s="1"/>
  <c r="I46" i="23"/>
  <c r="K142" i="24" s="1"/>
  <c r="K146" i="24" s="1"/>
  <c r="K160" i="24" s="1"/>
  <c r="J46" i="23"/>
  <c r="L142" i="24" s="1"/>
  <c r="L146" i="24" s="1"/>
  <c r="L160" i="24" s="1"/>
  <c r="K46" i="23"/>
  <c r="M142" i="24" s="1"/>
  <c r="M146" i="24" s="1"/>
  <c r="M160" i="24" s="1"/>
  <c r="L46" i="23"/>
  <c r="N142" i="24" s="1"/>
  <c r="N146" i="24" s="1"/>
  <c r="N160" i="24" s="1"/>
  <c r="M46" i="23"/>
  <c r="O142" i="24" s="1"/>
  <c r="O146" i="24" s="1"/>
  <c r="O160" i="24" s="1"/>
  <c r="N46" i="23"/>
  <c r="P142" i="24" s="1"/>
  <c r="P146" i="24" s="1"/>
  <c r="P160" i="24" s="1"/>
  <c r="D47" i="23"/>
  <c r="F143" i="24" s="1"/>
  <c r="F147" i="24" s="1"/>
  <c r="F161" i="24" s="1"/>
  <c r="E47" i="23"/>
  <c r="G143" i="24" s="1"/>
  <c r="G147" i="24" s="1"/>
  <c r="G161" i="24" s="1"/>
  <c r="F47" i="23"/>
  <c r="H143" i="24" s="1"/>
  <c r="H147" i="24" s="1"/>
  <c r="H161" i="24" s="1"/>
  <c r="G47" i="23"/>
  <c r="I143" i="24" s="1"/>
  <c r="I147" i="24" s="1"/>
  <c r="I161" i="24" s="1"/>
  <c r="H47" i="23"/>
  <c r="J143" i="24" s="1"/>
  <c r="J147" i="24" s="1"/>
  <c r="J161" i="24" s="1"/>
  <c r="I47" i="23"/>
  <c r="K143" i="24" s="1"/>
  <c r="K147" i="24" s="1"/>
  <c r="K161" i="24" s="1"/>
  <c r="J47" i="23"/>
  <c r="L143" i="24" s="1"/>
  <c r="L147" i="24" s="1"/>
  <c r="L161" i="24" s="1"/>
  <c r="K47" i="23"/>
  <c r="M143" i="24" s="1"/>
  <c r="M147" i="24" s="1"/>
  <c r="M161" i="24" s="1"/>
  <c r="L47" i="23"/>
  <c r="N143" i="24" s="1"/>
  <c r="N147" i="24" s="1"/>
  <c r="N161" i="24" s="1"/>
  <c r="M47" i="23"/>
  <c r="O143" i="24" s="1"/>
  <c r="O147" i="24" s="1"/>
  <c r="O161" i="24" s="1"/>
  <c r="N47" i="23"/>
  <c r="P143" i="24" s="1"/>
  <c r="P147" i="24" s="1"/>
  <c r="P161" i="24" s="1"/>
  <c r="C47" i="23"/>
  <c r="E143" i="24" s="1"/>
  <c r="C46" i="23"/>
  <c r="E142" i="24" s="1"/>
  <c r="E146" i="24" s="1"/>
  <c r="D40" i="23"/>
  <c r="F120" i="24" s="1"/>
  <c r="F122" i="24" s="1"/>
  <c r="F138" i="24" s="1"/>
  <c r="E40" i="23"/>
  <c r="G120" i="24" s="1"/>
  <c r="G122" i="24" s="1"/>
  <c r="G138" i="24" s="1"/>
  <c r="F40" i="23"/>
  <c r="H120" i="24" s="1"/>
  <c r="H122" i="24" s="1"/>
  <c r="H138" i="24" s="1"/>
  <c r="G40" i="23"/>
  <c r="I120" i="24" s="1"/>
  <c r="I122" i="24" s="1"/>
  <c r="I138" i="24" s="1"/>
  <c r="H40" i="23"/>
  <c r="J120" i="24" s="1"/>
  <c r="J122" i="24" s="1"/>
  <c r="J138" i="24" s="1"/>
  <c r="I40" i="23"/>
  <c r="K120" i="24" s="1"/>
  <c r="K122" i="24" s="1"/>
  <c r="K138" i="24" s="1"/>
  <c r="J40" i="23"/>
  <c r="L120" i="24" s="1"/>
  <c r="L122" i="24" s="1"/>
  <c r="L138" i="24" s="1"/>
  <c r="K40" i="23"/>
  <c r="M120" i="24" s="1"/>
  <c r="M122" i="24" s="1"/>
  <c r="M138" i="24" s="1"/>
  <c r="L40" i="23"/>
  <c r="N120" i="24" s="1"/>
  <c r="N122" i="24" s="1"/>
  <c r="N138" i="24" s="1"/>
  <c r="M40" i="23"/>
  <c r="O120" i="24" s="1"/>
  <c r="O122" i="24" s="1"/>
  <c r="O138" i="24" s="1"/>
  <c r="N40" i="23"/>
  <c r="P120" i="24" s="1"/>
  <c r="P122" i="24" s="1"/>
  <c r="P138" i="24" s="1"/>
  <c r="D41" i="23"/>
  <c r="F121" i="24" s="1"/>
  <c r="F123" i="24" s="1"/>
  <c r="F139" i="24" s="1"/>
  <c r="E41" i="23"/>
  <c r="G121" i="24" s="1"/>
  <c r="G123" i="24" s="1"/>
  <c r="G139" i="24" s="1"/>
  <c r="F41" i="23"/>
  <c r="H121" i="24" s="1"/>
  <c r="H123" i="24" s="1"/>
  <c r="H139" i="24" s="1"/>
  <c r="G41" i="23"/>
  <c r="I121" i="24" s="1"/>
  <c r="I123" i="24" s="1"/>
  <c r="I139" i="24" s="1"/>
  <c r="H41" i="23"/>
  <c r="J121" i="24" s="1"/>
  <c r="J123" i="24" s="1"/>
  <c r="J139" i="24" s="1"/>
  <c r="I41" i="23"/>
  <c r="K121" i="24" s="1"/>
  <c r="K123" i="24" s="1"/>
  <c r="K139" i="24" s="1"/>
  <c r="J41" i="23"/>
  <c r="L121" i="24" s="1"/>
  <c r="L123" i="24" s="1"/>
  <c r="L139" i="24" s="1"/>
  <c r="K41" i="23"/>
  <c r="M121" i="24" s="1"/>
  <c r="M123" i="24" s="1"/>
  <c r="M139" i="24" s="1"/>
  <c r="L41" i="23"/>
  <c r="N121" i="24" s="1"/>
  <c r="N123" i="24" s="1"/>
  <c r="N139" i="24" s="1"/>
  <c r="M41" i="23"/>
  <c r="O121" i="24" s="1"/>
  <c r="O123" i="24" s="1"/>
  <c r="O139" i="24" s="1"/>
  <c r="N41" i="23"/>
  <c r="P121" i="24" s="1"/>
  <c r="P123" i="24" s="1"/>
  <c r="P139" i="24" s="1"/>
  <c r="C41" i="23"/>
  <c r="E121" i="24" s="1"/>
  <c r="C40" i="23"/>
  <c r="E120" i="24" s="1"/>
  <c r="E122" i="24" s="1"/>
  <c r="D34" i="23"/>
  <c r="F98" i="24" s="1"/>
  <c r="F102" i="24" s="1"/>
  <c r="F116" i="24" s="1"/>
  <c r="E34" i="23"/>
  <c r="G98" i="24" s="1"/>
  <c r="G102" i="24" s="1"/>
  <c r="G116" i="24" s="1"/>
  <c r="F34" i="23"/>
  <c r="H98" i="24" s="1"/>
  <c r="H102" i="24" s="1"/>
  <c r="H116" i="24" s="1"/>
  <c r="G34" i="23"/>
  <c r="I98" i="24" s="1"/>
  <c r="I102" i="24" s="1"/>
  <c r="H34" i="23"/>
  <c r="J98" i="24" s="1"/>
  <c r="J102" i="24" s="1"/>
  <c r="I34" i="23"/>
  <c r="K98" i="24" s="1"/>
  <c r="K102" i="24" s="1"/>
  <c r="J34" i="23"/>
  <c r="L98" i="24" s="1"/>
  <c r="L102" i="24" s="1"/>
  <c r="L116" i="24" s="1"/>
  <c r="K34" i="23"/>
  <c r="M98" i="24" s="1"/>
  <c r="M102" i="24" s="1"/>
  <c r="L34" i="23"/>
  <c r="N98" i="24" s="1"/>
  <c r="N102" i="24" s="1"/>
  <c r="M34" i="23"/>
  <c r="O98" i="24" s="1"/>
  <c r="O102" i="24" s="1"/>
  <c r="N34" i="23"/>
  <c r="P98" i="24" s="1"/>
  <c r="P102" i="24" s="1"/>
  <c r="D35" i="23"/>
  <c r="F99" i="24" s="1"/>
  <c r="F103" i="24" s="1"/>
  <c r="E35" i="23"/>
  <c r="G99" i="24" s="1"/>
  <c r="G103" i="24" s="1"/>
  <c r="F35" i="23"/>
  <c r="H99" i="24" s="1"/>
  <c r="H103" i="24" s="1"/>
  <c r="G35" i="23"/>
  <c r="I99" i="24" s="1"/>
  <c r="I103" i="24" s="1"/>
  <c r="I117" i="24" s="1"/>
  <c r="H35" i="23"/>
  <c r="J99" i="24" s="1"/>
  <c r="J103" i="24" s="1"/>
  <c r="I35" i="23"/>
  <c r="K99" i="24" s="1"/>
  <c r="K103" i="24" s="1"/>
  <c r="J35" i="23"/>
  <c r="L99" i="24" s="1"/>
  <c r="L103" i="24" s="1"/>
  <c r="L117" i="24" s="1"/>
  <c r="K35" i="23"/>
  <c r="M99" i="24" s="1"/>
  <c r="M103" i="24" s="1"/>
  <c r="M117" i="24" s="1"/>
  <c r="L35" i="23"/>
  <c r="N99" i="24" s="1"/>
  <c r="N103" i="24" s="1"/>
  <c r="M35" i="23"/>
  <c r="O99" i="24" s="1"/>
  <c r="O103" i="24" s="1"/>
  <c r="N35" i="23"/>
  <c r="P99" i="24" s="1"/>
  <c r="P103" i="24" s="1"/>
  <c r="C35" i="23"/>
  <c r="E99" i="24" s="1"/>
  <c r="C34" i="23"/>
  <c r="E98" i="24" s="1"/>
  <c r="E102" i="24" s="1"/>
  <c r="D25" i="23"/>
  <c r="F74" i="24" s="1"/>
  <c r="F76" i="24" s="1"/>
  <c r="F92" i="24" s="1"/>
  <c r="E25" i="23"/>
  <c r="G74" i="24" s="1"/>
  <c r="G76" i="24" s="1"/>
  <c r="G92" i="24" s="1"/>
  <c r="F25" i="23"/>
  <c r="H74" i="24" s="1"/>
  <c r="G25" i="23"/>
  <c r="I74" i="24" s="1"/>
  <c r="I76" i="24" s="1"/>
  <c r="I92" i="24" s="1"/>
  <c r="H25" i="23"/>
  <c r="J74" i="24" s="1"/>
  <c r="J76" i="24" s="1"/>
  <c r="J92" i="24" s="1"/>
  <c r="I25" i="23"/>
  <c r="K74" i="24" s="1"/>
  <c r="K76" i="24" s="1"/>
  <c r="K92" i="24" s="1"/>
  <c r="J25" i="23"/>
  <c r="L74" i="24" s="1"/>
  <c r="L76" i="24" s="1"/>
  <c r="K25" i="23"/>
  <c r="M74" i="24" s="1"/>
  <c r="M76" i="24" s="1"/>
  <c r="L25" i="23"/>
  <c r="N74" i="24" s="1"/>
  <c r="N76" i="24" s="1"/>
  <c r="M25" i="23"/>
  <c r="O74" i="24" s="1"/>
  <c r="O76" i="24" s="1"/>
  <c r="O92" i="24" s="1"/>
  <c r="N25" i="23"/>
  <c r="P74" i="24" s="1"/>
  <c r="P76" i="24" s="1"/>
  <c r="D26" i="23"/>
  <c r="F75" i="24" s="1"/>
  <c r="E26" i="23"/>
  <c r="G75" i="24" s="1"/>
  <c r="G77" i="24" s="1"/>
  <c r="G93" i="24" s="1"/>
  <c r="F26" i="23"/>
  <c r="H75" i="24" s="1"/>
  <c r="H77" i="24" s="1"/>
  <c r="G26" i="23"/>
  <c r="I75" i="24" s="1"/>
  <c r="H26" i="23"/>
  <c r="J75" i="24" s="1"/>
  <c r="J77" i="24" s="1"/>
  <c r="J93" i="24" s="1"/>
  <c r="I26" i="23"/>
  <c r="K75" i="24" s="1"/>
  <c r="K77" i="24" s="1"/>
  <c r="J26" i="23"/>
  <c r="L75" i="24" s="1"/>
  <c r="L77" i="24" s="1"/>
  <c r="L93" i="24" s="1"/>
  <c r="K26" i="23"/>
  <c r="M75" i="24" s="1"/>
  <c r="M77" i="24" s="1"/>
  <c r="M93" i="24" s="1"/>
  <c r="L26" i="23"/>
  <c r="N75" i="24" s="1"/>
  <c r="N77" i="24" s="1"/>
  <c r="N93" i="24" s="1"/>
  <c r="M26" i="23"/>
  <c r="O75" i="24" s="1"/>
  <c r="O77" i="24" s="1"/>
  <c r="O93" i="24" s="1"/>
  <c r="N26" i="23"/>
  <c r="P75" i="24" s="1"/>
  <c r="P77" i="24" s="1"/>
  <c r="P93" i="24" s="1"/>
  <c r="C26" i="23"/>
  <c r="E75" i="24" s="1"/>
  <c r="E77" i="24" s="1"/>
  <c r="E93" i="24" s="1"/>
  <c r="C25" i="23"/>
  <c r="E74" i="24" s="1"/>
  <c r="E76" i="24" s="1"/>
  <c r="E92" i="24" s="1"/>
  <c r="D19" i="23"/>
  <c r="F52" i="24" s="1"/>
  <c r="F64" i="24" s="1"/>
  <c r="F70" i="24" s="1"/>
  <c r="E19" i="23"/>
  <c r="G52" i="24" s="1"/>
  <c r="G64" i="24" s="1"/>
  <c r="G70" i="24" s="1"/>
  <c r="F19" i="23"/>
  <c r="H52" i="24" s="1"/>
  <c r="H64" i="24" s="1"/>
  <c r="H70" i="24" s="1"/>
  <c r="G19" i="23"/>
  <c r="I52" i="24" s="1"/>
  <c r="I64" i="24" s="1"/>
  <c r="I70" i="24" s="1"/>
  <c r="H19" i="23"/>
  <c r="J52" i="24" s="1"/>
  <c r="J64" i="24" s="1"/>
  <c r="J70" i="24" s="1"/>
  <c r="I19" i="23"/>
  <c r="K52" i="24" s="1"/>
  <c r="K64" i="24" s="1"/>
  <c r="K70" i="24" s="1"/>
  <c r="J19" i="23"/>
  <c r="L52" i="24" s="1"/>
  <c r="L64" i="24" s="1"/>
  <c r="K19" i="23"/>
  <c r="M52" i="24" s="1"/>
  <c r="M64" i="24" s="1"/>
  <c r="L19" i="23"/>
  <c r="N52" i="24" s="1"/>
  <c r="N64" i="24" s="1"/>
  <c r="M19" i="23"/>
  <c r="O52" i="24" s="1"/>
  <c r="O64" i="24" s="1"/>
  <c r="O70" i="24" s="1"/>
  <c r="N19" i="23"/>
  <c r="P52" i="24" s="1"/>
  <c r="P64" i="24" s="1"/>
  <c r="P70" i="24" s="1"/>
  <c r="D20" i="23"/>
  <c r="F53" i="24" s="1"/>
  <c r="F65" i="24" s="1"/>
  <c r="F71" i="24" s="1"/>
  <c r="E20" i="23"/>
  <c r="G53" i="24" s="1"/>
  <c r="F20" i="23"/>
  <c r="H53" i="24" s="1"/>
  <c r="H65" i="24" s="1"/>
  <c r="H71" i="24" s="1"/>
  <c r="G20" i="23"/>
  <c r="I53" i="24" s="1"/>
  <c r="I65" i="24" s="1"/>
  <c r="I71" i="24" s="1"/>
  <c r="H20" i="23"/>
  <c r="J53" i="24" s="1"/>
  <c r="J65" i="24" s="1"/>
  <c r="J71" i="24" s="1"/>
  <c r="I20" i="23"/>
  <c r="K53" i="24" s="1"/>
  <c r="K65" i="24" s="1"/>
  <c r="K71" i="24" s="1"/>
  <c r="J20" i="23"/>
  <c r="L53" i="24" s="1"/>
  <c r="L65" i="24" s="1"/>
  <c r="L71" i="24" s="1"/>
  <c r="K20" i="23"/>
  <c r="M53" i="24" s="1"/>
  <c r="M65" i="24" s="1"/>
  <c r="M71" i="24" s="1"/>
  <c r="L20" i="23"/>
  <c r="N53" i="24" s="1"/>
  <c r="N65" i="24" s="1"/>
  <c r="M20" i="23"/>
  <c r="O53" i="24" s="1"/>
  <c r="O65" i="24" s="1"/>
  <c r="O71" i="24" s="1"/>
  <c r="N20" i="23"/>
  <c r="P53" i="24" s="1"/>
  <c r="P65" i="24" s="1"/>
  <c r="P71" i="24" s="1"/>
  <c r="C20" i="23"/>
  <c r="E53" i="24" s="1"/>
  <c r="C19" i="23"/>
  <c r="E52" i="24" s="1"/>
  <c r="E64" i="24" s="1"/>
  <c r="D13" i="23"/>
  <c r="F30" i="24" s="1"/>
  <c r="F34" i="24" s="1"/>
  <c r="E13" i="23"/>
  <c r="G30" i="24" s="1"/>
  <c r="G34" i="24" s="1"/>
  <c r="G48" i="24" s="1"/>
  <c r="F13" i="23"/>
  <c r="H30" i="24" s="1"/>
  <c r="H34" i="24" s="1"/>
  <c r="H48" i="24" s="1"/>
  <c r="G13" i="23"/>
  <c r="G15" i="23" s="1"/>
  <c r="G17" i="23" s="1"/>
  <c r="H13" i="23"/>
  <c r="J30" i="24" s="1"/>
  <c r="J34" i="24" s="1"/>
  <c r="J48" i="24" s="1"/>
  <c r="I13" i="23"/>
  <c r="K30" i="24" s="1"/>
  <c r="K34" i="24" s="1"/>
  <c r="K48" i="24" s="1"/>
  <c r="J13" i="23"/>
  <c r="L30" i="24" s="1"/>
  <c r="L34" i="24" s="1"/>
  <c r="L48" i="24" s="1"/>
  <c r="K13" i="23"/>
  <c r="K15" i="23" s="1"/>
  <c r="K17" i="23" s="1"/>
  <c r="L13" i="23"/>
  <c r="N30" i="24" s="1"/>
  <c r="N34" i="24" s="1"/>
  <c r="M13" i="23"/>
  <c r="O30" i="24" s="1"/>
  <c r="O34" i="24" s="1"/>
  <c r="O48" i="24" s="1"/>
  <c r="N13" i="23"/>
  <c r="N15" i="23" s="1"/>
  <c r="N17" i="23" s="1"/>
  <c r="D14" i="23"/>
  <c r="D16" i="23" s="1"/>
  <c r="D18" i="23" s="1"/>
  <c r="E14" i="23"/>
  <c r="G31" i="24" s="1"/>
  <c r="G35" i="24" s="1"/>
  <c r="G49" i="24" s="1"/>
  <c r="F14" i="23"/>
  <c r="H31" i="24" s="1"/>
  <c r="H35" i="24" s="1"/>
  <c r="H49" i="24" s="1"/>
  <c r="G14" i="23"/>
  <c r="I31" i="24" s="1"/>
  <c r="H14" i="23"/>
  <c r="H16" i="23" s="1"/>
  <c r="H18" i="23" s="1"/>
  <c r="I14" i="23"/>
  <c r="K31" i="24" s="1"/>
  <c r="K35" i="24" s="1"/>
  <c r="K49" i="24" s="1"/>
  <c r="J14" i="23"/>
  <c r="L31" i="24" s="1"/>
  <c r="L35" i="24" s="1"/>
  <c r="L49" i="24" s="1"/>
  <c r="K14" i="23"/>
  <c r="M31" i="24" s="1"/>
  <c r="M35" i="24" s="1"/>
  <c r="M49" i="24" s="1"/>
  <c r="L14" i="23"/>
  <c r="L16" i="23" s="1"/>
  <c r="L18" i="23" s="1"/>
  <c r="M14" i="23"/>
  <c r="O31" i="24" s="1"/>
  <c r="O35" i="24" s="1"/>
  <c r="O49" i="24" s="1"/>
  <c r="N14" i="23"/>
  <c r="P31" i="24" s="1"/>
  <c r="P35" i="24" s="1"/>
  <c r="P49" i="24" s="1"/>
  <c r="C14" i="23"/>
  <c r="E31" i="24" s="1"/>
  <c r="E35" i="24" s="1"/>
  <c r="E49" i="24" s="1"/>
  <c r="C13" i="23"/>
  <c r="E30" i="24" s="1"/>
  <c r="E34" i="24" s="1"/>
  <c r="D7" i="23"/>
  <c r="F8" i="24" s="1"/>
  <c r="E7" i="23"/>
  <c r="G8" i="24" s="1"/>
  <c r="F7" i="23"/>
  <c r="H8" i="24" s="1"/>
  <c r="H16" i="24" s="1"/>
  <c r="H26" i="24" s="1"/>
  <c r="G7" i="23"/>
  <c r="I8" i="24" s="1"/>
  <c r="I16" i="24" s="1"/>
  <c r="H7" i="23"/>
  <c r="J8" i="24" s="1"/>
  <c r="I7" i="23"/>
  <c r="K8" i="24" s="1"/>
  <c r="K16" i="24" s="1"/>
  <c r="J7" i="23"/>
  <c r="L8" i="24" s="1"/>
  <c r="L16" i="24" s="1"/>
  <c r="L26" i="24" s="1"/>
  <c r="K7" i="23"/>
  <c r="M8" i="24" s="1"/>
  <c r="L7" i="23"/>
  <c r="N8" i="24" s="1"/>
  <c r="M7" i="23"/>
  <c r="O8" i="24" s="1"/>
  <c r="N7" i="23"/>
  <c r="P8" i="24" s="1"/>
  <c r="D8" i="23"/>
  <c r="F9" i="24" s="1"/>
  <c r="F17" i="24" s="1"/>
  <c r="E8" i="23"/>
  <c r="G9" i="24" s="1"/>
  <c r="F8" i="23"/>
  <c r="H9" i="24" s="1"/>
  <c r="H17" i="24" s="1"/>
  <c r="G8" i="23"/>
  <c r="I9" i="24" s="1"/>
  <c r="I17" i="24" s="1"/>
  <c r="H8" i="23"/>
  <c r="J9" i="24" s="1"/>
  <c r="J17" i="24" s="1"/>
  <c r="J27" i="24" s="1"/>
  <c r="I8" i="23"/>
  <c r="K9" i="24" s="1"/>
  <c r="K17" i="24" s="1"/>
  <c r="K27" i="24" s="1"/>
  <c r="J8" i="23"/>
  <c r="L9" i="24" s="1"/>
  <c r="K8" i="23"/>
  <c r="M9" i="24" s="1"/>
  <c r="L8" i="23"/>
  <c r="N9" i="24" s="1"/>
  <c r="M8" i="23"/>
  <c r="O9" i="24" s="1"/>
  <c r="N8" i="23"/>
  <c r="P9" i="24" s="1"/>
  <c r="P17" i="24" s="1"/>
  <c r="C8" i="23"/>
  <c r="E9" i="24" s="1"/>
  <c r="C7" i="23"/>
  <c r="E8" i="24" s="1"/>
  <c r="E16" i="24" s="1"/>
  <c r="E26" i="24" s="1"/>
  <c r="AE65" i="25"/>
  <c r="AD65" i="25"/>
  <c r="AC65" i="25"/>
  <c r="AB65" i="25"/>
  <c r="AA65" i="25"/>
  <c r="Z65" i="25"/>
  <c r="Y65" i="25"/>
  <c r="X65" i="25"/>
  <c r="N65" i="25"/>
  <c r="N66" i="25" s="1"/>
  <c r="M65" i="25"/>
  <c r="M66" i="25" s="1"/>
  <c r="L65" i="25"/>
  <c r="K65" i="25"/>
  <c r="J65" i="25"/>
  <c r="I65" i="25"/>
  <c r="H65" i="25"/>
  <c r="G65" i="25"/>
  <c r="AE64" i="25"/>
  <c r="AD64" i="25"/>
  <c r="AC64" i="25"/>
  <c r="AB64" i="25"/>
  <c r="AA64" i="25"/>
  <c r="Z64" i="25"/>
  <c r="Y64" i="25"/>
  <c r="X64" i="25"/>
  <c r="N64" i="25"/>
  <c r="M64" i="25"/>
  <c r="L64" i="25"/>
  <c r="K64" i="25"/>
  <c r="J64" i="25"/>
  <c r="I64" i="25"/>
  <c r="H64" i="25"/>
  <c r="G64" i="25"/>
  <c r="AE63" i="25"/>
  <c r="AD63" i="25"/>
  <c r="AC63" i="25"/>
  <c r="AB63" i="25"/>
  <c r="AA63" i="25"/>
  <c r="Z63" i="25"/>
  <c r="Y63" i="25"/>
  <c r="X63" i="25"/>
  <c r="AF63" i="25" s="1"/>
  <c r="N63" i="25"/>
  <c r="M63" i="25"/>
  <c r="L63" i="25"/>
  <c r="K63" i="25"/>
  <c r="J63" i="25"/>
  <c r="I63" i="25"/>
  <c r="H63" i="25"/>
  <c r="G63" i="25"/>
  <c r="AE61" i="25"/>
  <c r="AE62" i="25" s="1"/>
  <c r="AE70" i="25" s="1"/>
  <c r="AD61" i="25"/>
  <c r="AD69" i="25" s="1"/>
  <c r="AC61" i="25"/>
  <c r="AC62" i="25" s="1"/>
  <c r="AC70" i="25" s="1"/>
  <c r="AB61" i="25"/>
  <c r="AB69" i="25" s="1"/>
  <c r="AA61" i="25"/>
  <c r="AA69" i="25" s="1"/>
  <c r="Z61" i="25"/>
  <c r="Z69" i="25" s="1"/>
  <c r="Y61" i="25"/>
  <c r="Y69" i="25" s="1"/>
  <c r="X61" i="25"/>
  <c r="X62" i="25" s="1"/>
  <c r="X70" i="25" s="1"/>
  <c r="N61" i="25"/>
  <c r="N69" i="25" s="1"/>
  <c r="M61" i="25"/>
  <c r="M62" i="25" s="1"/>
  <c r="L61" i="25"/>
  <c r="L62" i="25" s="1"/>
  <c r="L70" i="25" s="1"/>
  <c r="K61" i="25"/>
  <c r="K69" i="25" s="1"/>
  <c r="J61" i="25"/>
  <c r="I61" i="25"/>
  <c r="I62" i="25" s="1"/>
  <c r="I70" i="25" s="1"/>
  <c r="H61" i="25"/>
  <c r="H62" i="25" s="1"/>
  <c r="H70" i="25" s="1"/>
  <c r="G61" i="25"/>
  <c r="G69" i="25" s="1"/>
  <c r="AE60" i="25"/>
  <c r="AD60" i="25"/>
  <c r="AD68" i="25" s="1"/>
  <c r="AC60" i="25"/>
  <c r="AB60" i="25"/>
  <c r="AB68" i="25" s="1"/>
  <c r="AA60" i="25"/>
  <c r="AA68" i="25" s="1"/>
  <c r="Z60" i="25"/>
  <c r="Z68" i="25" s="1"/>
  <c r="Y60" i="25"/>
  <c r="Y68" i="25" s="1"/>
  <c r="X60" i="25"/>
  <c r="N60" i="25"/>
  <c r="M60" i="25"/>
  <c r="M68" i="25" s="1"/>
  <c r="L60" i="25"/>
  <c r="K60" i="25"/>
  <c r="K68" i="25" s="1"/>
  <c r="J60" i="25"/>
  <c r="J68" i="25" s="1"/>
  <c r="I60" i="25"/>
  <c r="I68" i="25" s="1"/>
  <c r="H60" i="25"/>
  <c r="H68" i="25" s="1"/>
  <c r="G60" i="25"/>
  <c r="AE59" i="25"/>
  <c r="AE67" i="25" s="1"/>
  <c r="AD59" i="25"/>
  <c r="AD67" i="25" s="1"/>
  <c r="AC59" i="25"/>
  <c r="AC67" i="25" s="1"/>
  <c r="AB59" i="25"/>
  <c r="AB67" i="25" s="1"/>
  <c r="AA59" i="25"/>
  <c r="AA67" i="25" s="1"/>
  <c r="Z59" i="25"/>
  <c r="Z67" i="25" s="1"/>
  <c r="Y59" i="25"/>
  <c r="Y67" i="25" s="1"/>
  <c r="X59" i="25"/>
  <c r="X67" i="25" s="1"/>
  <c r="N59" i="25"/>
  <c r="N67" i="25" s="1"/>
  <c r="M59" i="25"/>
  <c r="M67" i="25" s="1"/>
  <c r="L59" i="25"/>
  <c r="L67" i="25" s="1"/>
  <c r="K59" i="25"/>
  <c r="K67" i="25" s="1"/>
  <c r="J59" i="25"/>
  <c r="J67" i="25" s="1"/>
  <c r="I59" i="25"/>
  <c r="I67" i="25" s="1"/>
  <c r="H59" i="25"/>
  <c r="H67" i="25" s="1"/>
  <c r="G59" i="25"/>
  <c r="G67" i="25" s="1"/>
  <c r="AF58" i="25"/>
  <c r="O58" i="25"/>
  <c r="AF57" i="25"/>
  <c r="O57" i="25"/>
  <c r="AF56" i="25"/>
  <c r="O56" i="25"/>
  <c r="AF54" i="25"/>
  <c r="O54" i="25"/>
  <c r="AF53" i="25"/>
  <c r="O53" i="25"/>
  <c r="AF52" i="25"/>
  <c r="O52" i="25"/>
  <c r="AF50" i="25"/>
  <c r="O50" i="25"/>
  <c r="O51" i="25" s="1"/>
  <c r="AF49" i="25"/>
  <c r="O49" i="25"/>
  <c r="AF48" i="25"/>
  <c r="O48" i="25"/>
  <c r="AF46" i="25"/>
  <c r="O46" i="25"/>
  <c r="AF45" i="25"/>
  <c r="O45" i="25"/>
  <c r="AF44" i="25"/>
  <c r="O44" i="25"/>
  <c r="AF42" i="25"/>
  <c r="O42" i="25"/>
  <c r="O43" i="25" s="1"/>
  <c r="AF41" i="25"/>
  <c r="O41" i="25"/>
  <c r="AF40" i="25"/>
  <c r="O40" i="25"/>
  <c r="AF38" i="25"/>
  <c r="O38" i="25"/>
  <c r="AF37" i="25"/>
  <c r="O37" i="25"/>
  <c r="AF36" i="25"/>
  <c r="O36" i="25"/>
  <c r="AF34" i="25"/>
  <c r="O34" i="25"/>
  <c r="AF33" i="25"/>
  <c r="O33" i="25"/>
  <c r="AF32" i="25"/>
  <c r="O32" i="25"/>
  <c r="AF28" i="25"/>
  <c r="O28" i="25"/>
  <c r="AF27" i="25"/>
  <c r="O27" i="25"/>
  <c r="AF26" i="25"/>
  <c r="O26" i="25"/>
  <c r="AF24" i="25"/>
  <c r="O24" i="25"/>
  <c r="AF23" i="25"/>
  <c r="O23" i="25"/>
  <c r="AF22" i="25"/>
  <c r="O22" i="25"/>
  <c r="AF20" i="25"/>
  <c r="O20" i="25"/>
  <c r="AF19" i="25"/>
  <c r="O19" i="25"/>
  <c r="AF18" i="25"/>
  <c r="O18" i="25"/>
  <c r="AF16" i="25"/>
  <c r="O16" i="25"/>
  <c r="AF15" i="25"/>
  <c r="O15" i="25"/>
  <c r="AF14" i="25"/>
  <c r="O14" i="25"/>
  <c r="AF12" i="25"/>
  <c r="O12" i="25"/>
  <c r="AF11" i="25"/>
  <c r="AF14" i="23" s="1"/>
  <c r="AK31" i="24" s="1"/>
  <c r="O11" i="25"/>
  <c r="AF10" i="25"/>
  <c r="AF13" i="23" s="1"/>
  <c r="AK30" i="24" s="1"/>
  <c r="AK34" i="24" s="1"/>
  <c r="AK48" i="24" s="1"/>
  <c r="O10" i="25"/>
  <c r="AF8" i="25"/>
  <c r="O8" i="25"/>
  <c r="AF7" i="25"/>
  <c r="O7" i="25"/>
  <c r="AF6" i="25"/>
  <c r="O6" i="25"/>
  <c r="R196" i="24"/>
  <c r="P195" i="24" s="1"/>
  <c r="M195" i="24"/>
  <c r="L195" i="24"/>
  <c r="J195" i="24"/>
  <c r="Q194" i="24"/>
  <c r="AJ185" i="24"/>
  <c r="AB185" i="24"/>
  <c r="AK184" i="24"/>
  <c r="AJ184" i="24"/>
  <c r="AC184" i="24"/>
  <c r="AB184" i="24"/>
  <c r="AL183" i="24"/>
  <c r="AL185" i="24" s="1"/>
  <c r="AK183" i="24"/>
  <c r="AK185" i="24" s="1"/>
  <c r="AF183" i="24"/>
  <c r="AF185" i="24" s="1"/>
  <c r="AD183" i="24"/>
  <c r="AD185" i="24" s="1"/>
  <c r="AC183" i="24"/>
  <c r="AC185" i="24" s="1"/>
  <c r="AL182" i="24"/>
  <c r="AL184" i="24" s="1"/>
  <c r="AM181" i="24"/>
  <c r="AM183" i="24" s="1"/>
  <c r="AM185" i="24" s="1"/>
  <c r="AL181" i="24"/>
  <c r="AK181" i="24"/>
  <c r="AJ181" i="24"/>
  <c r="AJ183" i="24" s="1"/>
  <c r="AI181" i="24"/>
  <c r="AI183" i="24" s="1"/>
  <c r="AI185" i="24" s="1"/>
  <c r="AH181" i="24"/>
  <c r="AH183" i="24" s="1"/>
  <c r="AH185" i="24" s="1"/>
  <c r="AG181" i="24"/>
  <c r="AG183" i="24" s="1"/>
  <c r="AG185" i="24" s="1"/>
  <c r="AF181" i="24"/>
  <c r="AE181" i="24"/>
  <c r="AE183" i="24" s="1"/>
  <c r="AE185" i="24" s="1"/>
  <c r="AD181" i="24"/>
  <c r="AC181" i="24"/>
  <c r="AB181" i="24"/>
  <c r="AB183" i="24" s="1"/>
  <c r="AM180" i="24"/>
  <c r="AM182" i="24" s="1"/>
  <c r="AM184" i="24" s="1"/>
  <c r="AL180" i="24"/>
  <c r="AK180" i="24"/>
  <c r="AK182" i="24" s="1"/>
  <c r="AJ180" i="24"/>
  <c r="AJ182" i="24" s="1"/>
  <c r="AI180" i="24"/>
  <c r="AI182" i="24" s="1"/>
  <c r="AI184" i="24" s="1"/>
  <c r="AH180" i="24"/>
  <c r="AH182" i="24" s="1"/>
  <c r="AG180" i="24"/>
  <c r="AG182" i="24" s="1"/>
  <c r="AG184" i="24" s="1"/>
  <c r="AF180" i="24"/>
  <c r="AF182" i="24" s="1"/>
  <c r="AF184" i="24" s="1"/>
  <c r="AE180" i="24"/>
  <c r="AE182" i="24" s="1"/>
  <c r="AE184" i="24" s="1"/>
  <c r="AD180" i="24"/>
  <c r="AD182" i="24" s="1"/>
  <c r="AD184" i="24" s="1"/>
  <c r="AC180" i="24"/>
  <c r="AC182" i="24" s="1"/>
  <c r="AB180" i="24"/>
  <c r="AB182" i="24" s="1"/>
  <c r="AK175" i="24"/>
  <c r="AK177" i="24" s="1"/>
  <c r="AJ175" i="24"/>
  <c r="AJ177" i="24" s="1"/>
  <c r="AI175" i="24"/>
  <c r="AI187" i="24" s="1"/>
  <c r="AC175" i="24"/>
  <c r="AC177" i="24" s="1"/>
  <c r="AB175" i="24"/>
  <c r="AB187" i="24" s="1"/>
  <c r="AK174" i="24"/>
  <c r="AK186" i="24" s="1"/>
  <c r="AI174" i="24"/>
  <c r="AI176" i="24" s="1"/>
  <c r="AF174" i="24"/>
  <c r="AC174" i="24"/>
  <c r="AC186" i="24" s="1"/>
  <c r="AM175" i="24"/>
  <c r="AL175" i="24"/>
  <c r="AH175" i="24"/>
  <c r="AH177" i="24" s="1"/>
  <c r="AG175" i="24"/>
  <c r="AG177" i="24" s="1"/>
  <c r="AF175" i="24"/>
  <c r="AF187" i="24" s="1"/>
  <c r="AE175" i="24"/>
  <c r="AD175" i="24"/>
  <c r="AM174" i="24"/>
  <c r="AL174" i="24"/>
  <c r="AJ174" i="24"/>
  <c r="AJ186" i="24" s="1"/>
  <c r="AH174" i="24"/>
  <c r="AH176" i="24" s="1"/>
  <c r="AG174" i="24"/>
  <c r="AE174" i="24"/>
  <c r="AD174" i="24"/>
  <c r="AB174" i="24"/>
  <c r="AB186" i="24" s="1"/>
  <c r="AE167" i="24"/>
  <c r="AE166" i="24"/>
  <c r="AN166" i="24" s="1"/>
  <c r="AF167" i="24"/>
  <c r="AF169" i="24" s="1"/>
  <c r="AF166" i="24"/>
  <c r="AF168" i="24" s="1"/>
  <c r="AL147" i="24"/>
  <c r="AL161" i="24" s="1"/>
  <c r="AK147" i="24"/>
  <c r="AK161" i="24" s="1"/>
  <c r="AJ147" i="24"/>
  <c r="AJ161" i="24" s="1"/>
  <c r="AI147" i="24"/>
  <c r="AI161" i="24" s="1"/>
  <c r="AD147" i="24"/>
  <c r="AD161" i="24" s="1"/>
  <c r="AC147" i="24"/>
  <c r="AC161" i="24" s="1"/>
  <c r="AB147" i="24"/>
  <c r="AM146" i="24"/>
  <c r="AM160" i="24" s="1"/>
  <c r="AL146" i="24"/>
  <c r="AL160" i="24" s="1"/>
  <c r="AK146" i="24"/>
  <c r="AK160" i="24" s="1"/>
  <c r="AF146" i="24"/>
  <c r="AF160" i="24" s="1"/>
  <c r="AE146" i="24"/>
  <c r="AE160" i="24" s="1"/>
  <c r="AD146" i="24"/>
  <c r="AD160" i="24" s="1"/>
  <c r="AC146" i="24"/>
  <c r="AC160" i="24" s="1"/>
  <c r="AM147" i="24"/>
  <c r="AM161" i="24" s="1"/>
  <c r="AH147" i="24"/>
  <c r="AH161" i="24" s="1"/>
  <c r="AG147" i="24"/>
  <c r="AG161" i="24" s="1"/>
  <c r="AF147" i="24"/>
  <c r="AF161" i="24" s="1"/>
  <c r="AE147" i="24"/>
  <c r="AE161" i="24" s="1"/>
  <c r="AJ146" i="24"/>
  <c r="AJ160" i="24" s="1"/>
  <c r="AI146" i="24"/>
  <c r="AI160" i="24" s="1"/>
  <c r="AH146" i="24"/>
  <c r="AH160" i="24" s="1"/>
  <c r="AG146" i="24"/>
  <c r="AG160" i="24" s="1"/>
  <c r="AL123" i="24"/>
  <c r="AL139" i="24" s="1"/>
  <c r="AK123" i="24"/>
  <c r="AK139" i="24" s="1"/>
  <c r="AJ123" i="24"/>
  <c r="AJ139" i="24" s="1"/>
  <c r="AI123" i="24"/>
  <c r="AI139" i="24" s="1"/>
  <c r="AD123" i="24"/>
  <c r="AD139" i="24" s="1"/>
  <c r="AC123" i="24"/>
  <c r="AC139" i="24" s="1"/>
  <c r="AB123" i="24"/>
  <c r="AM122" i="24"/>
  <c r="AM138" i="24" s="1"/>
  <c r="AL122" i="24"/>
  <c r="AL138" i="24" s="1"/>
  <c r="AK122" i="24"/>
  <c r="AK138" i="24" s="1"/>
  <c r="AE122" i="24"/>
  <c r="AE138" i="24" s="1"/>
  <c r="AC122" i="24"/>
  <c r="AC138" i="24" s="1"/>
  <c r="AM123" i="24"/>
  <c r="AM139" i="24" s="1"/>
  <c r="AH123" i="24"/>
  <c r="AH139" i="24" s="1"/>
  <c r="AG123" i="24"/>
  <c r="AG139" i="24" s="1"/>
  <c r="AF123" i="24"/>
  <c r="AF139" i="24" s="1"/>
  <c r="AE123" i="24"/>
  <c r="AE139" i="24" s="1"/>
  <c r="AJ122" i="24"/>
  <c r="AJ138" i="24" s="1"/>
  <c r="AI122" i="24"/>
  <c r="AI138" i="24" s="1"/>
  <c r="AH122" i="24"/>
  <c r="AH138" i="24" s="1"/>
  <c r="AG122" i="24"/>
  <c r="AG138" i="24" s="1"/>
  <c r="AF122" i="24"/>
  <c r="AF138" i="24" s="1"/>
  <c r="AB122" i="24"/>
  <c r="AI103" i="24"/>
  <c r="AH103" i="24"/>
  <c r="AG103" i="24"/>
  <c r="AM102" i="24"/>
  <c r="AL102" i="24"/>
  <c r="AK102" i="24"/>
  <c r="AJ102" i="24"/>
  <c r="AD102" i="24"/>
  <c r="AC102" i="24"/>
  <c r="AB102" i="24"/>
  <c r="AM103" i="24"/>
  <c r="AM117" i="24" s="1"/>
  <c r="AL103" i="24"/>
  <c r="AL117" i="24" s="1"/>
  <c r="AK103" i="24"/>
  <c r="AJ103" i="24"/>
  <c r="AJ214" i="24" s="1"/>
  <c r="AF103" i="24"/>
  <c r="AE103" i="24"/>
  <c r="AD103" i="24"/>
  <c r="AC103" i="24"/>
  <c r="AI102" i="24"/>
  <c r="AH102" i="24"/>
  <c r="AG102" i="24"/>
  <c r="AG116" i="24" s="1"/>
  <c r="AF102" i="24"/>
  <c r="AF116" i="24" s="1"/>
  <c r="AE102" i="24"/>
  <c r="Q95" i="24"/>
  <c r="AF85" i="24"/>
  <c r="AF91" i="24" s="1"/>
  <c r="AE85" i="24"/>
  <c r="AD85" i="24"/>
  <c r="AM85" i="24"/>
  <c r="AL85" i="24"/>
  <c r="AL91" i="24" s="1"/>
  <c r="AK85" i="24"/>
  <c r="AK91" i="24" s="1"/>
  <c r="AJ85" i="24"/>
  <c r="AJ91" i="24" s="1"/>
  <c r="AI85" i="24"/>
  <c r="AI91" i="24" s="1"/>
  <c r="AH85" i="24"/>
  <c r="AG85" i="24"/>
  <c r="AC85" i="24"/>
  <c r="AC91" i="24" s="1"/>
  <c r="Q73" i="24"/>
  <c r="AM84" i="24"/>
  <c r="AL84" i="24"/>
  <c r="AK84" i="24"/>
  <c r="AJ84" i="24"/>
  <c r="AJ90" i="24" s="1"/>
  <c r="AI84" i="24"/>
  <c r="AH84" i="24"/>
  <c r="AH90" i="24" s="1"/>
  <c r="AG84" i="24"/>
  <c r="AG90" i="24" s="1"/>
  <c r="AF84" i="24"/>
  <c r="AF90" i="24" s="1"/>
  <c r="AE84" i="24"/>
  <c r="AE90" i="24" s="1"/>
  <c r="AD84" i="24"/>
  <c r="AC84" i="24"/>
  <c r="AB84" i="24"/>
  <c r="AK65" i="24"/>
  <c r="AK71" i="24" s="1"/>
  <c r="AJ65" i="24"/>
  <c r="AJ71" i="24" s="1"/>
  <c r="AI65" i="24"/>
  <c r="AC65" i="24"/>
  <c r="AC71" i="24" s="1"/>
  <c r="AB65" i="24"/>
  <c r="AM64" i="24"/>
  <c r="AL64" i="24"/>
  <c r="AK64" i="24"/>
  <c r="AF64" i="24"/>
  <c r="AF70" i="24" s="1"/>
  <c r="AE64" i="24"/>
  <c r="AE70" i="24" s="1"/>
  <c r="AD64" i="24"/>
  <c r="AD70" i="24" s="1"/>
  <c r="AC64" i="24"/>
  <c r="AH65" i="24"/>
  <c r="AH71" i="24" s="1"/>
  <c r="AG65" i="24"/>
  <c r="AF65" i="24"/>
  <c r="AF71" i="24" s="1"/>
  <c r="AE65" i="24"/>
  <c r="AJ64" i="24"/>
  <c r="AJ70" i="24" s="1"/>
  <c r="AI64" i="24"/>
  <c r="AI70" i="24" s="1"/>
  <c r="AH64" i="24"/>
  <c r="AH70" i="24" s="1"/>
  <c r="AG64" i="24"/>
  <c r="AG70" i="24" s="1"/>
  <c r="AB64" i="24"/>
  <c r="AN51" i="24"/>
  <c r="Q51" i="24"/>
  <c r="AM35" i="24"/>
  <c r="AM49" i="24" s="1"/>
  <c r="AL35" i="24"/>
  <c r="AL49" i="24" s="1"/>
  <c r="AK35" i="24"/>
  <c r="AJ35" i="24"/>
  <c r="AE35" i="24"/>
  <c r="AE49" i="24" s="1"/>
  <c r="AD35" i="24"/>
  <c r="AD49" i="24" s="1"/>
  <c r="AC35" i="24"/>
  <c r="AB35" i="24"/>
  <c r="AM34" i="24"/>
  <c r="AL34" i="24"/>
  <c r="AG34" i="24"/>
  <c r="AG48" i="24" s="1"/>
  <c r="AF34" i="24"/>
  <c r="AF48" i="24" s="1"/>
  <c r="AE34" i="24"/>
  <c r="AE48" i="24" s="1"/>
  <c r="AD34" i="24"/>
  <c r="AC34" i="24"/>
  <c r="AC48" i="24" s="1"/>
  <c r="AI35" i="24"/>
  <c r="AI49" i="24" s="1"/>
  <c r="AH35" i="24"/>
  <c r="AH49" i="24" s="1"/>
  <c r="AG35" i="24"/>
  <c r="AG49" i="24" s="1"/>
  <c r="AF35" i="24"/>
  <c r="AF49" i="24" s="1"/>
  <c r="AN31" i="24"/>
  <c r="AJ34" i="24"/>
  <c r="AJ48" i="24" s="1"/>
  <c r="AI34" i="24"/>
  <c r="AI48" i="24" s="1"/>
  <c r="AH34" i="24"/>
  <c r="AH48" i="24" s="1"/>
  <c r="AC27" i="24"/>
  <c r="AD26" i="24"/>
  <c r="AI17" i="24"/>
  <c r="AH17" i="24"/>
  <c r="AC17" i="24"/>
  <c r="AM16" i="24"/>
  <c r="AL16" i="24"/>
  <c r="AK16" i="24"/>
  <c r="AJ16" i="24"/>
  <c r="AD16" i="24"/>
  <c r="AC16" i="24"/>
  <c r="AB16" i="24"/>
  <c r="AM9" i="24"/>
  <c r="AL9" i="24"/>
  <c r="AK9" i="24"/>
  <c r="AK200" i="24" s="1"/>
  <c r="AJ9" i="24"/>
  <c r="AJ200" i="24" s="1"/>
  <c r="AI9" i="24"/>
  <c r="AH9" i="24"/>
  <c r="AG9" i="24"/>
  <c r="AF9" i="24"/>
  <c r="AF200" i="24" s="1"/>
  <c r="AE9" i="24"/>
  <c r="AD9" i="24"/>
  <c r="AC9" i="24"/>
  <c r="AC200" i="24" s="1"/>
  <c r="AM8" i="24"/>
  <c r="AM199" i="24" s="1"/>
  <c r="AL8" i="24"/>
  <c r="AL199" i="24" s="1"/>
  <c r="AK8" i="24"/>
  <c r="AJ8" i="24"/>
  <c r="AI8" i="24"/>
  <c r="AI199" i="24" s="1"/>
  <c r="AH8" i="24"/>
  <c r="AH16" i="24" s="1"/>
  <c r="AG8" i="24"/>
  <c r="AF8" i="24"/>
  <c r="AE8" i="24"/>
  <c r="AE199" i="24" s="1"/>
  <c r="AD8" i="24"/>
  <c r="AC8" i="24"/>
  <c r="AB2" i="24"/>
  <c r="E2" i="24"/>
  <c r="K43" i="14" l="1"/>
  <c r="AF13" i="25"/>
  <c r="AF17" i="25"/>
  <c r="AA62" i="25"/>
  <c r="AA70" i="25" s="1"/>
  <c r="Y62" i="25"/>
  <c r="Y70" i="25" s="1"/>
  <c r="Z62" i="25"/>
  <c r="Z70" i="25" s="1"/>
  <c r="AD62" i="25"/>
  <c r="AD70" i="25" s="1"/>
  <c r="AB62" i="25"/>
  <c r="AB70" i="25" s="1"/>
  <c r="AF9" i="25"/>
  <c r="K62" i="25"/>
  <c r="K70" i="25" s="1"/>
  <c r="G62" i="25"/>
  <c r="G70" i="25" s="1"/>
  <c r="AK187" i="24"/>
  <c r="AJ176" i="24"/>
  <c r="AK176" i="24"/>
  <c r="AM213" i="24"/>
  <c r="AD116" i="24"/>
  <c r="O63" i="25"/>
  <c r="M70" i="25"/>
  <c r="O13" i="25"/>
  <c r="N62" i="25"/>
  <c r="N70" i="25" s="1"/>
  <c r="O9" i="25"/>
  <c r="M69" i="25"/>
  <c r="L69" i="25"/>
  <c r="O17" i="25"/>
  <c r="O62" i="25"/>
  <c r="K42" i="14"/>
  <c r="AM91" i="24"/>
  <c r="AF65" i="25"/>
  <c r="G68" i="25"/>
  <c r="X68" i="25"/>
  <c r="X69" i="25"/>
  <c r="AF64" i="25"/>
  <c r="O65" i="25"/>
  <c r="O66" i="25" s="1"/>
  <c r="L68" i="25"/>
  <c r="AC68" i="25"/>
  <c r="AC69" i="25"/>
  <c r="O64" i="25"/>
  <c r="N68" i="25"/>
  <c r="AE68" i="25"/>
  <c r="AF68" i="25" s="1"/>
  <c r="AE69" i="25"/>
  <c r="G16" i="23"/>
  <c r="G18" i="23" s="1"/>
  <c r="P30" i="24"/>
  <c r="P34" i="24" s="1"/>
  <c r="P48" i="24" s="1"/>
  <c r="K16" i="23"/>
  <c r="K18" i="23" s="1"/>
  <c r="O200" i="24"/>
  <c r="J199" i="24"/>
  <c r="F15" i="23"/>
  <c r="F17" i="23" s="1"/>
  <c r="H199" i="24"/>
  <c r="I30" i="24"/>
  <c r="I34" i="24" s="1"/>
  <c r="I48" i="24" s="1"/>
  <c r="F16" i="23"/>
  <c r="F18" i="23" s="1"/>
  <c r="F31" i="24"/>
  <c r="F35" i="24" s="1"/>
  <c r="F49" i="24" s="1"/>
  <c r="J15" i="23"/>
  <c r="J17" i="23" s="1"/>
  <c r="N31" i="24"/>
  <c r="N35" i="24" s="1"/>
  <c r="N49" i="24" s="1"/>
  <c r="I15" i="23"/>
  <c r="I17" i="23" s="1"/>
  <c r="N16" i="23"/>
  <c r="N18" i="23" s="1"/>
  <c r="N17" i="24"/>
  <c r="N212" i="24" s="1"/>
  <c r="Q165" i="24"/>
  <c r="F77" i="24"/>
  <c r="F93" i="24" s="1"/>
  <c r="H76" i="24"/>
  <c r="H92" i="24" s="1"/>
  <c r="C15" i="23"/>
  <c r="C17" i="23" s="1"/>
  <c r="M16" i="23"/>
  <c r="M18" i="23" s="1"/>
  <c r="E16" i="23"/>
  <c r="E18" i="23" s="1"/>
  <c r="H15" i="23"/>
  <c r="H17" i="23" s="1"/>
  <c r="C16" i="23"/>
  <c r="C18" i="23" s="1"/>
  <c r="J16" i="23"/>
  <c r="J18" i="23" s="1"/>
  <c r="M15" i="23"/>
  <c r="M17" i="23" s="1"/>
  <c r="E15" i="23"/>
  <c r="E17" i="23" s="1"/>
  <c r="M30" i="24"/>
  <c r="M34" i="24" s="1"/>
  <c r="M48" i="24" s="1"/>
  <c r="J31" i="24"/>
  <c r="J35" i="24" s="1"/>
  <c r="J49" i="24" s="1"/>
  <c r="I16" i="23"/>
  <c r="I18" i="23" s="1"/>
  <c r="L15" i="23"/>
  <c r="L17" i="23" s="1"/>
  <c r="D15" i="23"/>
  <c r="D17" i="23" s="1"/>
  <c r="I187" i="24"/>
  <c r="H186" i="24"/>
  <c r="J186" i="24"/>
  <c r="G186" i="24"/>
  <c r="P186" i="24"/>
  <c r="G200" i="24"/>
  <c r="K200" i="24"/>
  <c r="H176" i="24"/>
  <c r="H203" i="24" s="1"/>
  <c r="J176" i="24"/>
  <c r="P176" i="24"/>
  <c r="H213" i="24"/>
  <c r="J214" i="24"/>
  <c r="Q74" i="24"/>
  <c r="G65" i="24"/>
  <c r="G71" i="24" s="1"/>
  <c r="E199" i="24"/>
  <c r="AF67" i="25"/>
  <c r="O67" i="25"/>
  <c r="O68" i="25"/>
  <c r="O59" i="25"/>
  <c r="AF59" i="25"/>
  <c r="O60" i="25"/>
  <c r="AF60" i="25"/>
  <c r="O61" i="25"/>
  <c r="AF61" i="25"/>
  <c r="I213" i="24"/>
  <c r="I116" i="24"/>
  <c r="J213" i="24"/>
  <c r="J116" i="24"/>
  <c r="AH211" i="24"/>
  <c r="AH201" i="24"/>
  <c r="AH26" i="24"/>
  <c r="O214" i="24"/>
  <c r="O117" i="24"/>
  <c r="Q102" i="24"/>
  <c r="AN64" i="24"/>
  <c r="AB70" i="24"/>
  <c r="AB26" i="24"/>
  <c r="AH202" i="24"/>
  <c r="AH212" i="24"/>
  <c r="AH27" i="24"/>
  <c r="I35" i="24"/>
  <c r="I49" i="24" s="1"/>
  <c r="AN73" i="24"/>
  <c r="AB85" i="24"/>
  <c r="AB91" i="24" s="1"/>
  <c r="G214" i="24"/>
  <c r="G117" i="24"/>
  <c r="AI213" i="24"/>
  <c r="AI116" i="24"/>
  <c r="AK213" i="24"/>
  <c r="AK116" i="24"/>
  <c r="AB138" i="24"/>
  <c r="AD211" i="24"/>
  <c r="AL213" i="24"/>
  <c r="AL116" i="24"/>
  <c r="K211" i="24"/>
  <c r="K201" i="24"/>
  <c r="K26" i="24"/>
  <c r="AE16" i="24"/>
  <c r="G17" i="24"/>
  <c r="AK17" i="24"/>
  <c r="AJ49" i="24"/>
  <c r="L70" i="24"/>
  <c r="AK70" i="24"/>
  <c r="L92" i="24"/>
  <c r="AB90" i="24"/>
  <c r="AI90" i="24"/>
  <c r="AC214" i="24"/>
  <c r="AC117" i="24"/>
  <c r="AK214" i="24"/>
  <c r="AK117" i="24"/>
  <c r="AG214" i="24"/>
  <c r="AG117" i="24"/>
  <c r="I168" i="24"/>
  <c r="Q168" i="24" s="1"/>
  <c r="Q166" i="24"/>
  <c r="AL211" i="24"/>
  <c r="AL201" i="24"/>
  <c r="Q98" i="24"/>
  <c r="N214" i="24"/>
  <c r="N117" i="24"/>
  <c r="AC211" i="24"/>
  <c r="AC201" i="24"/>
  <c r="AC26" i="24"/>
  <c r="AM211" i="24"/>
  <c r="AM201" i="24"/>
  <c r="O17" i="24"/>
  <c r="AI202" i="24"/>
  <c r="AI212" i="24"/>
  <c r="AI27" i="24"/>
  <c r="I26" i="24"/>
  <c r="J16" i="24"/>
  <c r="P212" i="24"/>
  <c r="P202" i="24"/>
  <c r="P27" i="24"/>
  <c r="F199" i="24"/>
  <c r="F16" i="24"/>
  <c r="N199" i="24"/>
  <c r="N16" i="24"/>
  <c r="AD17" i="24"/>
  <c r="AL17" i="24"/>
  <c r="L211" i="24"/>
  <c r="L201" i="24"/>
  <c r="H212" i="24"/>
  <c r="H202" i="24"/>
  <c r="H27" i="24"/>
  <c r="AB17" i="24"/>
  <c r="N48" i="24"/>
  <c r="AL48" i="24"/>
  <c r="AK49" i="24"/>
  <c r="M70" i="24"/>
  <c r="AL70" i="24"/>
  <c r="AB71" i="24"/>
  <c r="M92" i="24"/>
  <c r="H93" i="24"/>
  <c r="AD91" i="24"/>
  <c r="M213" i="24"/>
  <c r="M116" i="24"/>
  <c r="AN98" i="24"/>
  <c r="AH214" i="24"/>
  <c r="AH117" i="24"/>
  <c r="AB34" i="24"/>
  <c r="AN30" i="24"/>
  <c r="AH213" i="24"/>
  <c r="AH116" i="24"/>
  <c r="F212" i="24"/>
  <c r="AJ17" i="24"/>
  <c r="F27" i="24"/>
  <c r="AN99" i="24"/>
  <c r="AB103" i="24"/>
  <c r="AJ117" i="24"/>
  <c r="G199" i="24"/>
  <c r="G16" i="24"/>
  <c r="O199" i="24"/>
  <c r="O16" i="24"/>
  <c r="AF199" i="24"/>
  <c r="AF16" i="24"/>
  <c r="AN8" i="24"/>
  <c r="L200" i="24"/>
  <c r="L17" i="24"/>
  <c r="AE200" i="24"/>
  <c r="AE17" i="24"/>
  <c r="AM17" i="24"/>
  <c r="M16" i="24"/>
  <c r="AI16" i="24"/>
  <c r="I27" i="24"/>
  <c r="AC202" i="24"/>
  <c r="AC212" i="24"/>
  <c r="AM48" i="24"/>
  <c r="AN52" i="24"/>
  <c r="AE71" i="24"/>
  <c r="N70" i="24"/>
  <c r="AM70" i="24"/>
  <c r="N92" i="24"/>
  <c r="Q75" i="24"/>
  <c r="Q76" i="24"/>
  <c r="AE91" i="24"/>
  <c r="AE213" i="24"/>
  <c r="AE116" i="24"/>
  <c r="AB116" i="24"/>
  <c r="AN102" i="24"/>
  <c r="AI214" i="24"/>
  <c r="AI117" i="24"/>
  <c r="AM116" i="24"/>
  <c r="H211" i="24"/>
  <c r="H201" i="24"/>
  <c r="AG199" i="24"/>
  <c r="AG16" i="24"/>
  <c r="E200" i="24"/>
  <c r="E17" i="24"/>
  <c r="Q9" i="24"/>
  <c r="M200" i="24"/>
  <c r="M17" i="24"/>
  <c r="AN9" i="24"/>
  <c r="P16" i="24"/>
  <c r="AJ211" i="24"/>
  <c r="AJ201" i="24"/>
  <c r="AJ26" i="24"/>
  <c r="AF17" i="24"/>
  <c r="AL26" i="24"/>
  <c r="E48" i="24"/>
  <c r="AB49" i="24"/>
  <c r="AN35" i="24"/>
  <c r="E65" i="24"/>
  <c r="Q53" i="24"/>
  <c r="AF214" i="24"/>
  <c r="AF117" i="24"/>
  <c r="E213" i="24"/>
  <c r="E116" i="24"/>
  <c r="AC213" i="24"/>
  <c r="AC116" i="24"/>
  <c r="Q8" i="24"/>
  <c r="AH199" i="24"/>
  <c r="AG200" i="24"/>
  <c r="E201" i="24"/>
  <c r="E211" i="24"/>
  <c r="AK211" i="24"/>
  <c r="AK201" i="24"/>
  <c r="AK26" i="24"/>
  <c r="K212" i="24"/>
  <c r="K202" i="24"/>
  <c r="AG17" i="24"/>
  <c r="AM26" i="24"/>
  <c r="F48" i="24"/>
  <c r="AD48" i="24"/>
  <c r="AC49" i="24"/>
  <c r="AC204" i="24" s="1"/>
  <c r="Q52" i="24"/>
  <c r="N71" i="24"/>
  <c r="AG71" i="24"/>
  <c r="E70" i="24"/>
  <c r="Q64" i="24"/>
  <c r="AC70" i="24"/>
  <c r="AI71" i="24"/>
  <c r="P92" i="24"/>
  <c r="K93" i="24"/>
  <c r="AM90" i="24"/>
  <c r="P213" i="24"/>
  <c r="P116" i="24"/>
  <c r="F214" i="24"/>
  <c r="F117" i="24"/>
  <c r="K214" i="24"/>
  <c r="K117" i="24"/>
  <c r="K213" i="24"/>
  <c r="K116" i="24"/>
  <c r="E147" i="24"/>
  <c r="Q143" i="24"/>
  <c r="AN143" i="24"/>
  <c r="AN165" i="24"/>
  <c r="AH184" i="24"/>
  <c r="AH186" i="24"/>
  <c r="G185" i="24"/>
  <c r="G187" i="24"/>
  <c r="K199" i="24"/>
  <c r="AB199" i="24"/>
  <c r="AJ199" i="24"/>
  <c r="H200" i="24"/>
  <c r="P200" i="24"/>
  <c r="AH200" i="24"/>
  <c r="AC90" i="24"/>
  <c r="AK90" i="24"/>
  <c r="I77" i="24"/>
  <c r="F213" i="24"/>
  <c r="N213" i="24"/>
  <c r="AD214" i="24"/>
  <c r="AL214" i="24"/>
  <c r="L213" i="24"/>
  <c r="H214" i="24"/>
  <c r="H117" i="24"/>
  <c r="N116" i="24"/>
  <c r="AD117" i="24"/>
  <c r="E160" i="24"/>
  <c r="Q160" i="24" s="1"/>
  <c r="Q146" i="24"/>
  <c r="Q164" i="24"/>
  <c r="F186" i="24"/>
  <c r="F176" i="24"/>
  <c r="N186" i="24"/>
  <c r="N176" i="24"/>
  <c r="AG186" i="24"/>
  <c r="AG176" i="24"/>
  <c r="F187" i="24"/>
  <c r="F177" i="24"/>
  <c r="N187" i="24"/>
  <c r="N177" i="24"/>
  <c r="AN184" i="24"/>
  <c r="L199" i="24"/>
  <c r="AC199" i="24"/>
  <c r="AK199" i="24"/>
  <c r="I200" i="24"/>
  <c r="AI200" i="24"/>
  <c r="AD90" i="24"/>
  <c r="AL90" i="24"/>
  <c r="AG91" i="24"/>
  <c r="G213" i="24"/>
  <c r="O213" i="24"/>
  <c r="AF213" i="24"/>
  <c r="L214" i="24"/>
  <c r="AE214" i="24"/>
  <c r="AM214" i="24"/>
  <c r="I214" i="24"/>
  <c r="O116" i="24"/>
  <c r="J117" i="24"/>
  <c r="AE117" i="24"/>
  <c r="Q142" i="24"/>
  <c r="Q167" i="24"/>
  <c r="H169" i="24"/>
  <c r="Q169" i="24" s="1"/>
  <c r="O176" i="24"/>
  <c r="O186" i="24"/>
  <c r="AH91" i="24"/>
  <c r="AG213" i="24"/>
  <c r="E103" i="24"/>
  <c r="Q99" i="24"/>
  <c r="M214" i="24"/>
  <c r="AJ213" i="24"/>
  <c r="AJ116" i="24"/>
  <c r="AN164" i="24"/>
  <c r="E123" i="24"/>
  <c r="Q121" i="24"/>
  <c r="AN121" i="24"/>
  <c r="AB146" i="24"/>
  <c r="AN142" i="24"/>
  <c r="Q120" i="24"/>
  <c r="E138" i="24"/>
  <c r="Q138" i="24" s="1"/>
  <c r="Q122" i="24"/>
  <c r="AB139" i="24"/>
  <c r="AN139" i="24" s="1"/>
  <c r="AQ139" i="24" s="1"/>
  <c r="AN123" i="24"/>
  <c r="AE169" i="24"/>
  <c r="AN169" i="24" s="1"/>
  <c r="AN167" i="24"/>
  <c r="AN147" i="24"/>
  <c r="AB161" i="24"/>
  <c r="AN161" i="24" s="1"/>
  <c r="AQ161" i="24" s="1"/>
  <c r="K176" i="24"/>
  <c r="K186" i="24"/>
  <c r="AD176" i="24"/>
  <c r="AD186" i="24"/>
  <c r="AL176" i="24"/>
  <c r="AL186" i="24"/>
  <c r="AD177" i="24"/>
  <c r="AD187" i="24"/>
  <c r="AL177" i="24"/>
  <c r="AL187" i="24"/>
  <c r="P214" i="24"/>
  <c r="P117" i="24"/>
  <c r="L186" i="24"/>
  <c r="L176" i="24"/>
  <c r="AE187" i="24"/>
  <c r="AE177" i="24"/>
  <c r="AM187" i="24"/>
  <c r="AM177" i="24"/>
  <c r="Q183" i="24"/>
  <c r="F185" i="24"/>
  <c r="AE168" i="24"/>
  <c r="AN168" i="24" s="1"/>
  <c r="M187" i="24"/>
  <c r="AF177" i="24"/>
  <c r="AN185" i="24"/>
  <c r="AI186" i="24"/>
  <c r="O187" i="24"/>
  <c r="H187" i="24"/>
  <c r="P187" i="24"/>
  <c r="Q175" i="24"/>
  <c r="AB176" i="24"/>
  <c r="H177" i="24"/>
  <c r="AN182" i="24"/>
  <c r="I186" i="24"/>
  <c r="I176" i="24"/>
  <c r="AB177" i="24"/>
  <c r="AN175" i="24"/>
  <c r="AC176" i="24"/>
  <c r="I177" i="24"/>
  <c r="AI177" i="24"/>
  <c r="AC187" i="24"/>
  <c r="AN174" i="24"/>
  <c r="G176" i="24"/>
  <c r="M177" i="24"/>
  <c r="AG187" i="24"/>
  <c r="K177" i="24"/>
  <c r="K187" i="24"/>
  <c r="AH187" i="24"/>
  <c r="AE176" i="24"/>
  <c r="AE186" i="24"/>
  <c r="AN186" i="24" s="1"/>
  <c r="AM176" i="24"/>
  <c r="AM186" i="24"/>
  <c r="AN183" i="24"/>
  <c r="AJ187" i="24"/>
  <c r="E186" i="24"/>
  <c r="E176" i="24"/>
  <c r="Q174" i="24"/>
  <c r="M186" i="24"/>
  <c r="M176" i="24"/>
  <c r="AF176" i="24"/>
  <c r="AF186" i="24"/>
  <c r="Q182" i="24"/>
  <c r="F184" i="24"/>
  <c r="Q184" i="24" s="1"/>
  <c r="J187" i="24"/>
  <c r="L177" i="24"/>
  <c r="L187" i="24"/>
  <c r="E177" i="24"/>
  <c r="K195" i="24"/>
  <c r="N195" i="24"/>
  <c r="O195" i="24"/>
  <c r="O101" i="23"/>
  <c r="W90" i="23"/>
  <c r="H90" i="23"/>
  <c r="G90" i="23"/>
  <c r="F90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H89" i="23"/>
  <c r="G89" i="23"/>
  <c r="F89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U66" i="23"/>
  <c r="N66" i="23"/>
  <c r="N68" i="23" s="1"/>
  <c r="M66" i="23"/>
  <c r="M68" i="23" s="1"/>
  <c r="L66" i="23"/>
  <c r="L68" i="23" s="1"/>
  <c r="K66" i="23"/>
  <c r="K68" i="23" s="1"/>
  <c r="J66" i="23"/>
  <c r="I66" i="23"/>
  <c r="I68" i="23" s="1"/>
  <c r="H66" i="23"/>
  <c r="H68" i="23" s="1"/>
  <c r="G66" i="23"/>
  <c r="G68" i="23" s="1"/>
  <c r="F66" i="23"/>
  <c r="F68" i="23" s="1"/>
  <c r="E66" i="23"/>
  <c r="E68" i="23" s="1"/>
  <c r="D66" i="23"/>
  <c r="D68" i="23" s="1"/>
  <c r="C66" i="23"/>
  <c r="A66" i="23"/>
  <c r="AH65" i="23"/>
  <c r="AH67" i="23" s="1"/>
  <c r="AH71" i="23" s="1"/>
  <c r="AG65" i="23"/>
  <c r="AG67" i="23" s="1"/>
  <c r="AG71" i="23" s="1"/>
  <c r="AF65" i="23"/>
  <c r="AF67" i="23" s="1"/>
  <c r="AE65" i="23"/>
  <c r="AE67" i="23" s="1"/>
  <c r="AD65" i="23"/>
  <c r="AD67" i="23" s="1"/>
  <c r="AC65" i="23"/>
  <c r="AC67" i="23" s="1"/>
  <c r="AB65" i="23"/>
  <c r="AB67" i="23" s="1"/>
  <c r="AA65" i="23"/>
  <c r="AA67" i="23" s="1"/>
  <c r="Z65" i="23"/>
  <c r="Z67" i="23" s="1"/>
  <c r="Y65" i="23"/>
  <c r="Y67" i="23" s="1"/>
  <c r="X65" i="23"/>
  <c r="X67" i="23" s="1"/>
  <c r="W65" i="23"/>
  <c r="W67" i="23" s="1"/>
  <c r="W71" i="23" s="1"/>
  <c r="Q65" i="23"/>
  <c r="O65" i="23"/>
  <c r="AH64" i="23"/>
  <c r="AH66" i="23" s="1"/>
  <c r="AH68" i="23" s="1"/>
  <c r="AG64" i="23"/>
  <c r="AG66" i="23" s="1"/>
  <c r="AG68" i="23" s="1"/>
  <c r="AF64" i="23"/>
  <c r="AF66" i="23" s="1"/>
  <c r="AF68" i="23" s="1"/>
  <c r="AE64" i="23"/>
  <c r="AE66" i="23" s="1"/>
  <c r="AE68" i="23" s="1"/>
  <c r="AD64" i="23"/>
  <c r="AD66" i="23" s="1"/>
  <c r="AD68" i="23" s="1"/>
  <c r="AC64" i="23"/>
  <c r="AC66" i="23" s="1"/>
  <c r="AC68" i="23" s="1"/>
  <c r="AB64" i="23"/>
  <c r="AB66" i="23" s="1"/>
  <c r="AB68" i="23" s="1"/>
  <c r="AA64" i="23"/>
  <c r="AA66" i="23" s="1"/>
  <c r="AA68" i="23" s="1"/>
  <c r="Z64" i="23"/>
  <c r="Z66" i="23" s="1"/>
  <c r="Z68" i="23" s="1"/>
  <c r="Y64" i="23"/>
  <c r="Y66" i="23" s="1"/>
  <c r="Y68" i="23" s="1"/>
  <c r="X64" i="23"/>
  <c r="X66" i="23" s="1"/>
  <c r="X68" i="23" s="1"/>
  <c r="W64" i="23"/>
  <c r="Q64" i="23"/>
  <c r="O64" i="23"/>
  <c r="AE62" i="23"/>
  <c r="AD62" i="23"/>
  <c r="AH61" i="23"/>
  <c r="AG61" i="23"/>
  <c r="AF61" i="23"/>
  <c r="AE61" i="23"/>
  <c r="AD61" i="23"/>
  <c r="AC61" i="23"/>
  <c r="AB61" i="23"/>
  <c r="AA61" i="23"/>
  <c r="Z61" i="23"/>
  <c r="Y61" i="23"/>
  <c r="X61" i="23"/>
  <c r="W61" i="23"/>
  <c r="J61" i="23"/>
  <c r="G61" i="23"/>
  <c r="C61" i="23"/>
  <c r="AH60" i="23"/>
  <c r="AG60" i="23"/>
  <c r="AF60" i="23"/>
  <c r="AF62" i="23" s="1"/>
  <c r="AE60" i="23"/>
  <c r="AD60" i="23"/>
  <c r="AC60" i="23"/>
  <c r="AC62" i="23" s="1"/>
  <c r="Y60" i="23"/>
  <c r="U60" i="23"/>
  <c r="K60" i="23"/>
  <c r="G60" i="23"/>
  <c r="C60" i="23"/>
  <c r="C62" i="23" s="1"/>
  <c r="A60" i="23"/>
  <c r="AI59" i="23"/>
  <c r="M61" i="23"/>
  <c r="L61" i="23"/>
  <c r="K61" i="23"/>
  <c r="I61" i="23"/>
  <c r="H61" i="23"/>
  <c r="F61" i="23"/>
  <c r="F71" i="23" s="1"/>
  <c r="E61" i="23"/>
  <c r="D61" i="23"/>
  <c r="O59" i="23"/>
  <c r="X58" i="23"/>
  <c r="X60" i="23" s="1"/>
  <c r="N60" i="23"/>
  <c r="M60" i="23"/>
  <c r="M62" i="23" s="1"/>
  <c r="L60" i="23"/>
  <c r="L62" i="23" s="1"/>
  <c r="J60" i="23"/>
  <c r="I60" i="23"/>
  <c r="AB58" i="23"/>
  <c r="AB60" i="23" s="1"/>
  <c r="AA58" i="23"/>
  <c r="AA60" i="23" s="1"/>
  <c r="E60" i="23"/>
  <c r="D60" i="23"/>
  <c r="W58" i="23"/>
  <c r="Y56" i="23"/>
  <c r="Q56" i="23"/>
  <c r="Y55" i="23"/>
  <c r="K55" i="23"/>
  <c r="H55" i="23"/>
  <c r="G55" i="23"/>
  <c r="F55" i="23"/>
  <c r="E55" i="23"/>
  <c r="D55" i="23"/>
  <c r="C55" i="23"/>
  <c r="Y54" i="23"/>
  <c r="U54" i="23"/>
  <c r="M54" i="23"/>
  <c r="K54" i="23"/>
  <c r="H54" i="23"/>
  <c r="G54" i="23"/>
  <c r="F54" i="23"/>
  <c r="E54" i="23"/>
  <c r="D54" i="23"/>
  <c r="C54" i="23"/>
  <c r="A54" i="23"/>
  <c r="AE53" i="23"/>
  <c r="AE55" i="23" s="1"/>
  <c r="AB53" i="23"/>
  <c r="AB55" i="23" s="1"/>
  <c r="AA53" i="23"/>
  <c r="AA55" i="23" s="1"/>
  <c r="Z53" i="23"/>
  <c r="Z55" i="23" s="1"/>
  <c r="X53" i="23"/>
  <c r="X55" i="23" s="1"/>
  <c r="W53" i="23"/>
  <c r="W55" i="23" s="1"/>
  <c r="AH52" i="23"/>
  <c r="AH54" i="23" s="1"/>
  <c r="AH56" i="23" s="1"/>
  <c r="AG52" i="23"/>
  <c r="AG54" i="23" s="1"/>
  <c r="AG56" i="23" s="1"/>
  <c r="AE52" i="23"/>
  <c r="AE54" i="23" s="1"/>
  <c r="AE56" i="23" s="1"/>
  <c r="AB52" i="23"/>
  <c r="AB54" i="23" s="1"/>
  <c r="AB56" i="23" s="1"/>
  <c r="AA52" i="23"/>
  <c r="AA54" i="23" s="1"/>
  <c r="AA56" i="23" s="1"/>
  <c r="Z52" i="23"/>
  <c r="Z54" i="23" s="1"/>
  <c r="Z56" i="23" s="1"/>
  <c r="X52" i="23"/>
  <c r="X54" i="23" s="1"/>
  <c r="X56" i="23" s="1"/>
  <c r="W52" i="23"/>
  <c r="W54" i="23" s="1"/>
  <c r="N54" i="23"/>
  <c r="O52" i="23"/>
  <c r="W50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K49" i="23"/>
  <c r="I49" i="23"/>
  <c r="H49" i="23"/>
  <c r="G49" i="23"/>
  <c r="Y48" i="23"/>
  <c r="X48" i="23"/>
  <c r="X50" i="23" s="1"/>
  <c r="W48" i="23"/>
  <c r="U48" i="23"/>
  <c r="M48" i="23"/>
  <c r="M50" i="23" s="1"/>
  <c r="L48" i="23"/>
  <c r="L50" i="23" s="1"/>
  <c r="K48" i="23"/>
  <c r="K50" i="23" s="1"/>
  <c r="G48" i="23"/>
  <c r="G50" i="23" s="1"/>
  <c r="E48" i="23"/>
  <c r="E50" i="23" s="1"/>
  <c r="D48" i="23"/>
  <c r="D50" i="23" s="1"/>
  <c r="A48" i="23"/>
  <c r="AI47" i="23"/>
  <c r="N49" i="23"/>
  <c r="M49" i="23"/>
  <c r="L49" i="23"/>
  <c r="J49" i="23"/>
  <c r="F49" i="23"/>
  <c r="E49" i="23"/>
  <c r="D49" i="23"/>
  <c r="O47" i="23"/>
  <c r="AL46" i="23"/>
  <c r="AF46" i="23"/>
  <c r="AF48" i="23" s="1"/>
  <c r="AF50" i="23" s="1"/>
  <c r="AC46" i="23"/>
  <c r="AC48" i="23" s="1"/>
  <c r="AC50" i="23" s="1"/>
  <c r="AB46" i="23"/>
  <c r="AB48" i="23" s="1"/>
  <c r="AB50" i="23" s="1"/>
  <c r="AG46" i="23"/>
  <c r="AE46" i="23"/>
  <c r="AE48" i="23" s="1"/>
  <c r="AE50" i="23" s="1"/>
  <c r="I48" i="23"/>
  <c r="I50" i="23" s="1"/>
  <c r="H48" i="23"/>
  <c r="H50" i="23" s="1"/>
  <c r="AA46" i="23"/>
  <c r="O46" i="23"/>
  <c r="AG44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AG42" i="23"/>
  <c r="AA42" i="23"/>
  <c r="AA44" i="23" s="1"/>
  <c r="U42" i="23"/>
  <c r="N42" i="23"/>
  <c r="N44" i="23" s="1"/>
  <c r="M42" i="23"/>
  <c r="M44" i="23" s="1"/>
  <c r="L42" i="23"/>
  <c r="L44" i="23" s="1"/>
  <c r="K42" i="23"/>
  <c r="K44" i="23" s="1"/>
  <c r="J42" i="23"/>
  <c r="J44" i="23" s="1"/>
  <c r="I42" i="23"/>
  <c r="I44" i="23" s="1"/>
  <c r="H42" i="23"/>
  <c r="H44" i="23" s="1"/>
  <c r="G42" i="23"/>
  <c r="G44" i="23" s="1"/>
  <c r="F42" i="23"/>
  <c r="F44" i="23" s="1"/>
  <c r="E42" i="23"/>
  <c r="D42" i="23"/>
  <c r="D44" i="23" s="1"/>
  <c r="C42" i="23"/>
  <c r="C44" i="23" s="1"/>
  <c r="A42" i="23"/>
  <c r="AH41" i="23"/>
  <c r="AH43" i="23" s="1"/>
  <c r="AG41" i="23"/>
  <c r="AG43" i="23" s="1"/>
  <c r="AF41" i="23"/>
  <c r="AF43" i="23" s="1"/>
  <c r="AE41" i="23"/>
  <c r="AE43" i="23" s="1"/>
  <c r="AD41" i="23"/>
  <c r="AD43" i="23" s="1"/>
  <c r="AC41" i="23"/>
  <c r="AC43" i="23" s="1"/>
  <c r="AB41" i="23"/>
  <c r="AB43" i="23" s="1"/>
  <c r="AA41" i="23"/>
  <c r="Z41" i="23"/>
  <c r="Z43" i="23" s="1"/>
  <c r="Y41" i="23"/>
  <c r="Y43" i="23" s="1"/>
  <c r="X41" i="23"/>
  <c r="X43" i="23" s="1"/>
  <c r="W41" i="23"/>
  <c r="W43" i="23" s="1"/>
  <c r="O41" i="23"/>
  <c r="AH40" i="23"/>
  <c r="AH42" i="23" s="1"/>
  <c r="AH44" i="23" s="1"/>
  <c r="AF40" i="23"/>
  <c r="AE40" i="23"/>
  <c r="AE42" i="23" s="1"/>
  <c r="AE44" i="23" s="1"/>
  <c r="AD40" i="23"/>
  <c r="AC40" i="23"/>
  <c r="AB40" i="23"/>
  <c r="AB42" i="23" s="1"/>
  <c r="AB44" i="23" s="1"/>
  <c r="Z40" i="23"/>
  <c r="Z42" i="23" s="1"/>
  <c r="Z44" i="23" s="1"/>
  <c r="Y40" i="23"/>
  <c r="X40" i="23"/>
  <c r="X42" i="23" s="1"/>
  <c r="X44" i="23" s="1"/>
  <c r="W40" i="23"/>
  <c r="W42" i="23" s="1"/>
  <c r="W44" i="23" s="1"/>
  <c r="O40" i="23"/>
  <c r="AF38" i="23"/>
  <c r="AC38" i="23"/>
  <c r="AA37" i="23"/>
  <c r="U37" i="23"/>
  <c r="AA39" i="23" s="1"/>
  <c r="L37" i="23"/>
  <c r="J37" i="23"/>
  <c r="I37" i="23"/>
  <c r="D37" i="23"/>
  <c r="AG36" i="23"/>
  <c r="AG38" i="23" s="1"/>
  <c r="AF36" i="23"/>
  <c r="AD36" i="23"/>
  <c r="AC36" i="23"/>
  <c r="AA36" i="23"/>
  <c r="U36" i="23"/>
  <c r="N36" i="23"/>
  <c r="M36" i="23"/>
  <c r="I36" i="23"/>
  <c r="I38" i="23" s="1"/>
  <c r="G36" i="23"/>
  <c r="F36" i="23"/>
  <c r="F38" i="23" s="1"/>
  <c r="A36" i="23"/>
  <c r="AG35" i="23"/>
  <c r="AF35" i="23"/>
  <c r="Z35" i="23"/>
  <c r="X35" i="23"/>
  <c r="N37" i="23"/>
  <c r="M37" i="23"/>
  <c r="F37" i="23"/>
  <c r="E92" i="23"/>
  <c r="D92" i="23"/>
  <c r="W35" i="23"/>
  <c r="AE34" i="23"/>
  <c r="W34" i="23"/>
  <c r="M91" i="23"/>
  <c r="K36" i="23"/>
  <c r="J36" i="23"/>
  <c r="I91" i="23"/>
  <c r="C36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AG29" i="23"/>
  <c r="AF29" i="23"/>
  <c r="AE29" i="23"/>
  <c r="AD29" i="23"/>
  <c r="AC29" i="23"/>
  <c r="AB29" i="23"/>
  <c r="Y29" i="23"/>
  <c r="X29" i="23"/>
  <c r="W29" i="23"/>
  <c r="H28" i="23"/>
  <c r="H30" i="23" s="1"/>
  <c r="G28" i="23"/>
  <c r="G30" i="23" s="1"/>
  <c r="F28" i="23"/>
  <c r="F30" i="23" s="1"/>
  <c r="E28" i="23"/>
  <c r="E30" i="23" s="1"/>
  <c r="D28" i="23"/>
  <c r="D30" i="23" s="1"/>
  <c r="C28" i="23"/>
  <c r="C30" i="23" s="1"/>
  <c r="U27" i="23"/>
  <c r="AA29" i="23" s="1"/>
  <c r="N27" i="23"/>
  <c r="N29" i="23" s="1"/>
  <c r="L27" i="23"/>
  <c r="L29" i="23" s="1"/>
  <c r="H27" i="23"/>
  <c r="H29" i="23" s="1"/>
  <c r="G27" i="23"/>
  <c r="G29" i="23" s="1"/>
  <c r="F27" i="23"/>
  <c r="F29" i="23" s="1"/>
  <c r="E27" i="23"/>
  <c r="E29" i="23" s="1"/>
  <c r="D27" i="23"/>
  <c r="D29" i="23" s="1"/>
  <c r="C27" i="23"/>
  <c r="C29" i="23" s="1"/>
  <c r="A27" i="23"/>
  <c r="AB26" i="23"/>
  <c r="AA26" i="23"/>
  <c r="Z26" i="23"/>
  <c r="Y26" i="23"/>
  <c r="X26" i="23"/>
  <c r="W26" i="23"/>
  <c r="N28" i="23"/>
  <c r="N30" i="23" s="1"/>
  <c r="AG25" i="23"/>
  <c r="AE25" i="23"/>
  <c r="AD25" i="23"/>
  <c r="AB25" i="23"/>
  <c r="AA25" i="23"/>
  <c r="Z25" i="23"/>
  <c r="Y25" i="23"/>
  <c r="X25" i="23"/>
  <c r="W25" i="23"/>
  <c r="AH25" i="23"/>
  <c r="AF25" i="23"/>
  <c r="AC26" i="23"/>
  <c r="AE23" i="23"/>
  <c r="AC23" i="23"/>
  <c r="AB23" i="23"/>
  <c r="W23" i="23"/>
  <c r="W22" i="23"/>
  <c r="W24" i="23" s="1"/>
  <c r="U22" i="23"/>
  <c r="N22" i="23"/>
  <c r="M22" i="23"/>
  <c r="L22" i="23"/>
  <c r="K22" i="23"/>
  <c r="J22" i="23"/>
  <c r="I22" i="23"/>
  <c r="H22" i="23"/>
  <c r="G22" i="23"/>
  <c r="F22" i="23"/>
  <c r="C22" i="23"/>
  <c r="AH21" i="23"/>
  <c r="AH23" i="23" s="1"/>
  <c r="AG21" i="23"/>
  <c r="AG23" i="23" s="1"/>
  <c r="AF21" i="23"/>
  <c r="AF23" i="23" s="1"/>
  <c r="AE21" i="23"/>
  <c r="AD21" i="23"/>
  <c r="AD23" i="23" s="1"/>
  <c r="AC21" i="23"/>
  <c r="AB21" i="23"/>
  <c r="AA21" i="23"/>
  <c r="AA23" i="23" s="1"/>
  <c r="Z21" i="23"/>
  <c r="Z23" i="23" s="1"/>
  <c r="Y21" i="23"/>
  <c r="Y23" i="23" s="1"/>
  <c r="X21" i="23"/>
  <c r="X23" i="23" s="1"/>
  <c r="W21" i="23"/>
  <c r="U21" i="23"/>
  <c r="N21" i="23"/>
  <c r="N23" i="23" s="1"/>
  <c r="M21" i="23"/>
  <c r="M23" i="23" s="1"/>
  <c r="L21" i="23"/>
  <c r="K21" i="23"/>
  <c r="K23" i="23" s="1"/>
  <c r="J21" i="23"/>
  <c r="J23" i="23" s="1"/>
  <c r="I21" i="23"/>
  <c r="I23" i="23" s="1"/>
  <c r="H21" i="23"/>
  <c r="H23" i="23" s="1"/>
  <c r="G21" i="23"/>
  <c r="G23" i="23" s="1"/>
  <c r="F21" i="23"/>
  <c r="F23" i="23" s="1"/>
  <c r="E21" i="23"/>
  <c r="E23" i="23" s="1"/>
  <c r="D21" i="23"/>
  <c r="D23" i="23" s="1"/>
  <c r="A21" i="23"/>
  <c r="AH20" i="23"/>
  <c r="AG20" i="23"/>
  <c r="AF20" i="23"/>
  <c r="AF22" i="23" s="1"/>
  <c r="AF24" i="23" s="1"/>
  <c r="AE20" i="23"/>
  <c r="AE22" i="23" s="1"/>
  <c r="AE24" i="23" s="1"/>
  <c r="AD20" i="23"/>
  <c r="AD22" i="23" s="1"/>
  <c r="AD24" i="23" s="1"/>
  <c r="AC20" i="23"/>
  <c r="AC22" i="23" s="1"/>
  <c r="AC24" i="23" s="1"/>
  <c r="AB20" i="23"/>
  <c r="AB22" i="23" s="1"/>
  <c r="AB24" i="23" s="1"/>
  <c r="AA20" i="23"/>
  <c r="AA22" i="23" s="1"/>
  <c r="AA24" i="23" s="1"/>
  <c r="Z20" i="23"/>
  <c r="Z22" i="23" s="1"/>
  <c r="Z24" i="23" s="1"/>
  <c r="E22" i="23"/>
  <c r="D22" i="23"/>
  <c r="AI19" i="23"/>
  <c r="R19" i="23"/>
  <c r="C21" i="23"/>
  <c r="AA17" i="23"/>
  <c r="AH16" i="23"/>
  <c r="AG16" i="23"/>
  <c r="AG18" i="23" s="1"/>
  <c r="AF16" i="23"/>
  <c r="AF18" i="23" s="1"/>
  <c r="AE16" i="23"/>
  <c r="AE18" i="23" s="1"/>
  <c r="AD16" i="23"/>
  <c r="AD18" i="23" s="1"/>
  <c r="AC16" i="23"/>
  <c r="AC18" i="23" s="1"/>
  <c r="AB16" i="23"/>
  <c r="AB18" i="23" s="1"/>
  <c r="AA16" i="23"/>
  <c r="AA18" i="23" s="1"/>
  <c r="Z16" i="23"/>
  <c r="Y16" i="23"/>
  <c r="Y18" i="23" s="1"/>
  <c r="X16" i="23"/>
  <c r="X18" i="23" s="1"/>
  <c r="W16" i="23"/>
  <c r="W18" i="23" s="1"/>
  <c r="U16" i="23"/>
  <c r="AH15" i="23"/>
  <c r="AH17" i="23" s="1"/>
  <c r="AG15" i="23"/>
  <c r="AG17" i="23" s="1"/>
  <c r="AF15" i="23"/>
  <c r="AF17" i="23" s="1"/>
  <c r="AE15" i="23"/>
  <c r="AE17" i="23" s="1"/>
  <c r="AD15" i="23"/>
  <c r="AD17" i="23" s="1"/>
  <c r="AC15" i="23"/>
  <c r="AC17" i="23" s="1"/>
  <c r="AB15" i="23"/>
  <c r="AB17" i="23" s="1"/>
  <c r="AA15" i="23"/>
  <c r="Z15" i="23"/>
  <c r="Z17" i="23" s="1"/>
  <c r="Y15" i="23"/>
  <c r="Y17" i="23" s="1"/>
  <c r="X15" i="23"/>
  <c r="X17" i="23" s="1"/>
  <c r="W15" i="23"/>
  <c r="W17" i="23" s="1"/>
  <c r="U15" i="23"/>
  <c r="A15" i="23"/>
  <c r="AI14" i="23"/>
  <c r="O14" i="23"/>
  <c r="AL13" i="23"/>
  <c r="AI13" i="23"/>
  <c r="O13" i="23"/>
  <c r="AE11" i="23"/>
  <c r="W10" i="23"/>
  <c r="N10" i="23"/>
  <c r="N12" i="23" s="1"/>
  <c r="M10" i="23"/>
  <c r="L10" i="23"/>
  <c r="K10" i="23"/>
  <c r="J10" i="23"/>
  <c r="J12" i="23" s="1"/>
  <c r="I10" i="23"/>
  <c r="I12" i="23" s="1"/>
  <c r="H10" i="23"/>
  <c r="H12" i="23" s="1"/>
  <c r="G10" i="23"/>
  <c r="G12" i="23" s="1"/>
  <c r="F10" i="23"/>
  <c r="F12" i="23" s="1"/>
  <c r="D10" i="23"/>
  <c r="C10" i="23"/>
  <c r="A10" i="23"/>
  <c r="AH9" i="23"/>
  <c r="AG9" i="23"/>
  <c r="AG11" i="23" s="1"/>
  <c r="AF9" i="23"/>
  <c r="AE9" i="23"/>
  <c r="AD9" i="23"/>
  <c r="AC9" i="23"/>
  <c r="AB9" i="23"/>
  <c r="AB11" i="23" s="1"/>
  <c r="AA9" i="23"/>
  <c r="AA11" i="23" s="1"/>
  <c r="Z9" i="23"/>
  <c r="Y9" i="23"/>
  <c r="Y11" i="23" s="1"/>
  <c r="X9" i="23"/>
  <c r="W9" i="23"/>
  <c r="W11" i="23" s="1"/>
  <c r="U9" i="23"/>
  <c r="X11" i="23" s="1"/>
  <c r="N9" i="23"/>
  <c r="N11" i="23" s="1"/>
  <c r="M9" i="23"/>
  <c r="M11" i="23" s="1"/>
  <c r="L9" i="23"/>
  <c r="K9" i="23"/>
  <c r="J9" i="23"/>
  <c r="J11" i="23" s="1"/>
  <c r="I9" i="23"/>
  <c r="I11" i="23" s="1"/>
  <c r="H9" i="23"/>
  <c r="H11" i="23" s="1"/>
  <c r="F9" i="23"/>
  <c r="F11" i="23" s="1"/>
  <c r="A9" i="23"/>
  <c r="AH8" i="23"/>
  <c r="AG8" i="23"/>
  <c r="AG10" i="23" s="1"/>
  <c r="AF8" i="23"/>
  <c r="AE8" i="23"/>
  <c r="AD8" i="23"/>
  <c r="AC8" i="23"/>
  <c r="AC10" i="23" s="1"/>
  <c r="AB8" i="23"/>
  <c r="AA8" i="23"/>
  <c r="Z8" i="23"/>
  <c r="Y8" i="23"/>
  <c r="Y10" i="23" s="1"/>
  <c r="X8" i="23"/>
  <c r="E10" i="23"/>
  <c r="AI7" i="23"/>
  <c r="D9" i="23"/>
  <c r="C9" i="23"/>
  <c r="AG2" i="23"/>
  <c r="U49" i="23" s="1"/>
  <c r="M2" i="23"/>
  <c r="A61" i="23" s="1"/>
  <c r="I34" i="14"/>
  <c r="G34" i="14"/>
  <c r="F34" i="14"/>
  <c r="K34" i="14" s="1"/>
  <c r="E34" i="14"/>
  <c r="AC8" i="9"/>
  <c r="A9" i="9"/>
  <c r="AF69" i="25" l="1"/>
  <c r="AF62" i="25"/>
  <c r="AF70" i="25" s="1"/>
  <c r="AF72" i="25" s="1"/>
  <c r="AG22" i="23"/>
  <c r="AG24" i="23" s="1"/>
  <c r="AL53" i="24"/>
  <c r="AH22" i="23"/>
  <c r="AH24" i="23" s="1"/>
  <c r="AM53" i="24"/>
  <c r="Y42" i="23"/>
  <c r="Y44" i="23" s="1"/>
  <c r="AD120" i="24"/>
  <c r="AN187" i="24"/>
  <c r="AN116" i="24"/>
  <c r="AQ116" i="24" s="1"/>
  <c r="AH18" i="23"/>
  <c r="O70" i="25"/>
  <c r="O69" i="25"/>
  <c r="P199" i="24"/>
  <c r="L71" i="23"/>
  <c r="H191" i="24"/>
  <c r="D70" i="23"/>
  <c r="Q34" i="24"/>
  <c r="I201" i="24"/>
  <c r="I211" i="24"/>
  <c r="I199" i="24"/>
  <c r="R164" i="24"/>
  <c r="F200" i="24"/>
  <c r="AF90" i="23"/>
  <c r="N202" i="24"/>
  <c r="J204" i="24"/>
  <c r="O18" i="23"/>
  <c r="M12" i="23"/>
  <c r="N27" i="24"/>
  <c r="N204" i="24" s="1"/>
  <c r="O17" i="23"/>
  <c r="Q70" i="24"/>
  <c r="Q30" i="24"/>
  <c r="K11" i="23"/>
  <c r="Q92" i="24"/>
  <c r="R169" i="24"/>
  <c r="N200" i="24"/>
  <c r="O15" i="23"/>
  <c r="J192" i="24"/>
  <c r="Q49" i="24"/>
  <c r="G70" i="23"/>
  <c r="Q35" i="24"/>
  <c r="J200" i="24"/>
  <c r="Q31" i="24"/>
  <c r="J202" i="24"/>
  <c r="F202" i="24"/>
  <c r="M63" i="23"/>
  <c r="O16" i="23"/>
  <c r="M97" i="23"/>
  <c r="D98" i="23"/>
  <c r="L191" i="24"/>
  <c r="J212" i="24"/>
  <c r="AA92" i="23"/>
  <c r="M199" i="24"/>
  <c r="Q185" i="24"/>
  <c r="K204" i="24"/>
  <c r="R142" i="24"/>
  <c r="R120" i="24"/>
  <c r="R98" i="24"/>
  <c r="L203" i="24"/>
  <c r="Q48" i="24"/>
  <c r="M72" i="23"/>
  <c r="AH70" i="23"/>
  <c r="AA70" i="23"/>
  <c r="AC72" i="23"/>
  <c r="M70" i="23"/>
  <c r="AE71" i="23"/>
  <c r="AI64" i="23"/>
  <c r="AD70" i="23"/>
  <c r="AC71" i="23"/>
  <c r="L72" i="23"/>
  <c r="O66" i="23"/>
  <c r="W66" i="23"/>
  <c r="AI66" i="23" s="1"/>
  <c r="C68" i="23"/>
  <c r="C72" i="23" s="1"/>
  <c r="L70" i="23"/>
  <c r="D62" i="23"/>
  <c r="D72" i="23" s="1"/>
  <c r="AA62" i="23"/>
  <c r="AA72" i="23" s="1"/>
  <c r="Z92" i="23"/>
  <c r="AI41" i="23"/>
  <c r="AC25" i="23"/>
  <c r="O25" i="23"/>
  <c r="AI8" i="23"/>
  <c r="AN49" i="24"/>
  <c r="AQ49" i="24" s="1"/>
  <c r="AB48" i="24"/>
  <c r="AN48" i="24" s="1"/>
  <c r="AQ48" i="24" s="1"/>
  <c r="AN34" i="24"/>
  <c r="I93" i="24"/>
  <c r="Q93" i="24" s="1"/>
  <c r="Q77" i="24"/>
  <c r="E161" i="24"/>
  <c r="Q161" i="24" s="1"/>
  <c r="Q147" i="24"/>
  <c r="AG202" i="24"/>
  <c r="AG212" i="24"/>
  <c r="AG27" i="24"/>
  <c r="AM27" i="24"/>
  <c r="F204" i="24"/>
  <c r="F192" i="24"/>
  <c r="G212" i="24"/>
  <c r="G202" i="24"/>
  <c r="G27" i="24"/>
  <c r="AH204" i="24"/>
  <c r="AH192" i="24"/>
  <c r="AN70" i="24"/>
  <c r="AQ70" i="24" s="1"/>
  <c r="AM203" i="24"/>
  <c r="AM191" i="24"/>
  <c r="AJ203" i="24"/>
  <c r="AJ191" i="24"/>
  <c r="AF201" i="24"/>
  <c r="AF211" i="24"/>
  <c r="AF26" i="24"/>
  <c r="Q176" i="24"/>
  <c r="AG211" i="24"/>
  <c r="AG201" i="24"/>
  <c r="AG26" i="24"/>
  <c r="O211" i="24"/>
  <c r="O201" i="24"/>
  <c r="O26" i="24"/>
  <c r="AJ202" i="24"/>
  <c r="AJ212" i="24"/>
  <c r="AJ27" i="24"/>
  <c r="AB202" i="24"/>
  <c r="AB212" i="24"/>
  <c r="AN17" i="24"/>
  <c r="AB27" i="24"/>
  <c r="AD27" i="24"/>
  <c r="AE211" i="24"/>
  <c r="AE201" i="24"/>
  <c r="AE26" i="24"/>
  <c r="E139" i="24"/>
  <c r="Q139" i="24" s="1"/>
  <c r="Q123" i="24"/>
  <c r="Q116" i="24"/>
  <c r="E212" i="24"/>
  <c r="E202" i="24"/>
  <c r="E27" i="24"/>
  <c r="Q17" i="24"/>
  <c r="M201" i="24"/>
  <c r="M211" i="24"/>
  <c r="M26" i="24"/>
  <c r="AK202" i="24"/>
  <c r="AK212" i="24"/>
  <c r="AK27" i="24"/>
  <c r="P211" i="24"/>
  <c r="P201" i="24"/>
  <c r="P26" i="24"/>
  <c r="AE212" i="24"/>
  <c r="AE202" i="24"/>
  <c r="AE27" i="24"/>
  <c r="H204" i="24"/>
  <c r="H205" i="24" s="1"/>
  <c r="H192" i="24"/>
  <c r="H193" i="24" s="1"/>
  <c r="J211" i="24"/>
  <c r="J201" i="24"/>
  <c r="J26" i="24"/>
  <c r="O212" i="24"/>
  <c r="O202" i="24"/>
  <c r="O27" i="24"/>
  <c r="K203" i="24"/>
  <c r="K191" i="24"/>
  <c r="AK203" i="24"/>
  <c r="AK191" i="24"/>
  <c r="G211" i="24"/>
  <c r="G201" i="24"/>
  <c r="G26" i="24"/>
  <c r="N201" i="24"/>
  <c r="N211" i="24"/>
  <c r="N26" i="24"/>
  <c r="AN16" i="24"/>
  <c r="AN176" i="24"/>
  <c r="AN188" i="24" s="1"/>
  <c r="AB160" i="24"/>
  <c r="AN160" i="24" s="1"/>
  <c r="AQ160" i="24" s="1"/>
  <c r="AN146" i="24"/>
  <c r="R52" i="24"/>
  <c r="AF202" i="24"/>
  <c r="AF212" i="24"/>
  <c r="AF27" i="24"/>
  <c r="M212" i="24"/>
  <c r="M202" i="24"/>
  <c r="M27" i="24"/>
  <c r="AB213" i="24"/>
  <c r="I202" i="24"/>
  <c r="L212" i="24"/>
  <c r="L202" i="24"/>
  <c r="L27" i="24"/>
  <c r="AC192" i="24"/>
  <c r="AL203" i="24"/>
  <c r="AL191" i="24"/>
  <c r="Q195" i="24"/>
  <c r="E71" i="24"/>
  <c r="Q71" i="24" s="1"/>
  <c r="Q65" i="24"/>
  <c r="I212" i="24"/>
  <c r="F201" i="24"/>
  <c r="F211" i="24"/>
  <c r="F26" i="24"/>
  <c r="AC191" i="24"/>
  <c r="AC203" i="24"/>
  <c r="AC205" i="24" s="1"/>
  <c r="AB201" i="24"/>
  <c r="K192" i="24"/>
  <c r="Q177" i="24"/>
  <c r="AN177" i="24"/>
  <c r="AN189" i="24" s="1"/>
  <c r="E214" i="24"/>
  <c r="E117" i="24"/>
  <c r="Q117" i="24" s="1"/>
  <c r="Q103" i="24"/>
  <c r="Q16" i="24"/>
  <c r="R8" i="24"/>
  <c r="AI211" i="24"/>
  <c r="AI201" i="24"/>
  <c r="AI26" i="24"/>
  <c r="AB214" i="24"/>
  <c r="AB117" i="24"/>
  <c r="AN117" i="24" s="1"/>
  <c r="AQ117" i="24" s="1"/>
  <c r="AN103" i="24"/>
  <c r="I203" i="24"/>
  <c r="I191" i="24"/>
  <c r="AB211" i="24"/>
  <c r="E191" i="24"/>
  <c r="AL27" i="24"/>
  <c r="P204" i="24"/>
  <c r="P192" i="24"/>
  <c r="AI192" i="24"/>
  <c r="AI204" i="24"/>
  <c r="E203" i="24"/>
  <c r="AH203" i="24"/>
  <c r="AH191" i="24"/>
  <c r="C95" i="23"/>
  <c r="C11" i="23"/>
  <c r="AI25" i="23"/>
  <c r="D95" i="23"/>
  <c r="D11" i="23"/>
  <c r="C23" i="23"/>
  <c r="O21" i="23"/>
  <c r="W92" i="23"/>
  <c r="W80" i="23"/>
  <c r="W37" i="23"/>
  <c r="W82" i="23" s="1"/>
  <c r="AI23" i="23"/>
  <c r="L90" i="23"/>
  <c r="L80" i="23"/>
  <c r="AF26" i="23"/>
  <c r="L28" i="23"/>
  <c r="L30" i="23" s="1"/>
  <c r="AI17" i="23"/>
  <c r="Y51" i="23"/>
  <c r="AG51" i="23"/>
  <c r="AC96" i="23"/>
  <c r="O22" i="23"/>
  <c r="E96" i="23"/>
  <c r="E12" i="23"/>
  <c r="AA51" i="23"/>
  <c r="AH51" i="23"/>
  <c r="AC51" i="23"/>
  <c r="Z51" i="23"/>
  <c r="M90" i="23"/>
  <c r="AG26" i="23"/>
  <c r="C38" i="23"/>
  <c r="K97" i="23"/>
  <c r="K38" i="23"/>
  <c r="AF37" i="23"/>
  <c r="A43" i="23"/>
  <c r="J45" i="23"/>
  <c r="Y50" i="23"/>
  <c r="H63" i="23"/>
  <c r="H71" i="23"/>
  <c r="E79" i="23"/>
  <c r="E89" i="23"/>
  <c r="AC95" i="23"/>
  <c r="H95" i="23"/>
  <c r="AF11" i="23"/>
  <c r="AC42" i="23"/>
  <c r="AC44" i="23" s="1"/>
  <c r="C45" i="23"/>
  <c r="AG91" i="23"/>
  <c r="AG79" i="23"/>
  <c r="AB51" i="23"/>
  <c r="K56" i="23"/>
  <c r="F60" i="23"/>
  <c r="Z58" i="23"/>
  <c r="Z60" i="23" s="1"/>
  <c r="N70" i="23"/>
  <c r="N62" i="23"/>
  <c r="N72" i="23" s="1"/>
  <c r="I63" i="23"/>
  <c r="I71" i="23"/>
  <c r="X71" i="23"/>
  <c r="AF71" i="23"/>
  <c r="AA90" i="23"/>
  <c r="AA80" i="23"/>
  <c r="W95" i="23"/>
  <c r="AE95" i="23"/>
  <c r="AA10" i="23"/>
  <c r="X20" i="23"/>
  <c r="X80" i="23" s="1"/>
  <c r="A22" i="23"/>
  <c r="I89" i="23"/>
  <c r="I27" i="23"/>
  <c r="I29" i="23" s="1"/>
  <c r="Y34" i="23"/>
  <c r="E91" i="23"/>
  <c r="F98" i="23"/>
  <c r="Z37" i="23"/>
  <c r="M38" i="23"/>
  <c r="Z46" i="23"/>
  <c r="F48" i="23"/>
  <c r="F50" i="23" s="1"/>
  <c r="AH46" i="23"/>
  <c r="AH48" i="23" s="1"/>
  <c r="AH50" i="23" s="1"/>
  <c r="N48" i="23"/>
  <c r="N50" i="23" s="1"/>
  <c r="W56" i="23"/>
  <c r="X70" i="23"/>
  <c r="X62" i="23"/>
  <c r="X72" i="23" s="1"/>
  <c r="Y71" i="23"/>
  <c r="AD95" i="23"/>
  <c r="K45" i="23"/>
  <c r="AH11" i="23"/>
  <c r="O19" i="23"/>
  <c r="J89" i="23"/>
  <c r="J79" i="23"/>
  <c r="AA79" i="23"/>
  <c r="AA91" i="23"/>
  <c r="AA48" i="23"/>
  <c r="AA50" i="23" s="1"/>
  <c r="AG48" i="23"/>
  <c r="AG50" i="23" s="1"/>
  <c r="AG74" i="23" s="1"/>
  <c r="AD51" i="23"/>
  <c r="F56" i="23"/>
  <c r="AB70" i="23"/>
  <c r="AB62" i="23"/>
  <c r="AB72" i="23" s="1"/>
  <c r="K63" i="23"/>
  <c r="K71" i="23"/>
  <c r="I79" i="23"/>
  <c r="C96" i="23"/>
  <c r="AH90" i="23"/>
  <c r="AI21" i="23"/>
  <c r="D91" i="23"/>
  <c r="D36" i="23"/>
  <c r="D81" i="23" s="1"/>
  <c r="X34" i="23"/>
  <c r="AB90" i="23"/>
  <c r="F82" i="23"/>
  <c r="F96" i="23"/>
  <c r="AI15" i="23"/>
  <c r="AI16" i="23"/>
  <c r="G92" i="23"/>
  <c r="G80" i="23"/>
  <c r="G37" i="23"/>
  <c r="D90" i="23"/>
  <c r="D80" i="23"/>
  <c r="AG95" i="23"/>
  <c r="O10" i="23"/>
  <c r="L11" i="23"/>
  <c r="A16" i="23"/>
  <c r="K79" i="23"/>
  <c r="J27" i="23"/>
  <c r="J29" i="23" s="1"/>
  <c r="W91" i="23"/>
  <c r="W79" i="23"/>
  <c r="W36" i="23"/>
  <c r="H92" i="23"/>
  <c r="H80" i="23"/>
  <c r="AB35" i="23"/>
  <c r="Q36" i="23"/>
  <c r="Q39" i="23" s="1"/>
  <c r="E36" i="23"/>
  <c r="AA38" i="23"/>
  <c r="H37" i="23"/>
  <c r="H82" i="23" s="1"/>
  <c r="AI40" i="23"/>
  <c r="AF42" i="23"/>
  <c r="AF44" i="23" s="1"/>
  <c r="W51" i="23"/>
  <c r="AE51" i="23"/>
  <c r="G56" i="23"/>
  <c r="D71" i="23"/>
  <c r="D63" i="23"/>
  <c r="L63" i="23"/>
  <c r="K89" i="23"/>
  <c r="G81" i="23"/>
  <c r="G95" i="23"/>
  <c r="Z80" i="23"/>
  <c r="Z90" i="23"/>
  <c r="D96" i="23"/>
  <c r="D82" i="23"/>
  <c r="AH10" i="23"/>
  <c r="O20" i="23"/>
  <c r="C90" i="23"/>
  <c r="C80" i="23"/>
  <c r="X95" i="23"/>
  <c r="N96" i="23"/>
  <c r="Z11" i="23"/>
  <c r="Y20" i="23"/>
  <c r="M28" i="23"/>
  <c r="M30" i="23" s="1"/>
  <c r="O35" i="23"/>
  <c r="N38" i="23"/>
  <c r="A67" i="23"/>
  <c r="A55" i="23"/>
  <c r="A28" i="23"/>
  <c r="A49" i="23"/>
  <c r="K51" i="23" s="1"/>
  <c r="A37" i="23"/>
  <c r="D39" i="23" s="1"/>
  <c r="AC90" i="23"/>
  <c r="Y95" i="23"/>
  <c r="G96" i="23"/>
  <c r="U55" i="23"/>
  <c r="Z57" i="23" s="1"/>
  <c r="U61" i="23"/>
  <c r="Y63" i="23" s="1"/>
  <c r="U43" i="23"/>
  <c r="AE45" i="23" s="1"/>
  <c r="U67" i="23"/>
  <c r="AD69" i="23" s="1"/>
  <c r="E80" i="23"/>
  <c r="E90" i="23"/>
  <c r="AD90" i="23"/>
  <c r="L95" i="23"/>
  <c r="Z95" i="23"/>
  <c r="AH95" i="23"/>
  <c r="H96" i="23"/>
  <c r="U10" i="23"/>
  <c r="Y12" i="23" s="1"/>
  <c r="AD10" i="23"/>
  <c r="C12" i="23"/>
  <c r="K12" i="23"/>
  <c r="L79" i="23"/>
  <c r="L89" i="23"/>
  <c r="K27" i="23"/>
  <c r="K29" i="23" s="1"/>
  <c r="H91" i="23"/>
  <c r="H79" i="23"/>
  <c r="H36" i="23"/>
  <c r="AB34" i="23"/>
  <c r="I39" i="23"/>
  <c r="AC45" i="23"/>
  <c r="G45" i="23"/>
  <c r="C48" i="23"/>
  <c r="C49" i="23"/>
  <c r="X51" i="23"/>
  <c r="AF51" i="23"/>
  <c r="AD52" i="23"/>
  <c r="AD54" i="23" s="1"/>
  <c r="AD56" i="23" s="1"/>
  <c r="J54" i="23"/>
  <c r="J56" i="23" s="1"/>
  <c r="J70" i="23"/>
  <c r="J62" i="23"/>
  <c r="E71" i="23"/>
  <c r="Y62" i="23"/>
  <c r="Y72" i="23" s="1"/>
  <c r="Y70" i="23"/>
  <c r="G62" i="23"/>
  <c r="G72" i="23" s="1"/>
  <c r="O7" i="23"/>
  <c r="Z10" i="23"/>
  <c r="N90" i="23"/>
  <c r="AH26" i="23"/>
  <c r="L91" i="23"/>
  <c r="L36" i="23"/>
  <c r="E51" i="23"/>
  <c r="AF95" i="23"/>
  <c r="AB10" i="23"/>
  <c r="C79" i="23"/>
  <c r="C89" i="23"/>
  <c r="O8" i="23"/>
  <c r="AE90" i="23"/>
  <c r="E9" i="23"/>
  <c r="AA95" i="23"/>
  <c r="AI9" i="23"/>
  <c r="W96" i="23"/>
  <c r="AE10" i="23"/>
  <c r="AC11" i="23"/>
  <c r="D12" i="23"/>
  <c r="L12" i="23"/>
  <c r="Z18" i="23"/>
  <c r="M79" i="23"/>
  <c r="M89" i="23"/>
  <c r="I90" i="23"/>
  <c r="I28" i="23"/>
  <c r="I30" i="23" s="1"/>
  <c r="U28" i="23"/>
  <c r="AE91" i="23"/>
  <c r="AE79" i="23"/>
  <c r="AE36" i="23"/>
  <c r="AD38" i="23"/>
  <c r="AD45" i="23"/>
  <c r="J48" i="23"/>
  <c r="J50" i="23" s="1"/>
  <c r="AD46" i="23"/>
  <c r="AD48" i="23" s="1"/>
  <c r="AD50" i="23" s="1"/>
  <c r="G51" i="23"/>
  <c r="L55" i="23"/>
  <c r="L98" i="23" s="1"/>
  <c r="AF53" i="23"/>
  <c r="AF55" i="23" s="1"/>
  <c r="E69" i="23"/>
  <c r="AG90" i="23"/>
  <c r="D79" i="23"/>
  <c r="D89" i="23"/>
  <c r="F95" i="23"/>
  <c r="N95" i="23"/>
  <c r="N81" i="23"/>
  <c r="AB95" i="23"/>
  <c r="X10" i="23"/>
  <c r="AF10" i="23"/>
  <c r="G11" i="23"/>
  <c r="AD11" i="23"/>
  <c r="L23" i="23"/>
  <c r="N89" i="23"/>
  <c r="N79" i="23"/>
  <c r="M27" i="23"/>
  <c r="M29" i="23" s="1"/>
  <c r="J38" i="23"/>
  <c r="C92" i="23"/>
  <c r="C37" i="23"/>
  <c r="K92" i="23"/>
  <c r="K37" i="23"/>
  <c r="AE35" i="23"/>
  <c r="AE80" i="23" s="1"/>
  <c r="E44" i="23"/>
  <c r="O44" i="23" s="1"/>
  <c r="O42" i="23"/>
  <c r="I45" i="23"/>
  <c r="AA43" i="23"/>
  <c r="AA45" i="23" s="1"/>
  <c r="H51" i="23"/>
  <c r="J71" i="23"/>
  <c r="J63" i="23"/>
  <c r="F91" i="23"/>
  <c r="F79" i="23"/>
  <c r="N91" i="23"/>
  <c r="AH34" i="23"/>
  <c r="X92" i="23"/>
  <c r="G97" i="23"/>
  <c r="X37" i="23"/>
  <c r="G38" i="23"/>
  <c r="H56" i="23"/>
  <c r="F57" i="23"/>
  <c r="C71" i="23"/>
  <c r="C63" i="23"/>
  <c r="Z63" i="23"/>
  <c r="AH63" i="23"/>
  <c r="AD72" i="23"/>
  <c r="AA69" i="23"/>
  <c r="AI65" i="23"/>
  <c r="N69" i="23"/>
  <c r="G79" i="23"/>
  <c r="G91" i="23"/>
  <c r="O34" i="23"/>
  <c r="Y35" i="23"/>
  <c r="AH35" i="23"/>
  <c r="AG37" i="23"/>
  <c r="AD42" i="23"/>
  <c r="AD44" i="23" s="1"/>
  <c r="I54" i="23"/>
  <c r="I56" i="23" s="1"/>
  <c r="AC52" i="23"/>
  <c r="AC54" i="23" s="1"/>
  <c r="AC56" i="23" s="1"/>
  <c r="I80" i="23"/>
  <c r="I70" i="23"/>
  <c r="I62" i="23"/>
  <c r="I72" i="23" s="1"/>
  <c r="G63" i="23"/>
  <c r="AA63" i="23"/>
  <c r="AE72" i="23"/>
  <c r="AB69" i="23"/>
  <c r="AC70" i="23"/>
  <c r="Z29" i="23"/>
  <c r="AH29" i="23"/>
  <c r="L92" i="23"/>
  <c r="E37" i="23"/>
  <c r="E82" i="23" s="1"/>
  <c r="L54" i="23"/>
  <c r="L56" i="23" s="1"/>
  <c r="AF52" i="23"/>
  <c r="AF54" i="23" s="1"/>
  <c r="AF56" i="23" s="1"/>
  <c r="M56" i="23"/>
  <c r="AI58" i="23"/>
  <c r="W60" i="23"/>
  <c r="M71" i="23"/>
  <c r="K70" i="23"/>
  <c r="K62" i="23"/>
  <c r="K72" i="23" s="1"/>
  <c r="AE70" i="23"/>
  <c r="E63" i="23"/>
  <c r="I69" i="23"/>
  <c r="AC69" i="23"/>
  <c r="AH69" i="23"/>
  <c r="J91" i="23"/>
  <c r="AC35" i="23"/>
  <c r="O43" i="23"/>
  <c r="AI49" i="23"/>
  <c r="M92" i="23"/>
  <c r="N61" i="23"/>
  <c r="O61" i="23" s="1"/>
  <c r="R59" i="23"/>
  <c r="AF72" i="23"/>
  <c r="AD71" i="23"/>
  <c r="F63" i="23"/>
  <c r="W69" i="23"/>
  <c r="AI67" i="23"/>
  <c r="AE69" i="23"/>
  <c r="J69" i="23"/>
  <c r="AG69" i="23"/>
  <c r="C70" i="23"/>
  <c r="C91" i="23"/>
  <c r="K91" i="23"/>
  <c r="Z34" i="23"/>
  <c r="F92" i="23"/>
  <c r="F80" i="23"/>
  <c r="AD35" i="23"/>
  <c r="J39" i="23"/>
  <c r="N80" i="23"/>
  <c r="E62" i="23"/>
  <c r="E72" i="23" s="1"/>
  <c r="E70" i="23"/>
  <c r="AG70" i="23"/>
  <c r="AG62" i="23"/>
  <c r="AG72" i="23" s="1"/>
  <c r="W63" i="23"/>
  <c r="AF69" i="23"/>
  <c r="O67" i="23"/>
  <c r="G71" i="23"/>
  <c r="H60" i="23"/>
  <c r="AD63" i="23"/>
  <c r="AI61" i="23"/>
  <c r="AE63" i="23"/>
  <c r="Z71" i="23"/>
  <c r="AF70" i="23"/>
  <c r="AB71" i="23"/>
  <c r="AH62" i="23"/>
  <c r="AH72" i="23" s="1"/>
  <c r="D69" i="23"/>
  <c r="L69" i="23"/>
  <c r="AA71" i="23"/>
  <c r="AI89" i="23"/>
  <c r="O58" i="23"/>
  <c r="J68" i="23"/>
  <c r="O68" i="23" s="1"/>
  <c r="J33" i="14" l="1"/>
  <c r="AG96" i="23"/>
  <c r="AL65" i="24"/>
  <c r="AL200" i="24"/>
  <c r="AM65" i="24"/>
  <c r="AM200" i="24"/>
  <c r="H33" i="14"/>
  <c r="K33" i="14" s="1"/>
  <c r="O72" i="25"/>
  <c r="AD122" i="24"/>
  <c r="AD199" i="24"/>
  <c r="AN199" i="24" s="1"/>
  <c r="AN120" i="24"/>
  <c r="Y22" i="23"/>
  <c r="Y24" i="23" s="1"/>
  <c r="AD53" i="24"/>
  <c r="AH205" i="24"/>
  <c r="AB203" i="24"/>
  <c r="AB191" i="24"/>
  <c r="AC193" i="24"/>
  <c r="AH193" i="24"/>
  <c r="AI18" i="23"/>
  <c r="Q199" i="24"/>
  <c r="AI11" i="23"/>
  <c r="AI31" i="23" s="1"/>
  <c r="AA97" i="23"/>
  <c r="AA99" i="23" s="1"/>
  <c r="W68" i="23"/>
  <c r="AI68" i="23" s="1"/>
  <c r="N192" i="24"/>
  <c r="L96" i="23"/>
  <c r="Q200" i="24"/>
  <c r="D100" i="23"/>
  <c r="J95" i="23"/>
  <c r="R30" i="24"/>
  <c r="I204" i="24"/>
  <c r="I205" i="24" s="1"/>
  <c r="X90" i="23"/>
  <c r="Y80" i="23"/>
  <c r="I192" i="24"/>
  <c r="I193" i="24" s="1"/>
  <c r="AG97" i="23"/>
  <c r="AG99" i="23" s="1"/>
  <c r="AD73" i="23"/>
  <c r="N74" i="23"/>
  <c r="AA81" i="23"/>
  <c r="K81" i="23"/>
  <c r="AI34" i="23"/>
  <c r="M95" i="23"/>
  <c r="M99" i="23" s="1"/>
  <c r="AI10" i="23"/>
  <c r="K205" i="24"/>
  <c r="Q201" i="24"/>
  <c r="E73" i="23"/>
  <c r="AI71" i="23"/>
  <c r="K83" i="23"/>
  <c r="W81" i="23"/>
  <c r="AF79" i="23"/>
  <c r="AC97" i="23"/>
  <c r="O54" i="23"/>
  <c r="I83" i="23"/>
  <c r="F81" i="23"/>
  <c r="F97" i="23"/>
  <c r="F99" i="23" s="1"/>
  <c r="AG81" i="23"/>
  <c r="AA83" i="23"/>
  <c r="AF97" i="23"/>
  <c r="AF99" i="23" s="1"/>
  <c r="AD97" i="23"/>
  <c r="AD99" i="23" s="1"/>
  <c r="AI44" i="23"/>
  <c r="J74" i="23"/>
  <c r="O91" i="23"/>
  <c r="M74" i="23"/>
  <c r="K95" i="23"/>
  <c r="K99" i="23" s="1"/>
  <c r="I96" i="23"/>
  <c r="Y90" i="23"/>
  <c r="L204" i="24"/>
  <c r="L205" i="24" s="1"/>
  <c r="L192" i="24"/>
  <c r="L193" i="24" s="1"/>
  <c r="AF204" i="24"/>
  <c r="AF192" i="24"/>
  <c r="N203" i="24"/>
  <c r="N205" i="24" s="1"/>
  <c r="N191" i="24"/>
  <c r="N193" i="24" s="1"/>
  <c r="P203" i="24"/>
  <c r="P205" i="24" s="1"/>
  <c r="P191" i="24"/>
  <c r="P193" i="24" s="1"/>
  <c r="AE203" i="24"/>
  <c r="AE191" i="24"/>
  <c r="AG203" i="24"/>
  <c r="AG191" i="24"/>
  <c r="AI203" i="24"/>
  <c r="AI205" i="24" s="1"/>
  <c r="AI191" i="24"/>
  <c r="AI193" i="24" s="1"/>
  <c r="AG204" i="24"/>
  <c r="AG192" i="24"/>
  <c r="F203" i="24"/>
  <c r="F205" i="24" s="1"/>
  <c r="F191" i="24"/>
  <c r="F193" i="24" s="1"/>
  <c r="Q26" i="24"/>
  <c r="K193" i="24"/>
  <c r="E204" i="24"/>
  <c r="E205" i="24" s="1"/>
  <c r="E192" i="24"/>
  <c r="Q27" i="24"/>
  <c r="AJ204" i="24"/>
  <c r="AJ205" i="24" s="1"/>
  <c r="AJ192" i="24"/>
  <c r="AJ193" i="24" s="1"/>
  <c r="G203" i="24"/>
  <c r="G191" i="24"/>
  <c r="AK204" i="24"/>
  <c r="AK205" i="24" s="1"/>
  <c r="AK192" i="24"/>
  <c r="AK193" i="24" s="1"/>
  <c r="Q202" i="24"/>
  <c r="H41" i="14" s="1"/>
  <c r="AN26" i="24"/>
  <c r="O204" i="24"/>
  <c r="O192" i="24"/>
  <c r="AF203" i="24"/>
  <c r="AF191" i="24"/>
  <c r="M204" i="24"/>
  <c r="M192" i="24"/>
  <c r="AE204" i="24"/>
  <c r="AE192" i="24"/>
  <c r="O203" i="24"/>
  <c r="O191" i="24"/>
  <c r="M203" i="24"/>
  <c r="M191" i="24"/>
  <c r="AB204" i="24"/>
  <c r="AB192" i="24"/>
  <c r="AN27" i="24"/>
  <c r="J203" i="24"/>
  <c r="J205" i="24" s="1"/>
  <c r="J191" i="24"/>
  <c r="J193" i="24" s="1"/>
  <c r="G204" i="24"/>
  <c r="G192" i="24"/>
  <c r="X98" i="23"/>
  <c r="X39" i="23"/>
  <c r="AF57" i="23"/>
  <c r="AE97" i="23"/>
  <c r="AE99" i="23" s="1"/>
  <c r="AE38" i="23"/>
  <c r="C51" i="23"/>
  <c r="O49" i="23"/>
  <c r="H97" i="23"/>
  <c r="H99" i="23" s="1"/>
  <c r="H38" i="23"/>
  <c r="C69" i="23"/>
  <c r="C73" i="23" s="1"/>
  <c r="K69" i="23"/>
  <c r="F69" i="23"/>
  <c r="F73" i="23" s="1"/>
  <c r="M69" i="23"/>
  <c r="M73" i="23" s="1"/>
  <c r="G69" i="23"/>
  <c r="G73" i="23" s="1"/>
  <c r="G99" i="23"/>
  <c r="AI51" i="23"/>
  <c r="E97" i="23"/>
  <c r="E38" i="23"/>
  <c r="J90" i="23"/>
  <c r="J28" i="23"/>
  <c r="AD26" i="23"/>
  <c r="AG63" i="23"/>
  <c r="AG73" i="23" s="1"/>
  <c r="N39" i="23"/>
  <c r="J24" i="23"/>
  <c r="C24" i="23"/>
  <c r="F24" i="23"/>
  <c r="N24" i="23"/>
  <c r="K24" i="23"/>
  <c r="L24" i="23"/>
  <c r="AI95" i="23"/>
  <c r="AF63" i="23"/>
  <c r="AF73" i="23" s="1"/>
  <c r="Z70" i="23"/>
  <c r="Z62" i="23"/>
  <c r="Z72" i="23" s="1"/>
  <c r="M39" i="23"/>
  <c r="E24" i="23"/>
  <c r="J83" i="23"/>
  <c r="K74" i="23"/>
  <c r="AG39" i="23"/>
  <c r="H70" i="23"/>
  <c r="H62" i="23"/>
  <c r="H72" i="23" s="1"/>
  <c r="O60" i="23"/>
  <c r="AD37" i="23"/>
  <c r="AC37" i="23"/>
  <c r="Y57" i="23"/>
  <c r="AH37" i="23"/>
  <c r="AI42" i="23"/>
  <c r="O37" i="23"/>
  <c r="C98" i="23"/>
  <c r="C100" i="23" s="1"/>
  <c r="C39" i="23"/>
  <c r="AD83" i="23"/>
  <c r="AD74" i="23"/>
  <c r="J81" i="23"/>
  <c r="L57" i="23"/>
  <c r="L97" i="23"/>
  <c r="L99" i="23" s="1"/>
  <c r="L38" i="23"/>
  <c r="L83" i="23" s="1"/>
  <c r="J72" i="23"/>
  <c r="C50" i="23"/>
  <c r="O50" i="23" s="1"/>
  <c r="O48" i="23"/>
  <c r="O12" i="23"/>
  <c r="AI20" i="23"/>
  <c r="X22" i="23"/>
  <c r="F70" i="23"/>
  <c r="F62" i="23"/>
  <c r="F72" i="23" s="1"/>
  <c r="AF45" i="23"/>
  <c r="Y69" i="23"/>
  <c r="Y73" i="23" s="1"/>
  <c r="L51" i="23"/>
  <c r="O36" i="23"/>
  <c r="AI43" i="23"/>
  <c r="N83" i="23"/>
  <c r="AA57" i="23"/>
  <c r="AB45" i="23"/>
  <c r="AG12" i="23"/>
  <c r="K98" i="23"/>
  <c r="K39" i="23"/>
  <c r="E81" i="23"/>
  <c r="E95" i="23"/>
  <c r="E11" i="23"/>
  <c r="O11" i="23" s="1"/>
  <c r="N92" i="23"/>
  <c r="G57" i="23"/>
  <c r="Y92" i="23"/>
  <c r="Y37" i="23"/>
  <c r="X57" i="23"/>
  <c r="J73" i="23"/>
  <c r="G83" i="23"/>
  <c r="G74" i="23"/>
  <c r="AD96" i="23"/>
  <c r="AD12" i="23"/>
  <c r="L81" i="23"/>
  <c r="AB63" i="23"/>
  <c r="AB73" i="23" s="1"/>
  <c r="AC63" i="23"/>
  <c r="AC73" i="23" s="1"/>
  <c r="AF91" i="23"/>
  <c r="AB92" i="23"/>
  <c r="AB37" i="23"/>
  <c r="AB82" i="23" s="1"/>
  <c r="K90" i="23"/>
  <c r="K80" i="23"/>
  <c r="K28" i="23"/>
  <c r="AE26" i="23"/>
  <c r="F100" i="23"/>
  <c r="C82" i="23"/>
  <c r="AI52" i="23"/>
  <c r="AI46" i="23"/>
  <c r="Z48" i="23"/>
  <c r="F39" i="23"/>
  <c r="I95" i="23"/>
  <c r="X63" i="23"/>
  <c r="O27" i="23"/>
  <c r="AC81" i="23"/>
  <c r="D51" i="23"/>
  <c r="W12" i="23"/>
  <c r="W45" i="23"/>
  <c r="I24" i="23"/>
  <c r="L39" i="23"/>
  <c r="AA74" i="23"/>
  <c r="N71" i="23"/>
  <c r="O71" i="23" s="1"/>
  <c r="N63" i="23"/>
  <c r="N73" i="23" s="1"/>
  <c r="O89" i="23"/>
  <c r="L73" i="23"/>
  <c r="G98" i="23"/>
  <c r="G100" i="23" s="1"/>
  <c r="G39" i="23"/>
  <c r="AA96" i="23"/>
  <c r="AA82" i="23"/>
  <c r="AA12" i="23"/>
  <c r="I81" i="23"/>
  <c r="AG45" i="23"/>
  <c r="AF83" i="23"/>
  <c r="AF74" i="23"/>
  <c r="AC99" i="23"/>
  <c r="C97" i="23"/>
  <c r="H24" i="23"/>
  <c r="O29" i="23"/>
  <c r="J51" i="23"/>
  <c r="D24" i="23"/>
  <c r="O26" i="23"/>
  <c r="AA30" i="23"/>
  <c r="AH30" i="23"/>
  <c r="Z30" i="23"/>
  <c r="AG30" i="23"/>
  <c r="Y30" i="23"/>
  <c r="AE30" i="23"/>
  <c r="W30" i="23"/>
  <c r="AD30" i="23"/>
  <c r="X30" i="23"/>
  <c r="AC30" i="23"/>
  <c r="AF30" i="23"/>
  <c r="AB30" i="23"/>
  <c r="AI60" i="23"/>
  <c r="W70" i="23"/>
  <c r="W62" i="23"/>
  <c r="AA98" i="23"/>
  <c r="W57" i="23"/>
  <c r="J97" i="23"/>
  <c r="X12" i="23"/>
  <c r="AC74" i="23"/>
  <c r="AC83" i="23"/>
  <c r="O79" i="23"/>
  <c r="AF80" i="23"/>
  <c r="G82" i="23"/>
  <c r="D73" i="23"/>
  <c r="L82" i="23"/>
  <c r="AH45" i="23"/>
  <c r="O56" i="23"/>
  <c r="Y45" i="23"/>
  <c r="I74" i="23"/>
  <c r="AE57" i="23"/>
  <c r="N45" i="23"/>
  <c r="F45" i="23"/>
  <c r="H45" i="23"/>
  <c r="D45" i="23"/>
  <c r="M45" i="23"/>
  <c r="L45" i="23"/>
  <c r="AG83" i="23"/>
  <c r="M24" i="23"/>
  <c r="E45" i="23"/>
  <c r="O9" i="23"/>
  <c r="Z91" i="23"/>
  <c r="Z36" i="23"/>
  <c r="Z79" i="23"/>
  <c r="M55" i="23"/>
  <c r="M82" i="23" s="1"/>
  <c r="AG53" i="23"/>
  <c r="E98" i="23"/>
  <c r="E100" i="23" s="1"/>
  <c r="E39" i="23"/>
  <c r="AA73" i="23"/>
  <c r="AH73" i="23"/>
  <c r="AD91" i="23"/>
  <c r="I92" i="23"/>
  <c r="I97" i="23"/>
  <c r="AE96" i="23"/>
  <c r="AE12" i="23"/>
  <c r="M81" i="23"/>
  <c r="AB96" i="23"/>
  <c r="AB12" i="23"/>
  <c r="N51" i="23"/>
  <c r="F51" i="23"/>
  <c r="N97" i="23"/>
  <c r="N99" i="23" s="1"/>
  <c r="H98" i="23"/>
  <c r="H100" i="23" s="1"/>
  <c r="H39" i="23"/>
  <c r="L74" i="23"/>
  <c r="AB80" i="23"/>
  <c r="L100" i="23"/>
  <c r="AI54" i="23"/>
  <c r="Z45" i="23"/>
  <c r="Y91" i="23"/>
  <c r="Y79" i="23"/>
  <c r="Y36" i="23"/>
  <c r="M96" i="23"/>
  <c r="I73" i="23"/>
  <c r="AF98" i="23"/>
  <c r="AF39" i="23"/>
  <c r="X45" i="23"/>
  <c r="AI35" i="23"/>
  <c r="M83" i="23"/>
  <c r="O23" i="23"/>
  <c r="C83" i="23"/>
  <c r="C74" i="23"/>
  <c r="AC53" i="23"/>
  <c r="AC92" i="23" s="1"/>
  <c r="I55" i="23"/>
  <c r="AF96" i="23"/>
  <c r="AF82" i="23"/>
  <c r="AF12" i="23"/>
  <c r="AE73" i="23"/>
  <c r="W73" i="23"/>
  <c r="AH53" i="23"/>
  <c r="AH55" i="23" s="1"/>
  <c r="AH57" i="23" s="1"/>
  <c r="N55" i="23"/>
  <c r="AD79" i="23"/>
  <c r="AH79" i="23"/>
  <c r="AH91" i="23"/>
  <c r="AH36" i="23"/>
  <c r="AE92" i="23"/>
  <c r="AE37" i="23"/>
  <c r="AE82" i="23" s="1"/>
  <c r="AF81" i="23"/>
  <c r="Z96" i="23"/>
  <c r="Z82" i="23"/>
  <c r="Z12" i="23"/>
  <c r="W97" i="23"/>
  <c r="W38" i="23"/>
  <c r="X91" i="23"/>
  <c r="X79" i="23"/>
  <c r="X36" i="23"/>
  <c r="K73" i="23"/>
  <c r="AD81" i="23"/>
  <c r="AI56" i="23"/>
  <c r="H69" i="23"/>
  <c r="H73" i="23" s="1"/>
  <c r="M51" i="23"/>
  <c r="AC79" i="23"/>
  <c r="X69" i="23"/>
  <c r="I51" i="23"/>
  <c r="AF92" i="23"/>
  <c r="M80" i="23"/>
  <c r="AC12" i="23"/>
  <c r="G24" i="23"/>
  <c r="W98" i="23"/>
  <c r="W100" i="23" s="1"/>
  <c r="W39" i="23"/>
  <c r="AB79" i="23"/>
  <c r="AB36" i="23"/>
  <c r="AB91" i="23"/>
  <c r="K57" i="23"/>
  <c r="H57" i="23"/>
  <c r="AH96" i="23"/>
  <c r="AH12" i="23"/>
  <c r="D97" i="23"/>
  <c r="D99" i="23" s="1"/>
  <c r="D38" i="23"/>
  <c r="D83" i="23" s="1"/>
  <c r="Z98" i="23"/>
  <c r="Z39" i="23"/>
  <c r="AE81" i="23"/>
  <c r="Z69" i="23"/>
  <c r="Z73" i="23" s="1"/>
  <c r="AC91" i="23"/>
  <c r="H81" i="23"/>
  <c r="AB57" i="23"/>
  <c r="C81" i="23"/>
  <c r="AL71" i="24" l="1"/>
  <c r="AL202" i="24"/>
  <c r="AL212" i="24"/>
  <c r="AM71" i="24"/>
  <c r="AM202" i="24"/>
  <c r="AM212" i="24"/>
  <c r="L33" i="14"/>
  <c r="M33" i="14"/>
  <c r="AD138" i="24"/>
  <c r="AD213" i="24"/>
  <c r="AD201" i="24"/>
  <c r="AN201" i="24" s="1"/>
  <c r="AN122" i="24"/>
  <c r="Y96" i="23"/>
  <c r="Y82" i="23"/>
  <c r="AD65" i="24"/>
  <c r="AN53" i="24"/>
  <c r="AD200" i="24"/>
  <c r="AN200" i="24" s="1"/>
  <c r="AF193" i="24"/>
  <c r="AB205" i="24"/>
  <c r="AG193" i="24"/>
  <c r="AE205" i="24"/>
  <c r="AF205" i="24"/>
  <c r="L41" i="14"/>
  <c r="K41" i="14"/>
  <c r="J99" i="23"/>
  <c r="F83" i="23"/>
  <c r="AI90" i="23"/>
  <c r="AI37" i="23"/>
  <c r="AI69" i="23"/>
  <c r="O205" i="24"/>
  <c r="M205" i="24"/>
  <c r="O193" i="24"/>
  <c r="Q191" i="24"/>
  <c r="M193" i="24"/>
  <c r="AB193" i="24"/>
  <c r="O70" i="23"/>
  <c r="AI70" i="23"/>
  <c r="O72" i="23"/>
  <c r="F74" i="23"/>
  <c r="O62" i="23"/>
  <c r="R70" i="23"/>
  <c r="AH82" i="23"/>
  <c r="AH92" i="23"/>
  <c r="AH80" i="23"/>
  <c r="L75" i="23"/>
  <c r="L76" i="23" s="1"/>
  <c r="D75" i="23"/>
  <c r="O45" i="23"/>
  <c r="AI91" i="23"/>
  <c r="L84" i="23"/>
  <c r="L85" i="23" s="1"/>
  <c r="O97" i="23"/>
  <c r="AI36" i="23"/>
  <c r="AI79" i="23"/>
  <c r="E84" i="23"/>
  <c r="C75" i="23"/>
  <c r="C76" i="23" s="1"/>
  <c r="O90" i="23"/>
  <c r="E75" i="23"/>
  <c r="D84" i="23"/>
  <c r="D85" i="23" s="1"/>
  <c r="O31" i="23"/>
  <c r="O95" i="23"/>
  <c r="Q192" i="24"/>
  <c r="Q203" i="24"/>
  <c r="G193" i="24"/>
  <c r="E193" i="24"/>
  <c r="Q204" i="24"/>
  <c r="G205" i="24"/>
  <c r="AG205" i="24"/>
  <c r="AE193" i="24"/>
  <c r="W72" i="23"/>
  <c r="AI72" i="23" s="1"/>
  <c r="AI62" i="23"/>
  <c r="AA100" i="23"/>
  <c r="O38" i="23"/>
  <c r="Z50" i="23"/>
  <c r="AI50" i="23" s="1"/>
  <c r="AI48" i="23"/>
  <c r="E83" i="23"/>
  <c r="E74" i="23"/>
  <c r="C99" i="23"/>
  <c r="Z100" i="23"/>
  <c r="AF75" i="23"/>
  <c r="AF76" i="23" s="1"/>
  <c r="AF84" i="23"/>
  <c r="AF85" i="23" s="1"/>
  <c r="AB98" i="23"/>
  <c r="AB100" i="23" s="1"/>
  <c r="AB39" i="23"/>
  <c r="AB75" i="23" s="1"/>
  <c r="E99" i="23"/>
  <c r="AC39" i="23"/>
  <c r="J30" i="23"/>
  <c r="J96" i="23"/>
  <c r="O28" i="23"/>
  <c r="Y97" i="23"/>
  <c r="Y99" i="23" s="1"/>
  <c r="Y38" i="23"/>
  <c r="Y81" i="23"/>
  <c r="X24" i="23"/>
  <c r="AI24" i="23" s="1"/>
  <c r="AI22" i="23"/>
  <c r="H83" i="23"/>
  <c r="H74" i="23"/>
  <c r="AF100" i="23"/>
  <c r="AD53" i="23"/>
  <c r="AI53" i="23" s="1"/>
  <c r="J55" i="23"/>
  <c r="J82" i="23" s="1"/>
  <c r="J92" i="23"/>
  <c r="O92" i="23" s="1"/>
  <c r="M57" i="23"/>
  <c r="M75" i="23" s="1"/>
  <c r="M76" i="23" s="1"/>
  <c r="M98" i="23"/>
  <c r="M100" i="23" s="1"/>
  <c r="X82" i="23"/>
  <c r="AD39" i="23"/>
  <c r="F84" i="23"/>
  <c r="F75" i="23"/>
  <c r="J80" i="23"/>
  <c r="O80" i="23" s="1"/>
  <c r="O39" i="23"/>
  <c r="AE98" i="23"/>
  <c r="AE100" i="23" s="1"/>
  <c r="AE39" i="23"/>
  <c r="AE75" i="23" s="1"/>
  <c r="N84" i="23"/>
  <c r="N85" i="23" s="1"/>
  <c r="N98" i="23"/>
  <c r="N100" i="23" s="1"/>
  <c r="N82" i="23"/>
  <c r="O53" i="23"/>
  <c r="X96" i="23"/>
  <c r="Y98" i="23"/>
  <c r="Y100" i="23" s="1"/>
  <c r="Y39" i="23"/>
  <c r="O24" i="23"/>
  <c r="W83" i="23"/>
  <c r="W74" i="23"/>
  <c r="AG55" i="23"/>
  <c r="AG80" i="23"/>
  <c r="AG92" i="23"/>
  <c r="O81" i="23"/>
  <c r="X97" i="23"/>
  <c r="X99" i="23" s="1"/>
  <c r="X38" i="23"/>
  <c r="X81" i="23"/>
  <c r="AH97" i="23"/>
  <c r="AH99" i="23" s="1"/>
  <c r="AH38" i="23"/>
  <c r="AH81" i="23"/>
  <c r="I57" i="23"/>
  <c r="I84" i="23" s="1"/>
  <c r="I85" i="23" s="1"/>
  <c r="I98" i="23"/>
  <c r="I100" i="23" s="1"/>
  <c r="I82" i="23"/>
  <c r="D74" i="23"/>
  <c r="AI45" i="23"/>
  <c r="X73" i="23"/>
  <c r="AI73" i="23" s="1"/>
  <c r="O63" i="23"/>
  <c r="O51" i="23"/>
  <c r="AB97" i="23"/>
  <c r="AB99" i="23" s="1"/>
  <c r="AB38" i="23"/>
  <c r="AB81" i="23"/>
  <c r="G84" i="23"/>
  <c r="G85" i="23" s="1"/>
  <c r="G75" i="23"/>
  <c r="Z75" i="23"/>
  <c r="Z84" i="23"/>
  <c r="AI63" i="23"/>
  <c r="AC55" i="23"/>
  <c r="AC98" i="23" s="1"/>
  <c r="AC100" i="23" s="1"/>
  <c r="AC80" i="23"/>
  <c r="Z97" i="23"/>
  <c r="Z99" i="23" s="1"/>
  <c r="Z38" i="23"/>
  <c r="Z81" i="23"/>
  <c r="H75" i="23"/>
  <c r="H84" i="23"/>
  <c r="AA75" i="23"/>
  <c r="AA76" i="23" s="1"/>
  <c r="AA84" i="23"/>
  <c r="AA85" i="23" s="1"/>
  <c r="W75" i="23"/>
  <c r="W84" i="23"/>
  <c r="AI12" i="23"/>
  <c r="I99" i="23"/>
  <c r="K30" i="23"/>
  <c r="K75" i="23" s="1"/>
  <c r="K76" i="23" s="1"/>
  <c r="K96" i="23"/>
  <c r="K100" i="23" s="1"/>
  <c r="K82" i="23"/>
  <c r="O73" i="23"/>
  <c r="C84" i="23"/>
  <c r="AH98" i="23"/>
  <c r="AH100" i="23" s="1"/>
  <c r="AH39" i="23"/>
  <c r="AH75" i="23" s="1"/>
  <c r="W99" i="23"/>
  <c r="O69" i="23"/>
  <c r="AE83" i="23"/>
  <c r="AE74" i="23"/>
  <c r="D76" i="23" l="1"/>
  <c r="AL204" i="24"/>
  <c r="AL205" i="24" s="1"/>
  <c r="AL192" i="24"/>
  <c r="AL193" i="24" s="1"/>
  <c r="AM192" i="24"/>
  <c r="AM193" i="24" s="1"/>
  <c r="AM204" i="24"/>
  <c r="AM205" i="24" s="1"/>
  <c r="AD191" i="24"/>
  <c r="AN191" i="24" s="1"/>
  <c r="AD203" i="24"/>
  <c r="AN203" i="24" s="1"/>
  <c r="AN138" i="24"/>
  <c r="AQ138" i="24" s="1"/>
  <c r="E85" i="23"/>
  <c r="AD71" i="24"/>
  <c r="AN65" i="24"/>
  <c r="AD212" i="24"/>
  <c r="AD202" i="24"/>
  <c r="AN202" i="24" s="1"/>
  <c r="J41" i="14" s="1"/>
  <c r="F85" i="23"/>
  <c r="AB84" i="23"/>
  <c r="F76" i="23"/>
  <c r="N75" i="23"/>
  <c r="N76" i="23" s="1"/>
  <c r="AI38" i="23"/>
  <c r="O55" i="23"/>
  <c r="R71" i="23" s="1"/>
  <c r="Q205" i="24"/>
  <c r="Q193" i="24"/>
  <c r="H32" i="14" s="1"/>
  <c r="AC82" i="23"/>
  <c r="AI39" i="23"/>
  <c r="AH84" i="23"/>
  <c r="AL70" i="23"/>
  <c r="E76" i="23"/>
  <c r="X84" i="23"/>
  <c r="O82" i="23"/>
  <c r="O74" i="23"/>
  <c r="AI81" i="23"/>
  <c r="AG57" i="23"/>
  <c r="AG98" i="23"/>
  <c r="AG100" i="23" s="1"/>
  <c r="AG82" i="23"/>
  <c r="I75" i="23"/>
  <c r="I76" i="23" s="1"/>
  <c r="Y74" i="23"/>
  <c r="Y83" i="23"/>
  <c r="AE76" i="23"/>
  <c r="X74" i="23"/>
  <c r="X83" i="23"/>
  <c r="W76" i="23"/>
  <c r="H76" i="23"/>
  <c r="G76" i="23"/>
  <c r="AD55" i="23"/>
  <c r="AI55" i="23" s="1"/>
  <c r="AL71" i="23" s="1"/>
  <c r="AD92" i="23"/>
  <c r="AI92" i="23" s="1"/>
  <c r="AD80" i="23"/>
  <c r="AI80" i="23" s="1"/>
  <c r="AB83" i="23"/>
  <c r="AB74" i="23"/>
  <c r="AB76" i="23" s="1"/>
  <c r="W85" i="23"/>
  <c r="X100" i="23"/>
  <c r="AI96" i="23"/>
  <c r="H85" i="23"/>
  <c r="M84" i="23"/>
  <c r="M85" i="23" s="1"/>
  <c r="AC57" i="23"/>
  <c r="AI99" i="23"/>
  <c r="O83" i="23"/>
  <c r="O99" i="23"/>
  <c r="AE84" i="23"/>
  <c r="AE85" i="23" s="1"/>
  <c r="AI32" i="23"/>
  <c r="X75" i="23"/>
  <c r="O96" i="23"/>
  <c r="C85" i="23"/>
  <c r="K84" i="23"/>
  <c r="K85" i="23" s="1"/>
  <c r="Z74" i="23"/>
  <c r="Z76" i="23" s="1"/>
  <c r="Z83" i="23"/>
  <c r="Z85" i="23" s="1"/>
  <c r="AI97" i="23"/>
  <c r="AH74" i="23"/>
  <c r="AH76" i="23" s="1"/>
  <c r="AH83" i="23"/>
  <c r="Y84" i="23"/>
  <c r="Y75" i="23"/>
  <c r="J57" i="23"/>
  <c r="J98" i="23"/>
  <c r="O98" i="23" s="1"/>
  <c r="O30" i="23"/>
  <c r="O32" i="23" s="1"/>
  <c r="J43" i="14" l="1"/>
  <c r="M41" i="14"/>
  <c r="AN71" i="24"/>
  <c r="AQ71" i="24" s="1"/>
  <c r="AD204" i="24"/>
  <c r="AD192" i="24"/>
  <c r="AB85" i="23"/>
  <c r="K32" i="14"/>
  <c r="L32" i="14"/>
  <c r="J100" i="23"/>
  <c r="O100" i="23" s="1"/>
  <c r="AH85" i="23"/>
  <c r="X85" i="23"/>
  <c r="Y76" i="23"/>
  <c r="J84" i="23"/>
  <c r="J75" i="23"/>
  <c r="J76" i="23" s="1"/>
  <c r="O76" i="23" s="1"/>
  <c r="O57" i="23"/>
  <c r="AI74" i="23"/>
  <c r="X76" i="23"/>
  <c r="AI83" i="23"/>
  <c r="AD57" i="23"/>
  <c r="AI57" i="23" s="1"/>
  <c r="AD82" i="23"/>
  <c r="AI82" i="23" s="1"/>
  <c r="AD98" i="23"/>
  <c r="AG84" i="23"/>
  <c r="AG85" i="23" s="1"/>
  <c r="AG75" i="23"/>
  <c r="AG76" i="23" s="1"/>
  <c r="AC75" i="23"/>
  <c r="AC84" i="23"/>
  <c r="AC85" i="23" s="1"/>
  <c r="Y85" i="23"/>
  <c r="AD205" i="24" l="1"/>
  <c r="AN205" i="24" s="1"/>
  <c r="AN204" i="24"/>
  <c r="AD193" i="24"/>
  <c r="AN192" i="24"/>
  <c r="AN193" i="24" s="1"/>
  <c r="J32" i="14" s="1"/>
  <c r="H31" i="14"/>
  <c r="L31" i="14" s="1"/>
  <c r="H40" i="14"/>
  <c r="O75" i="23"/>
  <c r="J85" i="23"/>
  <c r="O85" i="23" s="1"/>
  <c r="O84" i="23"/>
  <c r="AD84" i="23"/>
  <c r="AD75" i="23"/>
  <c r="AD76" i="23" s="1"/>
  <c r="AD100" i="23"/>
  <c r="AI100" i="23" s="1"/>
  <c r="AI98" i="23"/>
  <c r="AC76" i="23"/>
  <c r="M32" i="14" l="1"/>
  <c r="AF2" i="24"/>
  <c r="H34" i="14"/>
  <c r="L34" i="14" s="1"/>
  <c r="K31" i="14"/>
  <c r="L40" i="14"/>
  <c r="K40" i="14"/>
  <c r="M40" i="14"/>
  <c r="H43" i="14"/>
  <c r="AI76" i="23"/>
  <c r="J31" i="14" s="1"/>
  <c r="J34" i="14" s="1"/>
  <c r="AI75" i="23"/>
  <c r="AD85" i="23"/>
  <c r="AI85" i="23" s="1"/>
  <c r="AI84" i="23"/>
  <c r="M31" i="14" l="1"/>
  <c r="M34" i="14"/>
  <c r="M43" i="14"/>
  <c r="L43" i="14"/>
  <c r="X64" i="22"/>
  <c r="Y63" i="22"/>
  <c r="Z63" i="22"/>
  <c r="AA63" i="22"/>
  <c r="AB63" i="22"/>
  <c r="AC63" i="22"/>
  <c r="AE63" i="22"/>
  <c r="AG63" i="22"/>
  <c r="AI63" i="22"/>
  <c r="X63" i="22"/>
  <c r="AI65" i="22"/>
  <c r="AI66" i="22"/>
  <c r="AI64" i="22"/>
  <c r="AH65" i="22"/>
  <c r="AH66" i="22"/>
  <c r="AH64" i="22"/>
  <c r="AG65" i="22"/>
  <c r="AG66" i="22"/>
  <c r="AG64" i="22"/>
  <c r="AF65" i="22"/>
  <c r="AF66" i="22"/>
  <c r="AF64" i="22"/>
  <c r="AE65" i="22"/>
  <c r="AE66" i="22"/>
  <c r="AE64" i="22"/>
  <c r="AD65" i="22"/>
  <c r="AD66" i="22"/>
  <c r="AD64" i="22"/>
  <c r="AC65" i="22"/>
  <c r="AC66" i="22"/>
  <c r="AC64" i="22"/>
  <c r="AB65" i="22"/>
  <c r="AB66" i="22"/>
  <c r="AB64" i="22"/>
  <c r="AA65" i="22"/>
  <c r="AA66" i="22"/>
  <c r="AA64" i="22"/>
  <c r="Z65" i="22"/>
  <c r="Z66" i="22"/>
  <c r="Z64" i="22"/>
  <c r="Y65" i="22"/>
  <c r="Y66" i="22"/>
  <c r="Y64" i="22"/>
  <c r="X65" i="22"/>
  <c r="X66" i="22"/>
  <c r="X67" i="22" s="1"/>
  <c r="AI61" i="22"/>
  <c r="AI62" i="22"/>
  <c r="AI60" i="22"/>
  <c r="AH61" i="22"/>
  <c r="AH62" i="22"/>
  <c r="AH63" i="22" s="1"/>
  <c r="AH60" i="22"/>
  <c r="AG61" i="22"/>
  <c r="AG62" i="22"/>
  <c r="AG60" i="22"/>
  <c r="AF61" i="22"/>
  <c r="AF62" i="22"/>
  <c r="AF63" i="22" s="1"/>
  <c r="AF60" i="22"/>
  <c r="AE61" i="22"/>
  <c r="AE62" i="22"/>
  <c r="AE60" i="22"/>
  <c r="AD61" i="22"/>
  <c r="AD62" i="22"/>
  <c r="AD60" i="22"/>
  <c r="AC61" i="22"/>
  <c r="AC62" i="22"/>
  <c r="AC60" i="22"/>
  <c r="AB61" i="22"/>
  <c r="AB62" i="22"/>
  <c r="AB60" i="22"/>
  <c r="AA61" i="22"/>
  <c r="AA62" i="22"/>
  <c r="AA60" i="22"/>
  <c r="Z62" i="22"/>
  <c r="Z61" i="22"/>
  <c r="Z60" i="22"/>
  <c r="Y62" i="22"/>
  <c r="Y61" i="22"/>
  <c r="Y60" i="22"/>
  <c r="X62" i="22"/>
  <c r="X61" i="22"/>
  <c r="X60" i="22"/>
  <c r="E60" i="22"/>
  <c r="X19" i="22"/>
  <c r="E61" i="22"/>
  <c r="AJ57" i="22"/>
  <c r="AI57" i="22"/>
  <c r="AH57" i="22"/>
  <c r="AG57" i="22"/>
  <c r="AF57" i="22"/>
  <c r="AE57" i="22"/>
  <c r="AD57" i="22"/>
  <c r="AC57" i="22"/>
  <c r="AB57" i="22"/>
  <c r="AA57" i="22"/>
  <c r="Z57" i="22"/>
  <c r="Y57" i="22"/>
  <c r="X57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AJ37" i="22"/>
  <c r="AI37" i="22"/>
  <c r="AH37" i="22"/>
  <c r="AG37" i="22"/>
  <c r="AF37" i="22"/>
  <c r="AE37" i="22"/>
  <c r="AD37" i="22"/>
  <c r="AC37" i="22"/>
  <c r="AB37" i="22"/>
  <c r="AA37" i="22"/>
  <c r="Z37" i="22"/>
  <c r="Y37" i="22"/>
  <c r="X37" i="22"/>
  <c r="AI19" i="22"/>
  <c r="AH19" i="22"/>
  <c r="AG19" i="22"/>
  <c r="AF19" i="22"/>
  <c r="AE19" i="22"/>
  <c r="AD19" i="22"/>
  <c r="AC19" i="22"/>
  <c r="AB19" i="22"/>
  <c r="AA19" i="22"/>
  <c r="Z19" i="22"/>
  <c r="Y19" i="22"/>
  <c r="AI11" i="22"/>
  <c r="AH11" i="22"/>
  <c r="AJ11" i="22" s="1"/>
  <c r="AG11" i="22"/>
  <c r="AF11" i="22"/>
  <c r="AE11" i="22"/>
  <c r="AD11" i="22"/>
  <c r="AC11" i="22"/>
  <c r="AB11" i="22"/>
  <c r="AA11" i="22"/>
  <c r="Z11" i="22"/>
  <c r="Y11" i="22"/>
  <c r="X11" i="22"/>
  <c r="H24" i="14"/>
  <c r="L24" i="14" s="1"/>
  <c r="C71" i="9"/>
  <c r="C70" i="9"/>
  <c r="D58" i="9"/>
  <c r="E58" i="9"/>
  <c r="F58" i="9"/>
  <c r="G58" i="9"/>
  <c r="H58" i="9"/>
  <c r="I58" i="9"/>
  <c r="J58" i="9"/>
  <c r="K58" i="9"/>
  <c r="L58" i="9"/>
  <c r="M58" i="9"/>
  <c r="N58" i="9"/>
  <c r="D59" i="9"/>
  <c r="E59" i="9"/>
  <c r="F59" i="9"/>
  <c r="G59" i="9"/>
  <c r="H59" i="9"/>
  <c r="I59" i="9"/>
  <c r="J59" i="9"/>
  <c r="K59" i="9"/>
  <c r="L59" i="9"/>
  <c r="M59" i="9"/>
  <c r="N59" i="9"/>
  <c r="C59" i="9"/>
  <c r="C58" i="9"/>
  <c r="D46" i="9"/>
  <c r="E46" i="9"/>
  <c r="F46" i="9"/>
  <c r="G46" i="9"/>
  <c r="H46" i="9"/>
  <c r="I46" i="9"/>
  <c r="J46" i="9"/>
  <c r="K46" i="9"/>
  <c r="L46" i="9"/>
  <c r="M46" i="9"/>
  <c r="N46" i="9"/>
  <c r="D47" i="9"/>
  <c r="E47" i="9"/>
  <c r="F47" i="9"/>
  <c r="G47" i="9"/>
  <c r="H47" i="9"/>
  <c r="I47" i="9"/>
  <c r="J47" i="9"/>
  <c r="K47" i="9"/>
  <c r="L47" i="9"/>
  <c r="M47" i="9"/>
  <c r="N47" i="9"/>
  <c r="C47" i="9"/>
  <c r="C46" i="9"/>
  <c r="D34" i="9"/>
  <c r="E34" i="9"/>
  <c r="F34" i="9"/>
  <c r="G34" i="9"/>
  <c r="H34" i="9"/>
  <c r="I34" i="9"/>
  <c r="J34" i="9"/>
  <c r="K34" i="9"/>
  <c r="L34" i="9"/>
  <c r="M34" i="9"/>
  <c r="N34" i="9"/>
  <c r="D35" i="9"/>
  <c r="E35" i="9"/>
  <c r="F35" i="9"/>
  <c r="G35" i="9"/>
  <c r="H35" i="9"/>
  <c r="I35" i="9"/>
  <c r="J35" i="9"/>
  <c r="K35" i="9"/>
  <c r="L35" i="9"/>
  <c r="M35" i="9"/>
  <c r="N35" i="9"/>
  <c r="C35" i="9"/>
  <c r="C34" i="9"/>
  <c r="C20" i="9"/>
  <c r="D20" i="9"/>
  <c r="E20" i="9"/>
  <c r="D19" i="9"/>
  <c r="E19" i="9"/>
  <c r="C19" i="9"/>
  <c r="D7" i="9"/>
  <c r="E7" i="9"/>
  <c r="D8" i="9"/>
  <c r="E8" i="9"/>
  <c r="C8" i="9"/>
  <c r="C7" i="9"/>
  <c r="E63" i="22"/>
  <c r="E11" i="22"/>
  <c r="K24" i="14" l="1"/>
  <c r="AJ60" i="22"/>
  <c r="AJ62" i="22"/>
  <c r="AJ61" i="22"/>
  <c r="AD63" i="22"/>
  <c r="AJ63" i="22" s="1"/>
  <c r="Z67" i="22"/>
  <c r="Y67" i="22"/>
  <c r="X71" i="22"/>
  <c r="AJ19" i="22"/>
  <c r="AA67" i="22" l="1"/>
  <c r="AB67" i="22" l="1"/>
  <c r="AC67" i="22" l="1"/>
  <c r="AD67" i="22" l="1"/>
  <c r="AE67" i="22" l="1"/>
  <c r="AF67" i="22" l="1"/>
  <c r="AG67" i="22" l="1"/>
  <c r="AI67" i="22" l="1"/>
  <c r="AH67" i="22"/>
  <c r="K9" i="9"/>
  <c r="D22" i="9"/>
  <c r="D21" i="9"/>
  <c r="O7" i="9"/>
  <c r="P53" i="22"/>
  <c r="O53" i="22"/>
  <c r="N53" i="22"/>
  <c r="M53" i="22"/>
  <c r="L53" i="22"/>
  <c r="K53" i="22"/>
  <c r="J53" i="22"/>
  <c r="I53" i="22"/>
  <c r="H53" i="22"/>
  <c r="P45" i="22"/>
  <c r="O45" i="22"/>
  <c r="N45" i="22"/>
  <c r="M45" i="22"/>
  <c r="L45" i="22"/>
  <c r="K45" i="22"/>
  <c r="J45" i="22"/>
  <c r="I45" i="22"/>
  <c r="H45" i="22"/>
  <c r="P37" i="22"/>
  <c r="O37" i="22"/>
  <c r="N37" i="22"/>
  <c r="M37" i="22"/>
  <c r="L37" i="22"/>
  <c r="K37" i="22"/>
  <c r="J37" i="22"/>
  <c r="I37" i="22"/>
  <c r="H37" i="22"/>
  <c r="I11" i="22"/>
  <c r="P19" i="22"/>
  <c r="O19" i="22"/>
  <c r="N19" i="22"/>
  <c r="M19" i="22"/>
  <c r="L19" i="22"/>
  <c r="K19" i="22"/>
  <c r="J19" i="22"/>
  <c r="I19" i="22"/>
  <c r="H19" i="22"/>
  <c r="H11" i="22"/>
  <c r="J11" i="22"/>
  <c r="K11" i="22"/>
  <c r="L11" i="22"/>
  <c r="M11" i="22"/>
  <c r="N11" i="22"/>
  <c r="O11" i="22"/>
  <c r="P11" i="22"/>
  <c r="C9" i="9" l="1"/>
  <c r="C11" i="9" s="1"/>
  <c r="P62" i="22"/>
  <c r="P63" i="22" s="1"/>
  <c r="O62" i="22"/>
  <c r="O63" i="22" s="1"/>
  <c r="N62" i="22"/>
  <c r="N63" i="22" s="1"/>
  <c r="M62" i="22"/>
  <c r="M63" i="22" s="1"/>
  <c r="L62" i="22"/>
  <c r="L63" i="22" s="1"/>
  <c r="K62" i="22"/>
  <c r="K63" i="22" s="1"/>
  <c r="J62" i="22"/>
  <c r="J63" i="22" s="1"/>
  <c r="I62" i="22"/>
  <c r="I63" i="22" s="1"/>
  <c r="H62" i="22"/>
  <c r="H63" i="22" s="1"/>
  <c r="P61" i="22"/>
  <c r="O61" i="22"/>
  <c r="N61" i="22"/>
  <c r="M61" i="22"/>
  <c r="L61" i="22"/>
  <c r="K61" i="22"/>
  <c r="J61" i="22"/>
  <c r="I61" i="22"/>
  <c r="H61" i="22"/>
  <c r="P60" i="22"/>
  <c r="O60" i="22"/>
  <c r="N60" i="22"/>
  <c r="M60" i="22"/>
  <c r="L60" i="22"/>
  <c r="K60" i="22"/>
  <c r="J60" i="22"/>
  <c r="I60" i="22"/>
  <c r="H60" i="22"/>
  <c r="G53" i="22"/>
  <c r="F53" i="22"/>
  <c r="AJ51" i="22"/>
  <c r="Q51" i="22"/>
  <c r="AJ48" i="22"/>
  <c r="AJ47" i="22"/>
  <c r="AJ46" i="22"/>
  <c r="G45" i="22"/>
  <c r="E45" i="22"/>
  <c r="Q42" i="22"/>
  <c r="P66" i="22"/>
  <c r="L66" i="22"/>
  <c r="K66" i="22"/>
  <c r="J66" i="22"/>
  <c r="I66" i="22"/>
  <c r="H66" i="22"/>
  <c r="AI69" i="22"/>
  <c r="N65" i="22"/>
  <c r="M65" i="22"/>
  <c r="L65" i="22"/>
  <c r="K65" i="22"/>
  <c r="J65" i="22"/>
  <c r="AA69" i="22"/>
  <c r="Q39" i="22"/>
  <c r="P64" i="22"/>
  <c r="O64" i="22"/>
  <c r="N64" i="22"/>
  <c r="M64" i="22"/>
  <c r="L64" i="22"/>
  <c r="H64" i="22"/>
  <c r="AJ35" i="22"/>
  <c r="F65" i="22"/>
  <c r="E65" i="22"/>
  <c r="AJ34" i="22"/>
  <c r="G64" i="22"/>
  <c r="F64" i="22"/>
  <c r="E64" i="22"/>
  <c r="Q30" i="22"/>
  <c r="Q29" i="22"/>
  <c r="Q28" i="22"/>
  <c r="Q26" i="22"/>
  <c r="Q25" i="22"/>
  <c r="Q24" i="22"/>
  <c r="Q22" i="22"/>
  <c r="Q21" i="22"/>
  <c r="Q20" i="22"/>
  <c r="AJ18" i="22"/>
  <c r="G19" i="22"/>
  <c r="F19" i="22"/>
  <c r="Q19" i="22" s="1"/>
  <c r="AJ17" i="22"/>
  <c r="Q17" i="22"/>
  <c r="AJ16" i="22"/>
  <c r="Q16" i="22"/>
  <c r="AJ14" i="22"/>
  <c r="Q14" i="22"/>
  <c r="AJ13" i="22"/>
  <c r="Q13" i="22"/>
  <c r="AJ12" i="22"/>
  <c r="Q12" i="22"/>
  <c r="AJ10" i="22"/>
  <c r="Q10" i="22"/>
  <c r="AJ8" i="22"/>
  <c r="F60" i="22"/>
  <c r="M68" i="22" l="1"/>
  <c r="AB69" i="22"/>
  <c r="L68" i="22"/>
  <c r="J69" i="22"/>
  <c r="K69" i="22"/>
  <c r="AH69" i="22"/>
  <c r="O68" i="22"/>
  <c r="M69" i="22"/>
  <c r="N68" i="22"/>
  <c r="H68" i="22"/>
  <c r="P68" i="22"/>
  <c r="L69" i="22"/>
  <c r="N69" i="22"/>
  <c r="AJ44" i="22"/>
  <c r="AJ36" i="22"/>
  <c r="L70" i="22"/>
  <c r="L67" i="22"/>
  <c r="L71" i="22" s="1"/>
  <c r="Q52" i="22"/>
  <c r="Q53" i="22" s="1"/>
  <c r="E53" i="22"/>
  <c r="Z69" i="22"/>
  <c r="Q38" i="22"/>
  <c r="AJ42" i="22"/>
  <c r="Q44" i="22"/>
  <c r="Q45" i="22" s="1"/>
  <c r="F45" i="22"/>
  <c r="AJ9" i="22"/>
  <c r="Q43" i="22"/>
  <c r="AJ52" i="22"/>
  <c r="Q34" i="22"/>
  <c r="E37" i="22"/>
  <c r="H70" i="22"/>
  <c r="H67" i="22"/>
  <c r="H71" i="22" s="1"/>
  <c r="P70" i="22"/>
  <c r="P67" i="22"/>
  <c r="P71" i="22" s="1"/>
  <c r="Q50" i="22"/>
  <c r="Q18" i="22"/>
  <c r="F37" i="22"/>
  <c r="I70" i="22"/>
  <c r="I67" i="22"/>
  <c r="I71" i="22" s="1"/>
  <c r="F62" i="22"/>
  <c r="F63" i="22" s="1"/>
  <c r="F11" i="22"/>
  <c r="G37" i="22"/>
  <c r="J70" i="22"/>
  <c r="J67" i="22"/>
  <c r="J71" i="22" s="1"/>
  <c r="AJ43" i="22"/>
  <c r="G62" i="22"/>
  <c r="G63" i="22" s="1"/>
  <c r="G11" i="22"/>
  <c r="K70" i="22"/>
  <c r="K67" i="22"/>
  <c r="K71" i="22" s="1"/>
  <c r="AJ50" i="22"/>
  <c r="F68" i="22"/>
  <c r="E68" i="22"/>
  <c r="Q9" i="22"/>
  <c r="G60" i="22"/>
  <c r="Q60" i="22" s="1"/>
  <c r="E69" i="22"/>
  <c r="I64" i="22"/>
  <c r="I68" i="22" s="1"/>
  <c r="G65" i="22"/>
  <c r="O65" i="22"/>
  <c r="O69" i="22" s="1"/>
  <c r="AC69" i="22"/>
  <c r="E66" i="22"/>
  <c r="M66" i="22"/>
  <c r="Q40" i="22"/>
  <c r="Q8" i="22"/>
  <c r="F61" i="22"/>
  <c r="F69" i="22" s="1"/>
  <c r="J64" i="22"/>
  <c r="J68" i="22" s="1"/>
  <c r="H65" i="22"/>
  <c r="H69" i="22" s="1"/>
  <c r="P65" i="22"/>
  <c r="P69" i="22" s="1"/>
  <c r="AD69" i="22"/>
  <c r="F66" i="22"/>
  <c r="N66" i="22"/>
  <c r="G61" i="22"/>
  <c r="E62" i="22"/>
  <c r="K64" i="22"/>
  <c r="K68" i="22" s="1"/>
  <c r="I65" i="22"/>
  <c r="I69" i="22" s="1"/>
  <c r="AE69" i="22"/>
  <c r="G66" i="22"/>
  <c r="O66" i="22"/>
  <c r="AF69" i="22"/>
  <c r="Y69" i="22"/>
  <c r="AG69" i="22"/>
  <c r="Q36" i="22"/>
  <c r="Q37" i="22" s="1"/>
  <c r="Q35" i="22"/>
  <c r="G68" i="22" l="1"/>
  <c r="X70" i="22"/>
  <c r="O70" i="22"/>
  <c r="O67" i="22"/>
  <c r="O71" i="22" s="1"/>
  <c r="G70" i="22"/>
  <c r="G67" i="22"/>
  <c r="G71" i="22" s="1"/>
  <c r="N70" i="22"/>
  <c r="N67" i="22"/>
  <c r="N71" i="22" s="1"/>
  <c r="M70" i="22"/>
  <c r="M67" i="22"/>
  <c r="M71" i="22" s="1"/>
  <c r="F70" i="22"/>
  <c r="F67" i="22"/>
  <c r="F71" i="22" s="1"/>
  <c r="E67" i="22"/>
  <c r="E70" i="22"/>
  <c r="Q70" i="22" s="1"/>
  <c r="Q62" i="22"/>
  <c r="Q63" i="22"/>
  <c r="Q11" i="22"/>
  <c r="G69" i="22"/>
  <c r="Q69" i="22" s="1"/>
  <c r="X68" i="22"/>
  <c r="AJ64" i="22"/>
  <c r="Q64" i="22"/>
  <c r="Q61" i="22"/>
  <c r="Q68" i="22"/>
  <c r="AJ66" i="22"/>
  <c r="AJ67" i="22" s="1"/>
  <c r="Q66" i="22"/>
  <c r="Q67" i="22" s="1"/>
  <c r="AJ65" i="22"/>
  <c r="X69" i="22"/>
  <c r="AJ69" i="22" s="1"/>
  <c r="Q65" i="22"/>
  <c r="E71" i="22" l="1"/>
  <c r="Q71" i="22"/>
  <c r="AD174" i="15" l="1"/>
  <c r="AH174" i="15"/>
  <c r="AI174" i="15"/>
  <c r="AJ174" i="15"/>
  <c r="AK174" i="15"/>
  <c r="AL174" i="15"/>
  <c r="AM174" i="15"/>
  <c r="AC146" i="15"/>
  <c r="AD146" i="15"/>
  <c r="AB146" i="15"/>
  <c r="AF122" i="15"/>
  <c r="AL122" i="15"/>
  <c r="AF102" i="15"/>
  <c r="AH102" i="15"/>
  <c r="AI102" i="15"/>
  <c r="AK102" i="15"/>
  <c r="AL102" i="15"/>
  <c r="AC64" i="15"/>
  <c r="AD64" i="15"/>
  <c r="AE64" i="15"/>
  <c r="AF64" i="15"/>
  <c r="AG64" i="15"/>
  <c r="AJ64" i="15"/>
  <c r="AK64" i="15"/>
  <c r="AL64" i="15"/>
  <c r="AM64" i="15"/>
  <c r="AB64" i="15"/>
  <c r="AC16" i="15"/>
  <c r="AD16" i="15"/>
  <c r="AE16" i="15"/>
  <c r="AF16" i="15"/>
  <c r="AG16" i="15"/>
  <c r="AI16" i="15"/>
  <c r="AJ16" i="15"/>
  <c r="AK16" i="15"/>
  <c r="AM16" i="15"/>
  <c r="AI10" i="19"/>
  <c r="AI9" i="19"/>
  <c r="AB58" i="9"/>
  <c r="R59" i="9"/>
  <c r="AB9" i="15"/>
  <c r="AH64" i="9"/>
  <c r="AG64" i="9"/>
  <c r="AF64" i="9"/>
  <c r="AE64" i="9"/>
  <c r="AD64" i="9"/>
  <c r="AC64" i="9"/>
  <c r="AB64" i="9"/>
  <c r="AA64" i="9"/>
  <c r="Z64" i="9"/>
  <c r="Y64" i="9"/>
  <c r="X64" i="9"/>
  <c r="W64" i="9"/>
  <c r="AA58" i="9"/>
  <c r="Z58" i="9"/>
  <c r="X58" i="9"/>
  <c r="W58" i="9"/>
  <c r="AH52" i="9"/>
  <c r="AG52" i="9"/>
  <c r="AF52" i="9"/>
  <c r="AE52" i="9"/>
  <c r="AD52" i="9"/>
  <c r="AC52" i="9"/>
  <c r="AB52" i="9"/>
  <c r="AA52" i="9"/>
  <c r="Z52" i="9"/>
  <c r="X52" i="9"/>
  <c r="W52" i="9"/>
  <c r="AH46" i="9"/>
  <c r="AG46" i="9"/>
  <c r="AF46" i="9"/>
  <c r="AE46" i="9"/>
  <c r="AD46" i="9"/>
  <c r="AC46" i="9"/>
  <c r="AB46" i="9"/>
  <c r="AA46" i="9"/>
  <c r="Z46" i="9"/>
  <c r="AH40" i="9"/>
  <c r="AF40" i="9"/>
  <c r="AE40" i="9"/>
  <c r="AD40" i="9"/>
  <c r="AC40" i="9"/>
  <c r="AB40" i="9"/>
  <c r="Z40" i="9"/>
  <c r="Y40" i="9"/>
  <c r="X40" i="9"/>
  <c r="W40" i="9"/>
  <c r="AH34" i="9"/>
  <c r="AE34" i="9"/>
  <c r="AB34" i="9"/>
  <c r="Z34" i="9"/>
  <c r="Y34" i="9"/>
  <c r="X34" i="9"/>
  <c r="W34" i="9"/>
  <c r="AH25" i="9"/>
  <c r="AG25" i="9"/>
  <c r="AF25" i="9"/>
  <c r="AE25" i="9"/>
  <c r="AD25" i="9"/>
  <c r="AC25" i="9"/>
  <c r="AB25" i="9"/>
  <c r="AA25" i="9"/>
  <c r="Z25" i="9"/>
  <c r="Y25" i="9"/>
  <c r="X25" i="9"/>
  <c r="W25" i="9"/>
  <c r="K25" i="9"/>
  <c r="AH65" i="9"/>
  <c r="AG65" i="9"/>
  <c r="AF65" i="9"/>
  <c r="AE65" i="9"/>
  <c r="AD65" i="9"/>
  <c r="AC65" i="9"/>
  <c r="AB65" i="9"/>
  <c r="AA65" i="9"/>
  <c r="Z65" i="9"/>
  <c r="Y65" i="9"/>
  <c r="X65" i="9"/>
  <c r="W65" i="9"/>
  <c r="AE53" i="9"/>
  <c r="AB53" i="9"/>
  <c r="AA53" i="9"/>
  <c r="Z53" i="9"/>
  <c r="X53" i="9"/>
  <c r="W53" i="9"/>
  <c r="AB41" i="9"/>
  <c r="AA41" i="9"/>
  <c r="Z41" i="9"/>
  <c r="Y41" i="9"/>
  <c r="X41" i="9"/>
  <c r="W41" i="9"/>
  <c r="AH35" i="9"/>
  <c r="AG35" i="9"/>
  <c r="AF35" i="9"/>
  <c r="AE35" i="9"/>
  <c r="AD35" i="9"/>
  <c r="AC35" i="9"/>
  <c r="AB35" i="9"/>
  <c r="Z35" i="9"/>
  <c r="Y35" i="9"/>
  <c r="X35" i="9"/>
  <c r="W35" i="9"/>
  <c r="AB26" i="9"/>
  <c r="AA26" i="9"/>
  <c r="Z26" i="9"/>
  <c r="Y26" i="9"/>
  <c r="X26" i="9"/>
  <c r="W26" i="9"/>
  <c r="AH20" i="9"/>
  <c r="AG20" i="9"/>
  <c r="AF20" i="9"/>
  <c r="AE20" i="9"/>
  <c r="AD20" i="9"/>
  <c r="AC20" i="9"/>
  <c r="AB20" i="9"/>
  <c r="AA20" i="9"/>
  <c r="Z20" i="9"/>
  <c r="Y20" i="9"/>
  <c r="X20" i="9"/>
  <c r="X8" i="9"/>
  <c r="Y8" i="9"/>
  <c r="Z8" i="9"/>
  <c r="AA8" i="9"/>
  <c r="AB8" i="9"/>
  <c r="AD8" i="9"/>
  <c r="AE8" i="9"/>
  <c r="AF8" i="9"/>
  <c r="AG8" i="9"/>
  <c r="AH8" i="9"/>
  <c r="J31" i="9"/>
  <c r="K31" i="9"/>
  <c r="L31" i="9"/>
  <c r="M31" i="9"/>
  <c r="N31" i="9"/>
  <c r="I31" i="9"/>
  <c r="C31" i="9"/>
  <c r="D31" i="9"/>
  <c r="E31" i="9"/>
  <c r="F31" i="9"/>
  <c r="G31" i="9"/>
  <c r="H31" i="9"/>
  <c r="AI64" i="9" l="1"/>
  <c r="AI58" i="9"/>
  <c r="AI25" i="9"/>
  <c r="AI34" i="9"/>
  <c r="AI40" i="9"/>
  <c r="AI46" i="9"/>
  <c r="AI52" i="9"/>
  <c r="M2" i="9" l="1"/>
  <c r="T21" i="19"/>
  <c r="T20" i="19"/>
  <c r="Q36" i="9"/>
  <c r="Q39" i="9" s="1"/>
  <c r="Q65" i="9"/>
  <c r="Q64" i="9"/>
  <c r="C10" i="9" l="1"/>
  <c r="U66" i="9"/>
  <c r="U60" i="9"/>
  <c r="U54" i="9"/>
  <c r="U48" i="9"/>
  <c r="U42" i="9"/>
  <c r="U36" i="9"/>
  <c r="U27" i="9"/>
  <c r="U21" i="9"/>
  <c r="U15" i="9"/>
  <c r="U9" i="9"/>
  <c r="AH29" i="9" l="1"/>
  <c r="AF29" i="9"/>
  <c r="AE29" i="9"/>
  <c r="AD29" i="9"/>
  <c r="AC29" i="9"/>
  <c r="AB29" i="9"/>
  <c r="Y29" i="9"/>
  <c r="Z29" i="9"/>
  <c r="AA29" i="9"/>
  <c r="W29" i="9"/>
  <c r="X29" i="9"/>
  <c r="AG29" i="9"/>
  <c r="AG2" i="9"/>
  <c r="U49" i="9" l="1"/>
  <c r="U10" i="9"/>
  <c r="U43" i="9"/>
  <c r="U37" i="9"/>
  <c r="U67" i="9"/>
  <c r="U28" i="9"/>
  <c r="U61" i="9"/>
  <c r="U22" i="9"/>
  <c r="U55" i="9"/>
  <c r="U16" i="9"/>
  <c r="A67" i="9"/>
  <c r="A66" i="9"/>
  <c r="A60" i="9"/>
  <c r="A54" i="9"/>
  <c r="M56" i="9" s="1"/>
  <c r="A48" i="9"/>
  <c r="A42" i="9"/>
  <c r="A36" i="9"/>
  <c r="A27" i="9"/>
  <c r="A21" i="9"/>
  <c r="A15" i="9"/>
  <c r="AL13" i="9"/>
  <c r="AL46" i="9"/>
  <c r="AH30" i="9" l="1"/>
  <c r="AF30" i="9"/>
  <c r="AE30" i="9"/>
  <c r="AD30" i="9"/>
  <c r="AC30" i="9"/>
  <c r="AB30" i="9"/>
  <c r="W30" i="9"/>
  <c r="AA30" i="9"/>
  <c r="AG30" i="9"/>
  <c r="Y30" i="9"/>
  <c r="X30" i="9"/>
  <c r="Z30" i="9"/>
  <c r="A37" i="9"/>
  <c r="A43" i="9"/>
  <c r="A10" i="9"/>
  <c r="C12" i="9" s="1"/>
  <c r="A55" i="9"/>
  <c r="F57" i="9" s="1"/>
  <c r="A61" i="9"/>
  <c r="A28" i="9"/>
  <c r="A49" i="9"/>
  <c r="A16" i="9"/>
  <c r="A22" i="9"/>
  <c r="C56" i="9"/>
  <c r="N56" i="9"/>
  <c r="D56" i="9"/>
  <c r="F56" i="9"/>
  <c r="G56" i="9"/>
  <c r="H56" i="9"/>
  <c r="K56" i="9"/>
  <c r="D23" i="9"/>
  <c r="I56" i="9"/>
  <c r="J56" i="9"/>
  <c r="L56" i="9"/>
  <c r="K11" i="9"/>
  <c r="AJ10" i="19"/>
  <c r="AJ9" i="19"/>
  <c r="AJ4" i="19"/>
  <c r="AJ3" i="19"/>
  <c r="I25" i="14"/>
  <c r="G25" i="14"/>
  <c r="AJ16" i="19" l="1"/>
  <c r="AJ15" i="19"/>
  <c r="D57" i="9"/>
  <c r="K57" i="9"/>
  <c r="C57" i="9"/>
  <c r="G57" i="9"/>
  <c r="D24" i="9"/>
  <c r="H57" i="9"/>
  <c r="BX8" i="19"/>
  <c r="BW8" i="19"/>
  <c r="BZ8" i="19"/>
  <c r="T10" i="19" l="1"/>
  <c r="T9" i="19"/>
  <c r="T4" i="19"/>
  <c r="T3" i="19"/>
  <c r="N52" i="9" l="1"/>
  <c r="M52" i="9"/>
  <c r="L52" i="9"/>
  <c r="J52" i="9"/>
  <c r="I52" i="9"/>
  <c r="AG41" i="9"/>
  <c r="N25" i="9"/>
  <c r="M25" i="9"/>
  <c r="L25" i="9"/>
  <c r="J25" i="9"/>
  <c r="I25" i="9"/>
  <c r="R196" i="15" l="1"/>
  <c r="N195" i="15" s="1"/>
  <c r="O195" i="15" l="1"/>
  <c r="M195" i="15"/>
  <c r="L195" i="15"/>
  <c r="K195" i="15"/>
  <c r="J195" i="15"/>
  <c r="P195" i="15"/>
  <c r="W11" i="19"/>
  <c r="X11" i="19"/>
  <c r="Y11" i="19"/>
  <c r="Z11" i="19"/>
  <c r="AA11" i="19"/>
  <c r="AB11" i="19"/>
  <c r="AC11" i="19"/>
  <c r="AD11" i="19"/>
  <c r="AE11" i="19"/>
  <c r="AF11" i="19"/>
  <c r="AG11" i="19"/>
  <c r="W12" i="19"/>
  <c r="X12" i="19"/>
  <c r="Y12" i="19"/>
  <c r="Z12" i="19"/>
  <c r="AA12" i="19"/>
  <c r="V12" i="19"/>
  <c r="V11" i="19"/>
  <c r="G13" i="19"/>
  <c r="H13" i="19"/>
  <c r="I13" i="19"/>
  <c r="J13" i="19"/>
  <c r="K13" i="19"/>
  <c r="M13" i="19"/>
  <c r="N13" i="19"/>
  <c r="O13" i="19"/>
  <c r="P13" i="19"/>
  <c r="Q13" i="19"/>
  <c r="R13" i="19"/>
  <c r="G14" i="19"/>
  <c r="H14" i="19"/>
  <c r="I14" i="19"/>
  <c r="J14" i="19"/>
  <c r="K14" i="19"/>
  <c r="F14" i="19"/>
  <c r="G11" i="19"/>
  <c r="H11" i="19"/>
  <c r="I11" i="19"/>
  <c r="J11" i="19"/>
  <c r="K11" i="19"/>
  <c r="M11" i="19"/>
  <c r="N11" i="19"/>
  <c r="O11" i="19"/>
  <c r="P11" i="19"/>
  <c r="Q11" i="19"/>
  <c r="R11" i="19"/>
  <c r="G12" i="19"/>
  <c r="H12" i="19"/>
  <c r="I12" i="19"/>
  <c r="J12" i="19"/>
  <c r="K12" i="19"/>
  <c r="F12" i="19"/>
  <c r="F11" i="19"/>
  <c r="F13" i="19"/>
  <c r="AB2" i="15"/>
  <c r="AC180" i="15"/>
  <c r="AC182" i="15" s="1"/>
  <c r="AC184" i="15" s="1"/>
  <c r="AD180" i="15"/>
  <c r="AD182" i="15" s="1"/>
  <c r="AD184" i="15" s="1"/>
  <c r="AE180" i="15"/>
  <c r="AE182" i="15" s="1"/>
  <c r="AE184" i="15" s="1"/>
  <c r="AF180" i="15"/>
  <c r="AF182" i="15" s="1"/>
  <c r="AF184" i="15" s="1"/>
  <c r="AG180" i="15"/>
  <c r="AG182" i="15" s="1"/>
  <c r="AG184" i="15" s="1"/>
  <c r="AH180" i="15"/>
  <c r="AH182" i="15" s="1"/>
  <c r="AH184" i="15" s="1"/>
  <c r="AI180" i="15"/>
  <c r="AI182" i="15" s="1"/>
  <c r="AI184" i="15" s="1"/>
  <c r="AJ180" i="15"/>
  <c r="AJ182" i="15" s="1"/>
  <c r="AJ184" i="15" s="1"/>
  <c r="AK180" i="15"/>
  <c r="AK182" i="15" s="1"/>
  <c r="AK184" i="15" s="1"/>
  <c r="AL180" i="15"/>
  <c r="AL182" i="15" s="1"/>
  <c r="AL184" i="15" s="1"/>
  <c r="AM180" i="15"/>
  <c r="AM182" i="15" s="1"/>
  <c r="AM184" i="15" s="1"/>
  <c r="AC181" i="15"/>
  <c r="AC183" i="15" s="1"/>
  <c r="AC185" i="15" s="1"/>
  <c r="AD181" i="15"/>
  <c r="AD183" i="15" s="1"/>
  <c r="AD185" i="15" s="1"/>
  <c r="AE181" i="15"/>
  <c r="AE183" i="15" s="1"/>
  <c r="AE185" i="15" s="1"/>
  <c r="AF181" i="15"/>
  <c r="AF183" i="15" s="1"/>
  <c r="AF185" i="15" s="1"/>
  <c r="AG181" i="15"/>
  <c r="AG183" i="15" s="1"/>
  <c r="AG185" i="15" s="1"/>
  <c r="AH181" i="15"/>
  <c r="AH183" i="15" s="1"/>
  <c r="AH185" i="15" s="1"/>
  <c r="AJ181" i="15"/>
  <c r="AJ183" i="15" s="1"/>
  <c r="AJ185" i="15" s="1"/>
  <c r="AB181" i="15"/>
  <c r="AB183" i="15" s="1"/>
  <c r="AB185" i="15" s="1"/>
  <c r="AB180" i="15"/>
  <c r="AB182" i="15" s="1"/>
  <c r="AB184" i="15" s="1"/>
  <c r="AC172" i="15"/>
  <c r="AC174" i="15" s="1"/>
  <c r="AD172" i="15"/>
  <c r="AE172" i="15"/>
  <c r="AE174" i="15" s="1"/>
  <c r="AF172" i="15"/>
  <c r="AF174" i="15" s="1"/>
  <c r="AG172" i="15"/>
  <c r="AG174" i="15" s="1"/>
  <c r="AH172" i="15"/>
  <c r="AI172" i="15"/>
  <c r="AJ172" i="15"/>
  <c r="AK172" i="15"/>
  <c r="AL172" i="15"/>
  <c r="AM172" i="15"/>
  <c r="AC173" i="15"/>
  <c r="AC175" i="15" s="1"/>
  <c r="AD173" i="15"/>
  <c r="AD175" i="15" s="1"/>
  <c r="AE173" i="15"/>
  <c r="AE175" i="15" s="1"/>
  <c r="AF173" i="15"/>
  <c r="AF175" i="15" s="1"/>
  <c r="AG173" i="15"/>
  <c r="AG175" i="15" s="1"/>
  <c r="AB173" i="15"/>
  <c r="AB175" i="15" s="1"/>
  <c r="AB172" i="15"/>
  <c r="AB174" i="15" s="1"/>
  <c r="AB176" i="15" s="1"/>
  <c r="AC164" i="15"/>
  <c r="AD164" i="15"/>
  <c r="AE164" i="15"/>
  <c r="AF164" i="15"/>
  <c r="AG164" i="15"/>
  <c r="AH164" i="15"/>
  <c r="AI164" i="15"/>
  <c r="AJ164" i="15"/>
  <c r="AK164" i="15"/>
  <c r="AL164" i="15"/>
  <c r="AM164" i="15"/>
  <c r="AC165" i="15"/>
  <c r="AD165" i="15"/>
  <c r="AE165" i="15"/>
  <c r="AF165" i="15"/>
  <c r="AG165" i="15"/>
  <c r="AB165" i="15"/>
  <c r="AB164" i="15"/>
  <c r="AC142" i="15"/>
  <c r="AD142" i="15"/>
  <c r="AE142" i="15"/>
  <c r="AE146" i="15" s="1"/>
  <c r="AF142" i="15"/>
  <c r="AF146" i="15" s="1"/>
  <c r="AG142" i="15"/>
  <c r="AG146" i="15" s="1"/>
  <c r="AH142" i="15"/>
  <c r="AH146" i="15" s="1"/>
  <c r="AI142" i="15"/>
  <c r="AI146" i="15" s="1"/>
  <c r="AJ142" i="15"/>
  <c r="AJ146" i="15" s="1"/>
  <c r="AK142" i="15"/>
  <c r="AK146" i="15" s="1"/>
  <c r="AL142" i="15"/>
  <c r="AL146" i="15" s="1"/>
  <c r="AM142" i="15"/>
  <c r="AM146" i="15" s="1"/>
  <c r="AC143" i="15"/>
  <c r="AC147" i="15" s="1"/>
  <c r="AD143" i="15"/>
  <c r="AD147" i="15" s="1"/>
  <c r="AE143" i="15"/>
  <c r="AE147" i="15" s="1"/>
  <c r="AF143" i="15"/>
  <c r="AF147" i="15" s="1"/>
  <c r="AG143" i="15"/>
  <c r="AG147" i="15" s="1"/>
  <c r="AK143" i="15"/>
  <c r="AK147" i="15" s="1"/>
  <c r="AL143" i="15"/>
  <c r="AL147" i="15" s="1"/>
  <c r="AM143" i="15"/>
  <c r="AM147" i="15" s="1"/>
  <c r="AB143" i="15"/>
  <c r="AB147" i="15" s="1"/>
  <c r="AB142" i="15"/>
  <c r="AC120" i="15"/>
  <c r="AC122" i="15" s="1"/>
  <c r="AD120" i="15"/>
  <c r="AD122" i="15" s="1"/>
  <c r="AE120" i="15"/>
  <c r="AE122" i="15" s="1"/>
  <c r="AF120" i="15"/>
  <c r="AG120" i="15"/>
  <c r="AG122" i="15" s="1"/>
  <c r="AH120" i="15"/>
  <c r="AH122" i="15" s="1"/>
  <c r="AI120" i="15"/>
  <c r="AI122" i="15" s="1"/>
  <c r="AJ120" i="15"/>
  <c r="AJ122" i="15" s="1"/>
  <c r="AK120" i="15"/>
  <c r="AK122" i="15" s="1"/>
  <c r="AL120" i="15"/>
  <c r="AM120" i="15"/>
  <c r="AM122" i="15" s="1"/>
  <c r="AC121" i="15"/>
  <c r="AC123" i="15" s="1"/>
  <c r="AD121" i="15"/>
  <c r="AD123" i="15" s="1"/>
  <c r="AE121" i="15"/>
  <c r="AE123" i="15" s="1"/>
  <c r="AF121" i="15"/>
  <c r="AF123" i="15" s="1"/>
  <c r="AG121" i="15"/>
  <c r="AG123" i="15" s="1"/>
  <c r="AL121" i="15"/>
  <c r="AL123" i="15" s="1"/>
  <c r="AB121" i="15"/>
  <c r="AB123" i="15" s="1"/>
  <c r="AB120" i="15"/>
  <c r="AB122" i="15" s="1"/>
  <c r="AC98" i="15"/>
  <c r="AC102" i="15" s="1"/>
  <c r="AD98" i="15"/>
  <c r="AD102" i="15" s="1"/>
  <c r="AE98" i="15"/>
  <c r="AE102" i="15" s="1"/>
  <c r="AF98" i="15"/>
  <c r="AG98" i="15"/>
  <c r="AG102" i="15" s="1"/>
  <c r="AH98" i="15"/>
  <c r="AI98" i="15"/>
  <c r="AJ98" i="15"/>
  <c r="AJ102" i="15" s="1"/>
  <c r="AK98" i="15"/>
  <c r="AL98" i="15"/>
  <c r="AM98" i="15"/>
  <c r="AM102" i="15" s="1"/>
  <c r="AC99" i="15"/>
  <c r="AC103" i="15" s="1"/>
  <c r="AD99" i="15"/>
  <c r="AD103" i="15" s="1"/>
  <c r="AE99" i="15"/>
  <c r="AE103" i="15" s="1"/>
  <c r="AF99" i="15"/>
  <c r="AF103" i="15" s="1"/>
  <c r="AG99" i="15"/>
  <c r="AG103" i="15" s="1"/>
  <c r="AB99" i="15"/>
  <c r="AB103" i="15" s="1"/>
  <c r="AB98" i="15"/>
  <c r="AB102" i="15" s="1"/>
  <c r="AC52" i="15"/>
  <c r="AD52" i="15"/>
  <c r="AE52" i="15"/>
  <c r="AF52" i="15"/>
  <c r="AG52" i="15"/>
  <c r="AH52" i="15"/>
  <c r="AH64" i="15" s="1"/>
  <c r="AI52" i="15"/>
  <c r="AI64" i="15" s="1"/>
  <c r="AJ52" i="15"/>
  <c r="AK52" i="15"/>
  <c r="AL52" i="15"/>
  <c r="AM52" i="15"/>
  <c r="AC53" i="15"/>
  <c r="AC65" i="15" s="1"/>
  <c r="AD53" i="15"/>
  <c r="AD65" i="15" s="1"/>
  <c r="AE53" i="15"/>
  <c r="AE65" i="15" s="1"/>
  <c r="AF53" i="15"/>
  <c r="AF65" i="15" s="1"/>
  <c r="AG53" i="15"/>
  <c r="AG65" i="15" s="1"/>
  <c r="AB53" i="15"/>
  <c r="AB65" i="15" s="1"/>
  <c r="AB52" i="15"/>
  <c r="AC8" i="15"/>
  <c r="AD8" i="15"/>
  <c r="AE8" i="15"/>
  <c r="AF8" i="15"/>
  <c r="AG8" i="15"/>
  <c r="AH8" i="15"/>
  <c r="AH16" i="15" s="1"/>
  <c r="AI8" i="15"/>
  <c r="AJ8" i="15"/>
  <c r="AK8" i="15"/>
  <c r="AL8" i="15"/>
  <c r="AL16" i="15" s="1"/>
  <c r="AM8" i="15"/>
  <c r="AC9" i="15"/>
  <c r="AC17" i="15" s="1"/>
  <c r="AD9" i="15"/>
  <c r="AD17" i="15" s="1"/>
  <c r="AE9" i="15"/>
  <c r="AE17" i="15" s="1"/>
  <c r="AF9" i="15"/>
  <c r="AF17" i="15" s="1"/>
  <c r="AG9" i="15"/>
  <c r="AG17" i="15" s="1"/>
  <c r="AH9" i="15"/>
  <c r="AH17" i="15" s="1"/>
  <c r="AI9" i="15"/>
  <c r="AI17" i="15" s="1"/>
  <c r="AJ9" i="15"/>
  <c r="AJ17" i="15" s="1"/>
  <c r="AK9" i="15"/>
  <c r="AK17" i="15" s="1"/>
  <c r="AL9" i="15"/>
  <c r="AL17" i="15" s="1"/>
  <c r="AM9" i="15"/>
  <c r="AM17" i="15" s="1"/>
  <c r="AB17" i="15"/>
  <c r="AB8" i="15"/>
  <c r="AB16" i="15" s="1"/>
  <c r="F9" i="19" l="1"/>
  <c r="Q195" i="15"/>
  <c r="L11" i="19"/>
  <c r="L23" i="19" s="1"/>
  <c r="S11" i="19" l="1"/>
  <c r="U11" i="19" s="1"/>
  <c r="Q194" i="15"/>
  <c r="AM73" i="15" l="1"/>
  <c r="AM85" i="15" s="1"/>
  <c r="AL73" i="15"/>
  <c r="AL85" i="15" s="1"/>
  <c r="AK73" i="15"/>
  <c r="AK85" i="15" s="1"/>
  <c r="AJ73" i="15"/>
  <c r="AJ85" i="15" s="1"/>
  <c r="AI73" i="15"/>
  <c r="AI85" i="15" s="1"/>
  <c r="AH73" i="15"/>
  <c r="AH85" i="15" s="1"/>
  <c r="AG73" i="15"/>
  <c r="AG85" i="15" s="1"/>
  <c r="AF73" i="15"/>
  <c r="AF85" i="15" s="1"/>
  <c r="AE73" i="15"/>
  <c r="AE85" i="15" s="1"/>
  <c r="AD73" i="15"/>
  <c r="AD85" i="15" s="1"/>
  <c r="AC73" i="15"/>
  <c r="AC85" i="15" s="1"/>
  <c r="AB73" i="15"/>
  <c r="AB85" i="15" s="1"/>
  <c r="AM72" i="15"/>
  <c r="AM84" i="15" s="1"/>
  <c r="AL72" i="15"/>
  <c r="AL84" i="15" s="1"/>
  <c r="AK72" i="15"/>
  <c r="AK84" i="15" s="1"/>
  <c r="AJ72" i="15"/>
  <c r="AJ84" i="15" s="1"/>
  <c r="AI72" i="15"/>
  <c r="AI84" i="15" s="1"/>
  <c r="AH72" i="15"/>
  <c r="AH84" i="15" s="1"/>
  <c r="AG72" i="15"/>
  <c r="AG84" i="15" s="1"/>
  <c r="AF72" i="15"/>
  <c r="AF84" i="15" s="1"/>
  <c r="AE72" i="15"/>
  <c r="AE84" i="15" s="1"/>
  <c r="AD72" i="15"/>
  <c r="AD84" i="15" s="1"/>
  <c r="AC72" i="15"/>
  <c r="AC84" i="15" s="1"/>
  <c r="AB72" i="15"/>
  <c r="AB84" i="15" s="1"/>
  <c r="F74" i="15"/>
  <c r="F76" i="15" s="1"/>
  <c r="G74" i="15"/>
  <c r="G76" i="15" s="1"/>
  <c r="H74" i="15"/>
  <c r="H76" i="15" s="1"/>
  <c r="I74" i="15"/>
  <c r="I76" i="15" s="1"/>
  <c r="J74" i="15"/>
  <c r="J76" i="15" s="1"/>
  <c r="K74" i="15"/>
  <c r="K76" i="15" s="1"/>
  <c r="L74" i="15"/>
  <c r="L76" i="15" s="1"/>
  <c r="M74" i="15"/>
  <c r="M76" i="15" s="1"/>
  <c r="N74" i="15"/>
  <c r="N76" i="15" s="1"/>
  <c r="O74" i="15"/>
  <c r="O76" i="15" s="1"/>
  <c r="P74" i="15"/>
  <c r="P76" i="15" s="1"/>
  <c r="F75" i="15"/>
  <c r="F77" i="15" s="1"/>
  <c r="G75" i="15"/>
  <c r="G77" i="15" s="1"/>
  <c r="H75" i="15"/>
  <c r="H77" i="15" s="1"/>
  <c r="I75" i="15"/>
  <c r="I77" i="15" s="1"/>
  <c r="J75" i="15"/>
  <c r="J77" i="15" s="1"/>
  <c r="E75" i="15"/>
  <c r="E77" i="15" s="1"/>
  <c r="E74" i="15"/>
  <c r="E76" i="15" s="1"/>
  <c r="Q95" i="15"/>
  <c r="Q76" i="15" l="1"/>
  <c r="Q74" i="15"/>
  <c r="C80" i="9" l="1"/>
  <c r="C79" i="9"/>
  <c r="D89" i="9"/>
  <c r="G5" i="19" s="1"/>
  <c r="E89" i="9"/>
  <c r="H5" i="19" s="1"/>
  <c r="F89" i="9"/>
  <c r="I5" i="19" s="1"/>
  <c r="G89" i="9"/>
  <c r="J5" i="19" s="1"/>
  <c r="H89" i="9"/>
  <c r="K5" i="19" s="1"/>
  <c r="I89" i="9"/>
  <c r="M5" i="19" s="1"/>
  <c r="J89" i="9"/>
  <c r="N5" i="19" s="1"/>
  <c r="K89" i="9"/>
  <c r="O5" i="19" s="1"/>
  <c r="L89" i="9"/>
  <c r="P5" i="19" s="1"/>
  <c r="M89" i="9"/>
  <c r="Q5" i="19" s="1"/>
  <c r="N89" i="9"/>
  <c r="R5" i="19" s="1"/>
  <c r="D90" i="9"/>
  <c r="G6" i="19" s="1"/>
  <c r="E90" i="9"/>
  <c r="H6" i="19" s="1"/>
  <c r="F90" i="9"/>
  <c r="I6" i="19" s="1"/>
  <c r="G90" i="9"/>
  <c r="J6" i="19" s="1"/>
  <c r="H90" i="9"/>
  <c r="K6" i="19" s="1"/>
  <c r="C90" i="9"/>
  <c r="F6" i="19" s="1"/>
  <c r="C89" i="9"/>
  <c r="F5" i="19" s="1"/>
  <c r="D79" i="9"/>
  <c r="E79" i="9"/>
  <c r="F79" i="9"/>
  <c r="G79" i="9"/>
  <c r="H79" i="9"/>
  <c r="I79" i="9"/>
  <c r="J79" i="9"/>
  <c r="K79" i="9"/>
  <c r="L79" i="9"/>
  <c r="M79" i="9"/>
  <c r="N79" i="9"/>
  <c r="D80" i="9"/>
  <c r="E80" i="9"/>
  <c r="F80" i="9"/>
  <c r="G80" i="9"/>
  <c r="H80" i="9"/>
  <c r="H28" i="9"/>
  <c r="H30" i="9" s="1"/>
  <c r="G28" i="9"/>
  <c r="G30" i="9" s="1"/>
  <c r="F28" i="9"/>
  <c r="F30" i="9" s="1"/>
  <c r="E28" i="9"/>
  <c r="E30" i="9" s="1"/>
  <c r="D28" i="9"/>
  <c r="D30" i="9" s="1"/>
  <c r="C28" i="9"/>
  <c r="N27" i="9"/>
  <c r="N29" i="9" s="1"/>
  <c r="M27" i="9"/>
  <c r="M29" i="9" s="1"/>
  <c r="L27" i="9"/>
  <c r="L29" i="9" s="1"/>
  <c r="K27" i="9"/>
  <c r="K29" i="9" s="1"/>
  <c r="J27" i="9"/>
  <c r="J29" i="9" s="1"/>
  <c r="I27" i="9"/>
  <c r="I29" i="9" s="1"/>
  <c r="H27" i="9"/>
  <c r="H29" i="9" s="1"/>
  <c r="G27" i="9"/>
  <c r="G29" i="9" s="1"/>
  <c r="F27" i="9"/>
  <c r="F29" i="9" s="1"/>
  <c r="E27" i="9"/>
  <c r="E29" i="9" s="1"/>
  <c r="D27" i="9"/>
  <c r="D29" i="9" s="1"/>
  <c r="C27" i="9"/>
  <c r="C29" i="9" s="1"/>
  <c r="O25" i="9"/>
  <c r="O79" i="9" l="1"/>
  <c r="O29" i="9"/>
  <c r="O27" i="9"/>
  <c r="C30" i="9"/>
  <c r="O9" i="21"/>
  <c r="M9" i="21"/>
  <c r="N9" i="21"/>
  <c r="P9" i="21"/>
  <c r="L9" i="21"/>
  <c r="L7" i="21"/>
  <c r="M7" i="21"/>
  <c r="N7" i="21"/>
  <c r="O7" i="21"/>
  <c r="K7" i="21"/>
  <c r="K9" i="21"/>
  <c r="H11" i="21"/>
  <c r="G11" i="21"/>
  <c r="F11" i="21"/>
  <c r="E11" i="21"/>
  <c r="D11" i="21"/>
  <c r="H10" i="21"/>
  <c r="G10" i="21"/>
  <c r="F10" i="21"/>
  <c r="E10" i="21"/>
  <c r="D10" i="21"/>
  <c r="D16" i="21" s="1"/>
  <c r="H5" i="21"/>
  <c r="G5" i="21"/>
  <c r="F5" i="21"/>
  <c r="E5" i="21"/>
  <c r="D5" i="21"/>
  <c r="H4" i="21"/>
  <c r="G4" i="21"/>
  <c r="F4" i="21"/>
  <c r="E4" i="21"/>
  <c r="D4" i="21"/>
  <c r="E16" i="21" l="1"/>
  <c r="E17" i="21"/>
  <c r="F16" i="21"/>
  <c r="G16" i="21"/>
  <c r="G17" i="21"/>
  <c r="F17" i="21"/>
  <c r="H16" i="21"/>
  <c r="H17" i="21"/>
  <c r="M5" i="21"/>
  <c r="O5" i="21"/>
  <c r="N5" i="21"/>
  <c r="L5" i="21"/>
  <c r="K5" i="21"/>
  <c r="D17" i="21"/>
  <c r="K20" i="21" l="1"/>
  <c r="I30" i="20" l="1"/>
  <c r="I31" i="20"/>
  <c r="I32" i="20"/>
  <c r="I33" i="20"/>
  <c r="Q33" i="20" l="1"/>
  <c r="Q32" i="20"/>
  <c r="Q31" i="20"/>
  <c r="Q30" i="20"/>
  <c r="P29" i="20"/>
  <c r="O29" i="20"/>
  <c r="N29" i="20"/>
  <c r="M29" i="20"/>
  <c r="L29" i="20"/>
  <c r="K29" i="20"/>
  <c r="J29" i="20"/>
  <c r="H29" i="20"/>
  <c r="G29" i="20"/>
  <c r="F29" i="20"/>
  <c r="E29" i="20"/>
  <c r="D29" i="20"/>
  <c r="P28" i="20"/>
  <c r="O28" i="20"/>
  <c r="N28" i="20"/>
  <c r="M28" i="20"/>
  <c r="L28" i="20"/>
  <c r="K28" i="20"/>
  <c r="J28" i="20"/>
  <c r="H28" i="20"/>
  <c r="G28" i="20"/>
  <c r="F28" i="20"/>
  <c r="E28" i="20"/>
  <c r="D28" i="20"/>
  <c r="I27" i="20"/>
  <c r="Q27" i="20" s="1"/>
  <c r="I26" i="20"/>
  <c r="Q26" i="20" s="1"/>
  <c r="I25" i="20"/>
  <c r="Q25" i="20" s="1"/>
  <c r="I24" i="20"/>
  <c r="Q24" i="20" s="1"/>
  <c r="P23" i="20"/>
  <c r="P35" i="20" s="1"/>
  <c r="O23" i="20"/>
  <c r="N23" i="20"/>
  <c r="N35" i="20" s="1"/>
  <c r="M23" i="20"/>
  <c r="L23" i="20"/>
  <c r="K23" i="20"/>
  <c r="J23" i="20"/>
  <c r="H23" i="20"/>
  <c r="G23" i="20"/>
  <c r="F23" i="20"/>
  <c r="E23" i="20"/>
  <c r="D23" i="20"/>
  <c r="P22" i="20"/>
  <c r="P34" i="20" s="1"/>
  <c r="O22" i="20"/>
  <c r="O34" i="20" s="1"/>
  <c r="N22" i="20"/>
  <c r="N34" i="20" s="1"/>
  <c r="M22" i="20"/>
  <c r="M34" i="20" s="1"/>
  <c r="L22" i="20"/>
  <c r="K22" i="20"/>
  <c r="J22" i="20"/>
  <c r="H22" i="20"/>
  <c r="G22" i="20"/>
  <c r="F22" i="20"/>
  <c r="E22" i="20"/>
  <c r="D22" i="20"/>
  <c r="I22" i="20" s="1"/>
  <c r="H34" i="20" l="1"/>
  <c r="K34" i="20"/>
  <c r="K35" i="20"/>
  <c r="J35" i="20"/>
  <c r="L34" i="20"/>
  <c r="L35" i="20"/>
  <c r="M35" i="20"/>
  <c r="E35" i="20"/>
  <c r="D35" i="20"/>
  <c r="G34" i="20"/>
  <c r="G35" i="20"/>
  <c r="F34" i="20"/>
  <c r="I28" i="20"/>
  <c r="F35" i="20"/>
  <c r="E34" i="20"/>
  <c r="Q28" i="20"/>
  <c r="J34" i="20"/>
  <c r="O35" i="20"/>
  <c r="I29" i="20"/>
  <c r="Q29" i="20" s="1"/>
  <c r="I23" i="20"/>
  <c r="Q23" i="20"/>
  <c r="I34" i="20"/>
  <c r="Q22" i="20"/>
  <c r="H35" i="20"/>
  <c r="D34" i="20"/>
  <c r="I35" i="20" l="1"/>
  <c r="Q35" i="20"/>
  <c r="Q34" i="20"/>
  <c r="O101" i="9" l="1"/>
  <c r="I5" i="20" l="1"/>
  <c r="Q5" i="20" s="1"/>
  <c r="I6" i="20"/>
  <c r="I14" i="20"/>
  <c r="Q14" i="20" s="1"/>
  <c r="N9" i="20"/>
  <c r="I13" i="20"/>
  <c r="Q13" i="20" s="1"/>
  <c r="L10" i="20"/>
  <c r="I12" i="20"/>
  <c r="Q12" i="20" s="1"/>
  <c r="J9" i="20"/>
  <c r="I11" i="20"/>
  <c r="Q11" i="20" s="1"/>
  <c r="P10" i="20"/>
  <c r="O10" i="20"/>
  <c r="N10" i="20"/>
  <c r="M10" i="20"/>
  <c r="K10" i="20"/>
  <c r="J10" i="20"/>
  <c r="H10" i="20"/>
  <c r="G10" i="20"/>
  <c r="F10" i="20"/>
  <c r="E10" i="20"/>
  <c r="D10" i="20"/>
  <c r="P9" i="20"/>
  <c r="O9" i="20"/>
  <c r="M9" i="20"/>
  <c r="L9" i="20"/>
  <c r="K9" i="20"/>
  <c r="H9" i="20"/>
  <c r="G9" i="20"/>
  <c r="F9" i="20"/>
  <c r="E9" i="20"/>
  <c r="D9" i="20"/>
  <c r="I8" i="20"/>
  <c r="I7" i="20"/>
  <c r="H4" i="20"/>
  <c r="G4" i="20"/>
  <c r="F4" i="20"/>
  <c r="E4" i="20"/>
  <c r="D4" i="20"/>
  <c r="H3" i="20"/>
  <c r="G3" i="20"/>
  <c r="F3" i="20"/>
  <c r="F15" i="20" s="1"/>
  <c r="E3" i="20"/>
  <c r="E15" i="20" s="1"/>
  <c r="D3" i="20"/>
  <c r="D15" i="20" s="1"/>
  <c r="G16" i="20" l="1"/>
  <c r="F16" i="20"/>
  <c r="I10" i="20"/>
  <c r="Q10" i="20" s="1"/>
  <c r="H16" i="20"/>
  <c r="G15" i="20"/>
  <c r="H15" i="20"/>
  <c r="I9" i="20"/>
  <c r="Q9" i="20" s="1"/>
  <c r="D16" i="20"/>
  <c r="E16" i="20"/>
  <c r="I3" i="20"/>
  <c r="I4" i="20"/>
  <c r="F14" i="14"/>
  <c r="F15" i="14"/>
  <c r="F16" i="14"/>
  <c r="F17" i="14"/>
  <c r="E15" i="14"/>
  <c r="E14" i="14"/>
  <c r="I15" i="20" l="1"/>
  <c r="I16" i="20"/>
  <c r="H10" i="19" l="1"/>
  <c r="I12" i="21"/>
  <c r="I13" i="21"/>
  <c r="I14" i="21"/>
  <c r="J14" i="21" s="1"/>
  <c r="D91" i="9"/>
  <c r="G7" i="19" s="1"/>
  <c r="E91" i="9"/>
  <c r="H7" i="19" s="1"/>
  <c r="F91" i="9"/>
  <c r="I7" i="19" s="1"/>
  <c r="G91" i="9"/>
  <c r="J7" i="19" s="1"/>
  <c r="H91" i="9"/>
  <c r="I91" i="9"/>
  <c r="J91" i="9"/>
  <c r="N7" i="19" s="1"/>
  <c r="K91" i="9"/>
  <c r="L91" i="9"/>
  <c r="M91" i="9"/>
  <c r="N91" i="9"/>
  <c r="D92" i="9"/>
  <c r="G8" i="19" s="1"/>
  <c r="E92" i="9"/>
  <c r="H8" i="19" s="1"/>
  <c r="F92" i="9"/>
  <c r="I8" i="19" s="1"/>
  <c r="G92" i="9"/>
  <c r="J8" i="19" s="1"/>
  <c r="J4" i="19" s="1"/>
  <c r="H92" i="9"/>
  <c r="K8" i="19" s="1"/>
  <c r="C92" i="9"/>
  <c r="F8" i="19" s="1"/>
  <c r="C91" i="9"/>
  <c r="F7" i="19" s="1"/>
  <c r="I6" i="21"/>
  <c r="L6" i="21"/>
  <c r="M6" i="21"/>
  <c r="I7" i="21"/>
  <c r="L4" i="20"/>
  <c r="L16" i="20" s="1"/>
  <c r="M4" i="20"/>
  <c r="M16" i="20" s="1"/>
  <c r="N4" i="20"/>
  <c r="N16" i="20" s="1"/>
  <c r="O4" i="20"/>
  <c r="O16" i="20" s="1"/>
  <c r="P4" i="20"/>
  <c r="P16" i="20" s="1"/>
  <c r="Y13" i="19"/>
  <c r="Z13" i="19"/>
  <c r="Y14" i="19"/>
  <c r="Z14" i="19"/>
  <c r="K8" i="21" l="1"/>
  <c r="M7" i="19"/>
  <c r="P8" i="21"/>
  <c r="R7" i="19"/>
  <c r="O8" i="21"/>
  <c r="Q7" i="19"/>
  <c r="Q3" i="19" s="1"/>
  <c r="N8" i="21"/>
  <c r="P7" i="19"/>
  <c r="M8" i="21"/>
  <c r="M4" i="21" s="1"/>
  <c r="O7" i="19"/>
  <c r="I8" i="21"/>
  <c r="J8" i="21" s="1"/>
  <c r="K7" i="19"/>
  <c r="L7" i="19" s="1"/>
  <c r="L14" i="19"/>
  <c r="L26" i="19" s="1"/>
  <c r="I15" i="21"/>
  <c r="J15" i="21" s="1"/>
  <c r="M14" i="21"/>
  <c r="L14" i="21"/>
  <c r="K14" i="21"/>
  <c r="N14" i="21"/>
  <c r="P14" i="21"/>
  <c r="O14" i="21"/>
  <c r="K12" i="21"/>
  <c r="J12" i="21"/>
  <c r="I10" i="21"/>
  <c r="J10" i="21" s="1"/>
  <c r="P12" i="21"/>
  <c r="O12" i="21"/>
  <c r="P9" i="19"/>
  <c r="N12" i="21"/>
  <c r="J13" i="21"/>
  <c r="M12" i="21"/>
  <c r="L12" i="21"/>
  <c r="O91" i="9"/>
  <c r="Q8" i="20"/>
  <c r="I9" i="21"/>
  <c r="J9" i="21" s="1"/>
  <c r="Q9" i="21" s="1"/>
  <c r="R9" i="21" s="1"/>
  <c r="L3" i="20"/>
  <c r="L15" i="20" s="1"/>
  <c r="L8" i="21"/>
  <c r="L4" i="21" s="1"/>
  <c r="P3" i="20"/>
  <c r="P15" i="20" s="1"/>
  <c r="P6" i="21"/>
  <c r="K4" i="20"/>
  <c r="K16" i="20" s="1"/>
  <c r="N3" i="20"/>
  <c r="N15" i="20" s="1"/>
  <c r="N6" i="21"/>
  <c r="O89" i="9"/>
  <c r="P7" i="21"/>
  <c r="P5" i="21" s="1"/>
  <c r="J7" i="21"/>
  <c r="O3" i="20"/>
  <c r="O15" i="20" s="1"/>
  <c r="O6" i="21"/>
  <c r="L5" i="19"/>
  <c r="K3" i="20"/>
  <c r="K15" i="20" s="1"/>
  <c r="K6" i="21"/>
  <c r="J6" i="21"/>
  <c r="L8" i="19"/>
  <c r="Q7" i="20"/>
  <c r="J3" i="20"/>
  <c r="J4" i="20"/>
  <c r="Q6" i="20"/>
  <c r="M3" i="20"/>
  <c r="M15" i="20" s="1"/>
  <c r="L6" i="19"/>
  <c r="L29" i="19" s="1"/>
  <c r="L13" i="19"/>
  <c r="L25" i="19" s="1"/>
  <c r="L12" i="19"/>
  <c r="L24" i="19" s="1"/>
  <c r="G4" i="19"/>
  <c r="I3" i="19"/>
  <c r="F10" i="19"/>
  <c r="I9" i="19"/>
  <c r="I10" i="19"/>
  <c r="G10" i="19"/>
  <c r="J9" i="19"/>
  <c r="I4" i="19"/>
  <c r="J3" i="19"/>
  <c r="H3" i="19"/>
  <c r="H9" i="19"/>
  <c r="G3" i="19"/>
  <c r="G9" i="19"/>
  <c r="J10" i="19"/>
  <c r="J16" i="19" s="1"/>
  <c r="H4" i="19"/>
  <c r="H16" i="19" s="1"/>
  <c r="F4" i="19"/>
  <c r="F3" i="19"/>
  <c r="F15" i="19" s="1"/>
  <c r="X12" i="14"/>
  <c r="W12" i="14"/>
  <c r="V12" i="14"/>
  <c r="U12" i="14"/>
  <c r="T12" i="14"/>
  <c r="AD11" i="14"/>
  <c r="AC11" i="14"/>
  <c r="AB11" i="14"/>
  <c r="AA11" i="14"/>
  <c r="Z11" i="14"/>
  <c r="Y11" i="14"/>
  <c r="X11" i="14"/>
  <c r="W11" i="14"/>
  <c r="U11" i="14"/>
  <c r="T11" i="14"/>
  <c r="S11" i="14"/>
  <c r="X4" i="14"/>
  <c r="W4" i="14"/>
  <c r="V4" i="14"/>
  <c r="U4" i="14"/>
  <c r="T4" i="14"/>
  <c r="S4" i="14"/>
  <c r="AD3" i="14"/>
  <c r="AC3" i="14"/>
  <c r="AB3" i="14"/>
  <c r="AA3" i="14"/>
  <c r="Z3" i="14"/>
  <c r="Y3" i="14"/>
  <c r="X3" i="14"/>
  <c r="W3" i="14"/>
  <c r="V3" i="14"/>
  <c r="U3" i="14"/>
  <c r="T3" i="14"/>
  <c r="S3" i="14"/>
  <c r="O4" i="21" l="1"/>
  <c r="K4" i="21"/>
  <c r="P4" i="21"/>
  <c r="N4" i="21"/>
  <c r="I4" i="21"/>
  <c r="I16" i="21" s="1"/>
  <c r="S5" i="19"/>
  <c r="N10" i="21"/>
  <c r="I11" i="21"/>
  <c r="J11" i="21" s="1"/>
  <c r="Q9" i="19"/>
  <c r="Q15" i="19" s="1"/>
  <c r="M9" i="19"/>
  <c r="N9" i="19"/>
  <c r="O3" i="19"/>
  <c r="R3" i="19"/>
  <c r="Q7" i="21"/>
  <c r="R7" i="21" s="1"/>
  <c r="O9" i="19"/>
  <c r="S13" i="19"/>
  <c r="U13" i="19" s="1"/>
  <c r="M10" i="21"/>
  <c r="M16" i="21" s="1"/>
  <c r="Q14" i="21"/>
  <c r="O10" i="21"/>
  <c r="K10" i="21"/>
  <c r="L10" i="21"/>
  <c r="P10" i="21"/>
  <c r="R9" i="19"/>
  <c r="K9" i="19"/>
  <c r="L9" i="19" s="1"/>
  <c r="Q12" i="21"/>
  <c r="I5" i="21"/>
  <c r="J5" i="21" s="1"/>
  <c r="S7" i="19"/>
  <c r="AI7" i="19" s="1"/>
  <c r="Q8" i="21"/>
  <c r="R8" i="21" s="1"/>
  <c r="K3" i="19"/>
  <c r="L3" i="19" s="1"/>
  <c r="AE3" i="14"/>
  <c r="Q6" i="21"/>
  <c r="R6" i="21" s="1"/>
  <c r="AC19" i="14"/>
  <c r="AD19" i="14"/>
  <c r="X19" i="14"/>
  <c r="U19" i="14"/>
  <c r="W19" i="14"/>
  <c r="Z19" i="14"/>
  <c r="T20" i="14"/>
  <c r="P3" i="19"/>
  <c r="P15" i="19" s="1"/>
  <c r="Y19" i="14"/>
  <c r="AA19" i="14"/>
  <c r="W20" i="14"/>
  <c r="U20" i="14"/>
  <c r="T19" i="14"/>
  <c r="AB19" i="14"/>
  <c r="X20" i="14"/>
  <c r="V20" i="14"/>
  <c r="G16" i="19"/>
  <c r="I15" i="19"/>
  <c r="M3" i="19"/>
  <c r="K4" i="19"/>
  <c r="L4" i="19" s="1"/>
  <c r="J15" i="20"/>
  <c r="Q15" i="20" s="1"/>
  <c r="Q3" i="20"/>
  <c r="J16" i="20"/>
  <c r="Q16" i="20" s="1"/>
  <c r="Q4" i="20"/>
  <c r="N3" i="19"/>
  <c r="K10" i="19"/>
  <c r="L10" i="19" s="1"/>
  <c r="S19" i="14"/>
  <c r="S12" i="14"/>
  <c r="V11" i="14"/>
  <c r="V19" i="14" s="1"/>
  <c r="J15" i="19"/>
  <c r="I16" i="19"/>
  <c r="H15" i="19"/>
  <c r="G15" i="19"/>
  <c r="F16" i="19"/>
  <c r="U5" i="19" l="1"/>
  <c r="AI5" i="19"/>
  <c r="AI3" i="19" s="1"/>
  <c r="AI15" i="19" s="1"/>
  <c r="U7" i="19"/>
  <c r="P16" i="21"/>
  <c r="K16" i="21"/>
  <c r="O16" i="21"/>
  <c r="S9" i="19"/>
  <c r="U9" i="19" s="1"/>
  <c r="N16" i="21"/>
  <c r="J4" i="21"/>
  <c r="Q4" i="21" s="1"/>
  <c r="R4" i="21" s="1"/>
  <c r="R15" i="19"/>
  <c r="S3" i="19"/>
  <c r="U3" i="19" s="1"/>
  <c r="N15" i="19"/>
  <c r="O15" i="19"/>
  <c r="I17" i="21"/>
  <c r="J17" i="21" s="1"/>
  <c r="K15" i="19"/>
  <c r="L15" i="19" s="1"/>
  <c r="Q10" i="21"/>
  <c r="L16" i="21"/>
  <c r="J16" i="21"/>
  <c r="J21" i="21"/>
  <c r="Q5" i="21"/>
  <c r="R5" i="21" s="1"/>
  <c r="M15" i="19"/>
  <c r="AE19" i="14"/>
  <c r="K16" i="19"/>
  <c r="L16" i="19" s="1"/>
  <c r="S20" i="14"/>
  <c r="AE11" i="14"/>
  <c r="S15" i="19" l="1"/>
  <c r="U15" i="19" s="1"/>
  <c r="Q16" i="21"/>
  <c r="Q21" i="21"/>
  <c r="R20" i="21"/>
  <c r="R21" i="21"/>
  <c r="AA14" i="19" l="1"/>
  <c r="X14" i="19"/>
  <c r="W14" i="19"/>
  <c r="V14" i="19"/>
  <c r="AG13" i="19"/>
  <c r="AF13" i="19"/>
  <c r="AE13" i="19"/>
  <c r="AD13" i="19"/>
  <c r="AC13" i="19"/>
  <c r="AB13" i="19"/>
  <c r="AA13" i="19"/>
  <c r="X13" i="19"/>
  <c r="W13" i="19"/>
  <c r="V13" i="19"/>
  <c r="AE67" i="9"/>
  <c r="AE69" i="9" s="1"/>
  <c r="AC67" i="9"/>
  <c r="AC69" i="9" s="1"/>
  <c r="AB67" i="9"/>
  <c r="AB69" i="9" s="1"/>
  <c r="AA67" i="9"/>
  <c r="AA69" i="9" s="1"/>
  <c r="Z67" i="9"/>
  <c r="Z69" i="9" s="1"/>
  <c r="Y67" i="9"/>
  <c r="Y69" i="9" s="1"/>
  <c r="X67" i="9"/>
  <c r="X69" i="9" s="1"/>
  <c r="W67" i="9"/>
  <c r="W69" i="9" s="1"/>
  <c r="AH66" i="9"/>
  <c r="AH68" i="9" s="1"/>
  <c r="AG66" i="9"/>
  <c r="AG68" i="9" s="1"/>
  <c r="AF66" i="9"/>
  <c r="AF68" i="9" s="1"/>
  <c r="AE66" i="9"/>
  <c r="AE68" i="9" s="1"/>
  <c r="AD66" i="9"/>
  <c r="AD68" i="9" s="1"/>
  <c r="AC66" i="9"/>
  <c r="AC68" i="9" s="1"/>
  <c r="AB66" i="9"/>
  <c r="AB68" i="9" s="1"/>
  <c r="AA66" i="9"/>
  <c r="AA68" i="9" s="1"/>
  <c r="Z66" i="9"/>
  <c r="Z68" i="9" s="1"/>
  <c r="Y66" i="9"/>
  <c r="Y68" i="9" s="1"/>
  <c r="X66" i="9"/>
  <c r="X68" i="9" s="1"/>
  <c r="W66" i="9"/>
  <c r="W68" i="9" s="1"/>
  <c r="AB61" i="9"/>
  <c r="AA61" i="9"/>
  <c r="AA63" i="9" s="1"/>
  <c r="Z61" i="9"/>
  <c r="Z63" i="9" s="1"/>
  <c r="Y61" i="9"/>
  <c r="Y63" i="9" s="1"/>
  <c r="W61" i="9"/>
  <c r="W63" i="9" s="1"/>
  <c r="AH60" i="9"/>
  <c r="AH62" i="9" s="1"/>
  <c r="AG60" i="9"/>
  <c r="AG62" i="9" s="1"/>
  <c r="AF60" i="9"/>
  <c r="AF62" i="9" s="1"/>
  <c r="AE60" i="9"/>
  <c r="AE62" i="9" s="1"/>
  <c r="AD60" i="9"/>
  <c r="AD62" i="9" s="1"/>
  <c r="AC60" i="9"/>
  <c r="AC62" i="9" s="1"/>
  <c r="AB60" i="9"/>
  <c r="AB62" i="9" s="1"/>
  <c r="AA60" i="9"/>
  <c r="AA62" i="9" s="1"/>
  <c r="Z60" i="9"/>
  <c r="Z62" i="9" s="1"/>
  <c r="Y60" i="9"/>
  <c r="Y62" i="9" s="1"/>
  <c r="X60" i="9"/>
  <c r="X62" i="9" s="1"/>
  <c r="W60" i="9"/>
  <c r="W62" i="9" s="1"/>
  <c r="AB55" i="9"/>
  <c r="AB57" i="9" s="1"/>
  <c r="AA55" i="9"/>
  <c r="AA57" i="9" s="1"/>
  <c r="Z55" i="9"/>
  <c r="Z57" i="9" s="1"/>
  <c r="Y55" i="9"/>
  <c r="Y57" i="9" s="1"/>
  <c r="X55" i="9"/>
  <c r="X57" i="9" s="1"/>
  <c r="W55" i="9"/>
  <c r="W57" i="9" s="1"/>
  <c r="AH54" i="9"/>
  <c r="AH56" i="9" s="1"/>
  <c r="AG54" i="9"/>
  <c r="AG56" i="9" s="1"/>
  <c r="AF54" i="9"/>
  <c r="AF56" i="9" s="1"/>
  <c r="AE54" i="9"/>
  <c r="AE56" i="9" s="1"/>
  <c r="AD54" i="9"/>
  <c r="AD56" i="9" s="1"/>
  <c r="AC54" i="9"/>
  <c r="AC56" i="9" s="1"/>
  <c r="AB54" i="9"/>
  <c r="AB56" i="9" s="1"/>
  <c r="AA54" i="9"/>
  <c r="AA56" i="9" s="1"/>
  <c r="Z54" i="9"/>
  <c r="Z56" i="9" s="1"/>
  <c r="Y54" i="9"/>
  <c r="Y56" i="9" s="1"/>
  <c r="X54" i="9"/>
  <c r="X56" i="9" s="1"/>
  <c r="W54" i="9"/>
  <c r="W56" i="9" s="1"/>
  <c r="AH49" i="9"/>
  <c r="AH51" i="9" s="1"/>
  <c r="AG49" i="9"/>
  <c r="AG51" i="9" s="1"/>
  <c r="AF49" i="9"/>
  <c r="AF51" i="9" s="1"/>
  <c r="AB49" i="9"/>
  <c r="AB51" i="9" s="1"/>
  <c r="AA49" i="9"/>
  <c r="AA51" i="9" s="1"/>
  <c r="Z49" i="9"/>
  <c r="Z51" i="9" s="1"/>
  <c r="Y49" i="9"/>
  <c r="Y51" i="9" s="1"/>
  <c r="X49" i="9"/>
  <c r="X51" i="9" s="1"/>
  <c r="W49" i="9"/>
  <c r="W51" i="9" s="1"/>
  <c r="AH48" i="9"/>
  <c r="AH50" i="9" s="1"/>
  <c r="AG48" i="9"/>
  <c r="AG50" i="9" s="1"/>
  <c r="AF48" i="9"/>
  <c r="AF50" i="9" s="1"/>
  <c r="AE48" i="9"/>
  <c r="AE50" i="9" s="1"/>
  <c r="AD48" i="9"/>
  <c r="AD50" i="9" s="1"/>
  <c r="AC48" i="9"/>
  <c r="AC50" i="9" s="1"/>
  <c r="AB48" i="9"/>
  <c r="AB50" i="9" s="1"/>
  <c r="AA48" i="9"/>
  <c r="AA50" i="9" s="1"/>
  <c r="Z48" i="9"/>
  <c r="Z50" i="9" s="1"/>
  <c r="X48" i="9"/>
  <c r="X50" i="9" s="1"/>
  <c r="W48" i="9"/>
  <c r="W50" i="9" s="1"/>
  <c r="AG43" i="9"/>
  <c r="AG45" i="9" s="1"/>
  <c r="AB43" i="9"/>
  <c r="AB45" i="9" s="1"/>
  <c r="AA43" i="9"/>
  <c r="AA45" i="9" s="1"/>
  <c r="Z43" i="9"/>
  <c r="Z45" i="9" s="1"/>
  <c r="Y43" i="9"/>
  <c r="Y45" i="9" s="1"/>
  <c r="X43" i="9"/>
  <c r="X45" i="9" s="1"/>
  <c r="W43" i="9"/>
  <c r="W45" i="9" s="1"/>
  <c r="AH42" i="9"/>
  <c r="AH44" i="9" s="1"/>
  <c r="AG42" i="9"/>
  <c r="AG44" i="9" s="1"/>
  <c r="AF42" i="9"/>
  <c r="AF44" i="9" s="1"/>
  <c r="AE42" i="9"/>
  <c r="AE44" i="9" s="1"/>
  <c r="AD42" i="9"/>
  <c r="AD44" i="9" s="1"/>
  <c r="AC42" i="9"/>
  <c r="AC44" i="9" s="1"/>
  <c r="AB42" i="9"/>
  <c r="AB44" i="9" s="1"/>
  <c r="AA42" i="9"/>
  <c r="AA44" i="9" s="1"/>
  <c r="Z42" i="9"/>
  <c r="Z44" i="9" s="1"/>
  <c r="X42" i="9"/>
  <c r="X44" i="9" s="1"/>
  <c r="AG91" i="9"/>
  <c r="AD8" i="21" s="1"/>
  <c r="AB22" i="9"/>
  <c r="AB24" i="9" s="1"/>
  <c r="Z22" i="9"/>
  <c r="Z24" i="9" s="1"/>
  <c r="Y22" i="9"/>
  <c r="Y24" i="9" s="1"/>
  <c r="X22" i="9"/>
  <c r="X24" i="9" s="1"/>
  <c r="W22" i="9"/>
  <c r="W24" i="9" s="1"/>
  <c r="AH21" i="9"/>
  <c r="AH23" i="9" s="1"/>
  <c r="AG21" i="9"/>
  <c r="AG23" i="9" s="1"/>
  <c r="AF21" i="9"/>
  <c r="AF23" i="9" s="1"/>
  <c r="AE21" i="9"/>
  <c r="AE23" i="9" s="1"/>
  <c r="AD21" i="9"/>
  <c r="AD23" i="9" s="1"/>
  <c r="AC21" i="9"/>
  <c r="AC23" i="9" s="1"/>
  <c r="AB21" i="9"/>
  <c r="AB23" i="9" s="1"/>
  <c r="AA21" i="9"/>
  <c r="AA23" i="9" s="1"/>
  <c r="Z21" i="9"/>
  <c r="Z23" i="9" s="1"/>
  <c r="Y21" i="9"/>
  <c r="Y23" i="9" s="1"/>
  <c r="X21" i="9"/>
  <c r="X23" i="9" s="1"/>
  <c r="W21" i="9"/>
  <c r="W23" i="9" s="1"/>
  <c r="AH10" i="9"/>
  <c r="AH12" i="9" s="1"/>
  <c r="X61" i="9"/>
  <c r="X63" i="9" s="1"/>
  <c r="Y48" i="9"/>
  <c r="Y50" i="9" s="1"/>
  <c r="Y42" i="9"/>
  <c r="Y44" i="9" s="1"/>
  <c r="AB63" i="9" l="1"/>
  <c r="AB73" i="9" s="1"/>
  <c r="W71" i="9"/>
  <c r="Z71" i="9"/>
  <c r="BI14" i="19"/>
  <c r="BI12" i="19"/>
  <c r="T14" i="21"/>
  <c r="X14" i="21"/>
  <c r="Y14" i="21"/>
  <c r="W14" i="21"/>
  <c r="AE14" i="21"/>
  <c r="AG36" i="9"/>
  <c r="AG38" i="9" s="1"/>
  <c r="AD70" i="9"/>
  <c r="AF7" i="19"/>
  <c r="T13" i="21"/>
  <c r="T15" i="21"/>
  <c r="AA37" i="9"/>
  <c r="AA92" i="9"/>
  <c r="X9" i="21" s="1"/>
  <c r="X36" i="9"/>
  <c r="X38" i="9" s="1"/>
  <c r="X91" i="9"/>
  <c r="U8" i="21" s="1"/>
  <c r="AF36" i="9"/>
  <c r="AF38" i="9" s="1"/>
  <c r="AF91" i="9"/>
  <c r="AC8" i="21" s="1"/>
  <c r="AB37" i="9"/>
  <c r="AB92" i="9"/>
  <c r="Y9" i="21" s="1"/>
  <c r="AC9" i="9"/>
  <c r="Y36" i="9"/>
  <c r="Y91" i="9"/>
  <c r="V8" i="21" s="1"/>
  <c r="Z36" i="9"/>
  <c r="Z38" i="9" s="1"/>
  <c r="Z91" i="9"/>
  <c r="W8" i="21" s="1"/>
  <c r="AH36" i="9"/>
  <c r="AH38" i="9" s="1"/>
  <c r="AH91" i="9"/>
  <c r="AE8" i="21" s="1"/>
  <c r="Z37" i="9"/>
  <c r="Z92" i="9"/>
  <c r="W9" i="21" s="1"/>
  <c r="AE36" i="9"/>
  <c r="AE38" i="9" s="1"/>
  <c r="AE91" i="9"/>
  <c r="AB8" i="21" s="1"/>
  <c r="AA36" i="9"/>
  <c r="AA91" i="9"/>
  <c r="X8" i="21" s="1"/>
  <c r="W37" i="9"/>
  <c r="W92" i="9"/>
  <c r="T9" i="21" s="1"/>
  <c r="W36" i="9"/>
  <c r="W38" i="9" s="1"/>
  <c r="W91" i="9"/>
  <c r="T8" i="21" s="1"/>
  <c r="AB36" i="9"/>
  <c r="AB91" i="9"/>
  <c r="Y8" i="21" s="1"/>
  <c r="X37" i="9"/>
  <c r="X92" i="9"/>
  <c r="U9" i="21" s="1"/>
  <c r="AD36" i="9"/>
  <c r="AD38" i="9" s="1"/>
  <c r="AD91" i="9"/>
  <c r="AA8" i="21" s="1"/>
  <c r="AC36" i="9"/>
  <c r="AC38" i="9" s="1"/>
  <c r="AC91" i="9"/>
  <c r="Z8" i="21" s="1"/>
  <c r="Y37" i="9"/>
  <c r="Y39" i="9" s="1"/>
  <c r="Y92" i="9"/>
  <c r="V9" i="21" s="1"/>
  <c r="AL11" i="14"/>
  <c r="Z10" i="9"/>
  <c r="Z12" i="9" s="1"/>
  <c r="AE9" i="9"/>
  <c r="AG10" i="9"/>
  <c r="AG12" i="9" s="1"/>
  <c r="Y10" i="9"/>
  <c r="AB10" i="9"/>
  <c r="AB12" i="9" s="1"/>
  <c r="AF10" i="9"/>
  <c r="AF12" i="9" s="1"/>
  <c r="X10" i="9"/>
  <c r="X12" i="9" s="1"/>
  <c r="AA9" i="9"/>
  <c r="AA11" i="9" s="1"/>
  <c r="AE10" i="9"/>
  <c r="AE12" i="9" s="1"/>
  <c r="AH9" i="9"/>
  <c r="AH11" i="9" s="1"/>
  <c r="Z9" i="9"/>
  <c r="AD9" i="9"/>
  <c r="AD11" i="9" s="1"/>
  <c r="W10" i="9"/>
  <c r="W12" i="9" s="1"/>
  <c r="W9" i="9"/>
  <c r="AB9" i="9"/>
  <c r="AF9" i="9"/>
  <c r="X9" i="9"/>
  <c r="AA10" i="9"/>
  <c r="AA12" i="9" s="1"/>
  <c r="AC10" i="9"/>
  <c r="AI7" i="9"/>
  <c r="AG9" i="9"/>
  <c r="AA22" i="9"/>
  <c r="AA24" i="9" s="1"/>
  <c r="Y9" i="9"/>
  <c r="AA70" i="9"/>
  <c r="X73" i="9"/>
  <c r="AH70" i="9"/>
  <c r="AF72" i="9"/>
  <c r="Z70" i="9"/>
  <c r="AG72" i="9"/>
  <c r="AI66" i="9"/>
  <c r="AB70" i="9"/>
  <c r="Y73" i="9"/>
  <c r="Y72" i="9"/>
  <c r="AC70" i="9"/>
  <c r="Z72" i="9"/>
  <c r="W70" i="9"/>
  <c r="AE70" i="9"/>
  <c r="AE72" i="9"/>
  <c r="AA73" i="9"/>
  <c r="AA72" i="9"/>
  <c r="X71" i="9"/>
  <c r="AD72" i="9"/>
  <c r="Y71" i="9"/>
  <c r="AB71" i="9"/>
  <c r="AI60" i="9"/>
  <c r="Z73" i="9"/>
  <c r="AI54" i="9"/>
  <c r="AI48" i="9"/>
  <c r="AI50" i="9"/>
  <c r="W42" i="9"/>
  <c r="W44" i="9" s="1"/>
  <c r="AI19" i="9"/>
  <c r="AD10" i="9"/>
  <c r="AD12" i="9" s="1"/>
  <c r="AI8" i="9"/>
  <c r="AI23" i="9"/>
  <c r="AB72" i="9"/>
  <c r="X70" i="9"/>
  <c r="AF70" i="9"/>
  <c r="AC72" i="9"/>
  <c r="Y70" i="9"/>
  <c r="AG70" i="9"/>
  <c r="AA71" i="9"/>
  <c r="X72" i="9"/>
  <c r="AI21" i="9"/>
  <c r="W98" i="9" l="1"/>
  <c r="R8" i="20" s="1"/>
  <c r="W39" i="9"/>
  <c r="Y97" i="9"/>
  <c r="T7" i="20" s="1"/>
  <c r="Y38" i="9"/>
  <c r="AB98" i="9"/>
  <c r="W8" i="20" s="1"/>
  <c r="AB39" i="9"/>
  <c r="X98" i="9"/>
  <c r="S8" i="20" s="1"/>
  <c r="X39" i="9"/>
  <c r="Z98" i="9"/>
  <c r="BH8" i="19" s="1"/>
  <c r="Z39" i="9"/>
  <c r="AA98" i="9"/>
  <c r="V8" i="20" s="1"/>
  <c r="AA39" i="9"/>
  <c r="AA97" i="9"/>
  <c r="BI7" i="19" s="1"/>
  <c r="AA38" i="9"/>
  <c r="AB97" i="9"/>
  <c r="W7" i="20" s="1"/>
  <c r="AB38" i="9"/>
  <c r="AC12" i="9"/>
  <c r="AC11" i="9"/>
  <c r="Z11" i="9"/>
  <c r="AE11" i="9"/>
  <c r="Y11" i="9"/>
  <c r="Y12" i="9"/>
  <c r="X11" i="9"/>
  <c r="AF11" i="9"/>
  <c r="AG11" i="9"/>
  <c r="AB11" i="9"/>
  <c r="W11" i="9"/>
  <c r="BG14" i="19"/>
  <c r="BH14" i="19"/>
  <c r="BJ12" i="19"/>
  <c r="BJ14" i="19"/>
  <c r="V14" i="20"/>
  <c r="BI10" i="19"/>
  <c r="BF14" i="19"/>
  <c r="V12" i="20"/>
  <c r="AI70" i="9"/>
  <c r="BG12" i="19"/>
  <c r="BE12" i="19"/>
  <c r="BE14" i="19"/>
  <c r="BF12" i="19"/>
  <c r="BH12" i="19"/>
  <c r="AA12" i="21"/>
  <c r="V14" i="21"/>
  <c r="AG97" i="9"/>
  <c r="U14" i="21"/>
  <c r="AD14" i="21"/>
  <c r="Y15" i="21"/>
  <c r="U15" i="21"/>
  <c r="Z14" i="21"/>
  <c r="W15" i="21"/>
  <c r="V15" i="21"/>
  <c r="AC14" i="21"/>
  <c r="X15" i="21"/>
  <c r="AC9" i="19"/>
  <c r="AA14" i="21"/>
  <c r="AB14" i="21"/>
  <c r="AD12" i="21"/>
  <c r="AB12" i="21"/>
  <c r="AG9" i="19"/>
  <c r="AE12" i="21"/>
  <c r="AE10" i="21" s="1"/>
  <c r="Y9" i="19"/>
  <c r="W12" i="21"/>
  <c r="W10" i="21" s="1"/>
  <c r="V13" i="21"/>
  <c r="X13" i="21"/>
  <c r="AC12" i="21"/>
  <c r="T11" i="21"/>
  <c r="AA9" i="19"/>
  <c r="Y12" i="21"/>
  <c r="Y10" i="21" s="1"/>
  <c r="U13" i="21"/>
  <c r="Y13" i="21"/>
  <c r="T12" i="21"/>
  <c r="W9" i="19"/>
  <c r="U12" i="21"/>
  <c r="X9" i="19"/>
  <c r="V12" i="21"/>
  <c r="Z9" i="19"/>
  <c r="X12" i="21"/>
  <c r="X10" i="21" s="1"/>
  <c r="Z12" i="21"/>
  <c r="W13" i="21"/>
  <c r="W97" i="9"/>
  <c r="AC97" i="9"/>
  <c r="Y98" i="9"/>
  <c r="AF97" i="9"/>
  <c r="AH97" i="9"/>
  <c r="AF8" i="21"/>
  <c r="X97" i="9"/>
  <c r="AD97" i="9"/>
  <c r="AE97" i="9"/>
  <c r="Z97" i="9"/>
  <c r="X8" i="19"/>
  <c r="AE7" i="19"/>
  <c r="AC7" i="19"/>
  <c r="AD7" i="19"/>
  <c r="Y7" i="19"/>
  <c r="AB7" i="19"/>
  <c r="W7" i="19"/>
  <c r="Y8" i="19"/>
  <c r="W8" i="19"/>
  <c r="X7" i="19"/>
  <c r="AA8" i="19"/>
  <c r="Z8" i="19"/>
  <c r="AA7" i="19"/>
  <c r="Z7" i="19"/>
  <c r="AG7" i="19"/>
  <c r="AI36" i="9"/>
  <c r="AI91" i="9"/>
  <c r="V7" i="19"/>
  <c r="V8" i="19"/>
  <c r="AP11" i="14"/>
  <c r="AO11" i="14"/>
  <c r="AJ11" i="14"/>
  <c r="AI11" i="14"/>
  <c r="AR11" i="14"/>
  <c r="AQ11" i="14"/>
  <c r="AN11" i="14"/>
  <c r="AS11" i="14"/>
  <c r="AM11" i="14"/>
  <c r="AH11" i="14"/>
  <c r="AI12" i="14"/>
  <c r="AH12" i="14"/>
  <c r="AM12" i="14"/>
  <c r="AJ12" i="14"/>
  <c r="AL12" i="14"/>
  <c r="AK11" i="14"/>
  <c r="AK12" i="14"/>
  <c r="W72" i="9"/>
  <c r="AI56" i="9"/>
  <c r="AI9" i="9"/>
  <c r="AI68" i="9"/>
  <c r="AI10" i="9"/>
  <c r="AH72" i="9"/>
  <c r="AI42" i="9"/>
  <c r="W73" i="9"/>
  <c r="AI62" i="9"/>
  <c r="BE8" i="19" l="1"/>
  <c r="BH10" i="19"/>
  <c r="U14" i="20"/>
  <c r="W12" i="20"/>
  <c r="BG7" i="19"/>
  <c r="V7" i="20"/>
  <c r="BF8" i="19"/>
  <c r="U8" i="20"/>
  <c r="BJ7" i="19"/>
  <c r="BJ8" i="19"/>
  <c r="BI8" i="19"/>
  <c r="AM30" i="15"/>
  <c r="AM34" i="15" s="1"/>
  <c r="AM48" i="15" s="1"/>
  <c r="AH15" i="9"/>
  <c r="AH79" i="9"/>
  <c r="AS3" i="14" s="1"/>
  <c r="AS19" i="14" s="1"/>
  <c r="AH89" i="9"/>
  <c r="AJ30" i="15"/>
  <c r="AJ34" i="15" s="1"/>
  <c r="AJ48" i="15" s="1"/>
  <c r="AE15" i="9"/>
  <c r="AE89" i="9"/>
  <c r="AE79" i="9"/>
  <c r="AP3" i="14" s="1"/>
  <c r="AP19" i="14" s="1"/>
  <c r="AK30" i="15"/>
  <c r="AK34" i="15" s="1"/>
  <c r="AK48" i="15" s="1"/>
  <c r="AF15" i="9"/>
  <c r="AF89" i="9"/>
  <c r="AF79" i="9"/>
  <c r="AQ3" i="14" s="1"/>
  <c r="AQ19" i="14" s="1"/>
  <c r="AE30" i="15"/>
  <c r="AE34" i="15" s="1"/>
  <c r="AE48" i="15" s="1"/>
  <c r="Z15" i="9"/>
  <c r="Z79" i="9"/>
  <c r="AK3" i="14" s="1"/>
  <c r="AK19" i="14" s="1"/>
  <c r="Z89" i="9"/>
  <c r="AD31" i="15"/>
  <c r="AD35" i="15" s="1"/>
  <c r="AD49" i="15" s="1"/>
  <c r="Y16" i="9"/>
  <c r="Y90" i="9"/>
  <c r="Y80" i="9"/>
  <c r="AJ4" i="14" s="1"/>
  <c r="AJ20" i="14" s="1"/>
  <c r="AH30" i="15"/>
  <c r="AH34" i="15" s="1"/>
  <c r="AH48" i="15" s="1"/>
  <c r="AC15" i="9"/>
  <c r="AC89" i="9"/>
  <c r="AC79" i="9"/>
  <c r="AN3" i="14" s="1"/>
  <c r="AN19" i="14" s="1"/>
  <c r="AI30" i="15"/>
  <c r="AI34" i="15" s="1"/>
  <c r="AI48" i="15" s="1"/>
  <c r="AD15" i="9"/>
  <c r="AD79" i="9"/>
  <c r="AO3" i="14" s="1"/>
  <c r="AO19" i="14" s="1"/>
  <c r="AD89" i="9"/>
  <c r="AL30" i="15"/>
  <c r="AL34" i="15" s="1"/>
  <c r="AL48" i="15" s="1"/>
  <c r="AG15" i="9"/>
  <c r="AG89" i="9"/>
  <c r="AG79" i="9"/>
  <c r="AR3" i="14" s="1"/>
  <c r="AR19" i="14" s="1"/>
  <c r="AC30" i="15"/>
  <c r="AC34" i="15" s="1"/>
  <c r="AC48" i="15" s="1"/>
  <c r="X15" i="9"/>
  <c r="X79" i="9"/>
  <c r="AI3" i="14" s="1"/>
  <c r="AI19" i="14" s="1"/>
  <c r="X89" i="9"/>
  <c r="AD30" i="15"/>
  <c r="AD34" i="15" s="1"/>
  <c r="AD48" i="15" s="1"/>
  <c r="Y15" i="9"/>
  <c r="Y89" i="9"/>
  <c r="Y79" i="9"/>
  <c r="AJ3" i="14" s="1"/>
  <c r="AJ19" i="14" s="1"/>
  <c r="AF30" i="15"/>
  <c r="AF34" i="15" s="1"/>
  <c r="AF48" i="15" s="1"/>
  <c r="AA15" i="9"/>
  <c r="AA89" i="9"/>
  <c r="AA79" i="9"/>
  <c r="AL3" i="14" s="1"/>
  <c r="AL19" i="14" s="1"/>
  <c r="AF31" i="15"/>
  <c r="AF35" i="15" s="1"/>
  <c r="AF49" i="15" s="1"/>
  <c r="AA16" i="9"/>
  <c r="AA90" i="9"/>
  <c r="AA80" i="9"/>
  <c r="AL4" i="14" s="1"/>
  <c r="AL20" i="14" s="1"/>
  <c r="AC31" i="15"/>
  <c r="AC35" i="15" s="1"/>
  <c r="AC49" i="15" s="1"/>
  <c r="X90" i="9"/>
  <c r="X16" i="9"/>
  <c r="X80" i="9"/>
  <c r="AI4" i="14" s="1"/>
  <c r="AI20" i="14" s="1"/>
  <c r="AE31" i="15"/>
  <c r="AE35" i="15" s="1"/>
  <c r="AE49" i="15" s="1"/>
  <c r="Z16" i="9"/>
  <c r="Z90" i="9"/>
  <c r="Z80" i="9"/>
  <c r="AK4" i="14" s="1"/>
  <c r="AK20" i="14" s="1"/>
  <c r="AG31" i="15"/>
  <c r="AG35" i="15" s="1"/>
  <c r="AG49" i="15" s="1"/>
  <c r="AB16" i="9"/>
  <c r="AB90" i="9"/>
  <c r="AB80" i="9"/>
  <c r="AM4" i="14" s="1"/>
  <c r="AM20" i="14" s="1"/>
  <c r="W89" i="9"/>
  <c r="AB30" i="15"/>
  <c r="AB34" i="15" s="1"/>
  <c r="W15" i="9"/>
  <c r="W79" i="9"/>
  <c r="AI13" i="9"/>
  <c r="AB31" i="15"/>
  <c r="AB35" i="15" s="1"/>
  <c r="W16" i="9"/>
  <c r="W90" i="9"/>
  <c r="W80" i="9"/>
  <c r="AH4" i="14" s="1"/>
  <c r="AH20" i="14" s="1"/>
  <c r="AG30" i="15"/>
  <c r="AG34" i="15" s="1"/>
  <c r="AG48" i="15" s="1"/>
  <c r="AB15" i="9"/>
  <c r="AB89" i="9"/>
  <c r="AB79" i="9"/>
  <c r="AM3" i="14" s="1"/>
  <c r="AM19" i="14" s="1"/>
  <c r="T14" i="20"/>
  <c r="BG10" i="19"/>
  <c r="W14" i="20"/>
  <c r="BJ10" i="19"/>
  <c r="V10" i="20"/>
  <c r="S14" i="20"/>
  <c r="BF10" i="19"/>
  <c r="W10" i="20"/>
  <c r="S7" i="20"/>
  <c r="BF7" i="19"/>
  <c r="R12" i="20"/>
  <c r="T12" i="20"/>
  <c r="BE10" i="19"/>
  <c r="U12" i="20"/>
  <c r="U10" i="20" s="1"/>
  <c r="AA7" i="20"/>
  <c r="BN7" i="19"/>
  <c r="Z7" i="20"/>
  <c r="BM7" i="19"/>
  <c r="T8" i="20"/>
  <c r="BG8" i="19"/>
  <c r="AC7" i="20"/>
  <c r="BP7" i="19"/>
  <c r="S12" i="20"/>
  <c r="R14" i="20"/>
  <c r="BE7" i="19"/>
  <c r="U7" i="20"/>
  <c r="BH7" i="19"/>
  <c r="X7" i="20"/>
  <c r="BK7" i="19"/>
  <c r="AB7" i="20"/>
  <c r="BO7" i="19"/>
  <c r="Y7" i="20"/>
  <c r="BL7" i="19"/>
  <c r="AC10" i="21"/>
  <c r="AD10" i="21"/>
  <c r="AA10" i="21"/>
  <c r="V9" i="19"/>
  <c r="V10" i="21"/>
  <c r="V10" i="19"/>
  <c r="W11" i="21"/>
  <c r="R7" i="20"/>
  <c r="AF9" i="19"/>
  <c r="AE9" i="19"/>
  <c r="U10" i="21"/>
  <c r="AF14" i="21"/>
  <c r="Y10" i="19"/>
  <c r="Y11" i="21"/>
  <c r="V11" i="21"/>
  <c r="AH13" i="19"/>
  <c r="Z10" i="19"/>
  <c r="Z10" i="21"/>
  <c r="AA10" i="19"/>
  <c r="U11" i="21"/>
  <c r="X10" i="19"/>
  <c r="W10" i="19"/>
  <c r="AB9" i="19"/>
  <c r="X11" i="21"/>
  <c r="AB10" i="21"/>
  <c r="AD9" i="19"/>
  <c r="AH11" i="19"/>
  <c r="T10" i="21"/>
  <c r="AF12" i="21"/>
  <c r="AI38" i="9"/>
  <c r="AI97" i="9"/>
  <c r="AH7" i="19"/>
  <c r="AI11" i="9"/>
  <c r="AI72" i="9"/>
  <c r="AI12" i="9"/>
  <c r="AI44" i="9"/>
  <c r="AB48" i="15" l="1"/>
  <c r="AN34" i="15"/>
  <c r="AB49" i="15"/>
  <c r="AK11" i="19"/>
  <c r="AM11" i="19"/>
  <c r="AK13" i="19"/>
  <c r="AM13" i="19"/>
  <c r="AK7" i="19"/>
  <c r="AM7" i="19"/>
  <c r="W17" i="9"/>
  <c r="AI15" i="9"/>
  <c r="AL70" i="9" s="1"/>
  <c r="W81" i="9"/>
  <c r="W95" i="9"/>
  <c r="AG17" i="9"/>
  <c r="AG95" i="9"/>
  <c r="AG81" i="9"/>
  <c r="AR5" i="14" s="1"/>
  <c r="U7" i="21"/>
  <c r="U5" i="21" s="1"/>
  <c r="U17" i="21" s="1"/>
  <c r="W6" i="19"/>
  <c r="W4" i="19" s="1"/>
  <c r="W16" i="19" s="1"/>
  <c r="AA6" i="21"/>
  <c r="AA4" i="21" s="1"/>
  <c r="AA16" i="21" s="1"/>
  <c r="AC5" i="19"/>
  <c r="AC3" i="19" s="1"/>
  <c r="AC15" i="19" s="1"/>
  <c r="Y18" i="9"/>
  <c r="Y75" i="9" s="1"/>
  <c r="Y82" i="9"/>
  <c r="AJ6" i="14" s="1"/>
  <c r="Y96" i="9"/>
  <c r="AE6" i="21"/>
  <c r="AE4" i="21" s="1"/>
  <c r="AE16" i="21" s="1"/>
  <c r="AG5" i="19"/>
  <c r="AG3" i="19" s="1"/>
  <c r="AG15" i="19" s="1"/>
  <c r="Y7" i="21"/>
  <c r="Y5" i="21" s="1"/>
  <c r="Y17" i="21" s="1"/>
  <c r="AA6" i="19"/>
  <c r="AA4" i="19" s="1"/>
  <c r="AA16" i="19" s="1"/>
  <c r="V6" i="21"/>
  <c r="V4" i="21" s="1"/>
  <c r="V16" i="21" s="1"/>
  <c r="X5" i="19"/>
  <c r="X3" i="19" s="1"/>
  <c r="X15" i="19" s="1"/>
  <c r="AC6" i="21"/>
  <c r="AC4" i="21" s="1"/>
  <c r="AC16" i="21" s="1"/>
  <c r="AE5" i="19"/>
  <c r="AE3" i="19" s="1"/>
  <c r="AE15" i="19" s="1"/>
  <c r="Z18" i="9"/>
  <c r="Z82" i="9"/>
  <c r="AK6" i="14" s="1"/>
  <c r="Z96" i="9"/>
  <c r="AD17" i="9"/>
  <c r="AD95" i="9"/>
  <c r="AD81" i="9"/>
  <c r="AO5" i="14" s="1"/>
  <c r="AH17" i="9"/>
  <c r="AH81" i="9"/>
  <c r="AS5" i="14" s="1"/>
  <c r="AH95" i="9"/>
  <c r="W18" i="9"/>
  <c r="W82" i="9"/>
  <c r="AH6" i="14" s="1"/>
  <c r="W96" i="9"/>
  <c r="X7" i="21"/>
  <c r="X5" i="21" s="1"/>
  <c r="X17" i="21" s="1"/>
  <c r="Z6" i="19"/>
  <c r="Z4" i="19" s="1"/>
  <c r="Z16" i="19" s="1"/>
  <c r="U6" i="21"/>
  <c r="U4" i="21" s="1"/>
  <c r="U16" i="21" s="1"/>
  <c r="W5" i="19"/>
  <c r="W3" i="19" s="1"/>
  <c r="W15" i="19" s="1"/>
  <c r="Z17" i="9"/>
  <c r="Z81" i="9"/>
  <c r="AK5" i="14" s="1"/>
  <c r="Z95" i="9"/>
  <c r="X6" i="21"/>
  <c r="X4" i="21" s="1"/>
  <c r="X16" i="21" s="1"/>
  <c r="Z5" i="19"/>
  <c r="Z3" i="19" s="1"/>
  <c r="Z15" i="19" s="1"/>
  <c r="AD6" i="21"/>
  <c r="AD4" i="21" s="1"/>
  <c r="AD16" i="21" s="1"/>
  <c r="AF5" i="19"/>
  <c r="AF3" i="19" s="1"/>
  <c r="AF15" i="19" s="1"/>
  <c r="Y17" i="9"/>
  <c r="Y74" i="9" s="1"/>
  <c r="Y95" i="9"/>
  <c r="Y81" i="9"/>
  <c r="AJ5" i="14" s="1"/>
  <c r="AA18" i="9"/>
  <c r="AA82" i="9"/>
  <c r="AL6" i="14" s="1"/>
  <c r="AA96" i="9"/>
  <c r="AH3" i="14"/>
  <c r="AH19" i="14" s="1"/>
  <c r="AT19" i="14" s="1"/>
  <c r="AI79" i="9"/>
  <c r="T6" i="21"/>
  <c r="AI89" i="9"/>
  <c r="V5" i="19"/>
  <c r="V7" i="21"/>
  <c r="V5" i="21" s="1"/>
  <c r="V17" i="21" s="1"/>
  <c r="X6" i="19"/>
  <c r="X4" i="19" s="1"/>
  <c r="X16" i="19" s="1"/>
  <c r="AB18" i="9"/>
  <c r="AB82" i="9"/>
  <c r="AM6" i="14" s="1"/>
  <c r="AB96" i="9"/>
  <c r="W6" i="21"/>
  <c r="W4" i="21" s="1"/>
  <c r="W16" i="21" s="1"/>
  <c r="Y5" i="19"/>
  <c r="Y3" i="19" s="1"/>
  <c r="Y15" i="19" s="1"/>
  <c r="Y6" i="21"/>
  <c r="Y4" i="21" s="1"/>
  <c r="Y16" i="21" s="1"/>
  <c r="AA5" i="19"/>
  <c r="AA3" i="19" s="1"/>
  <c r="AA15" i="19" s="1"/>
  <c r="X17" i="9"/>
  <c r="X95" i="9"/>
  <c r="X81" i="9"/>
  <c r="AI5" i="14" s="1"/>
  <c r="Z6" i="21"/>
  <c r="Z4" i="21" s="1"/>
  <c r="Z16" i="21" s="1"/>
  <c r="AB5" i="19"/>
  <c r="AB3" i="19" s="1"/>
  <c r="AB15" i="19" s="1"/>
  <c r="AB6" i="21"/>
  <c r="AB4" i="21" s="1"/>
  <c r="AB16" i="21" s="1"/>
  <c r="AD5" i="19"/>
  <c r="AD3" i="19" s="1"/>
  <c r="AD15" i="19" s="1"/>
  <c r="AA17" i="9"/>
  <c r="AA81" i="9"/>
  <c r="AL5" i="14" s="1"/>
  <c r="AA95" i="9"/>
  <c r="X18" i="9"/>
  <c r="X82" i="9"/>
  <c r="AI6" i="14" s="1"/>
  <c r="X96" i="9"/>
  <c r="AF17" i="9"/>
  <c r="AF95" i="9"/>
  <c r="AF81" i="9"/>
  <c r="AQ5" i="14" s="1"/>
  <c r="T7" i="21"/>
  <c r="T5" i="21" s="1"/>
  <c r="T17" i="21" s="1"/>
  <c r="V6" i="19"/>
  <c r="V4" i="19" s="1"/>
  <c r="V16" i="19" s="1"/>
  <c r="AB17" i="9"/>
  <c r="AB95" i="9"/>
  <c r="AB81" i="9"/>
  <c r="AM5" i="14" s="1"/>
  <c r="W7" i="21"/>
  <c r="W5" i="21" s="1"/>
  <c r="W17" i="21" s="1"/>
  <c r="Y6" i="19"/>
  <c r="Y4" i="19" s="1"/>
  <c r="Y16" i="19" s="1"/>
  <c r="AC17" i="9"/>
  <c r="AC95" i="9"/>
  <c r="AC81" i="9"/>
  <c r="AN5" i="14" s="1"/>
  <c r="AE17" i="9"/>
  <c r="AE81" i="9"/>
  <c r="AP5" i="14" s="1"/>
  <c r="AE95" i="9"/>
  <c r="S10" i="20"/>
  <c r="T10" i="20"/>
  <c r="BQ7" i="19"/>
  <c r="R10" i="20"/>
  <c r="AD7" i="20"/>
  <c r="AH9" i="19"/>
  <c r="AK9" i="19" s="1"/>
  <c r="AF10" i="21"/>
  <c r="Z83" i="9" l="1"/>
  <c r="Z74" i="9"/>
  <c r="Z75" i="9"/>
  <c r="Z84" i="9"/>
  <c r="BO5" i="19"/>
  <c r="BO3" i="19" s="1"/>
  <c r="AB5" i="20"/>
  <c r="AB3" i="20" s="1"/>
  <c r="AG99" i="9"/>
  <c r="BI5" i="19"/>
  <c r="BI3" i="19" s="1"/>
  <c r="AA99" i="9"/>
  <c r="V5" i="20"/>
  <c r="V3" i="20" s="1"/>
  <c r="BP5" i="19"/>
  <c r="BP3" i="19" s="1"/>
  <c r="AH99" i="9"/>
  <c r="AC5" i="20"/>
  <c r="AC3" i="20" s="1"/>
  <c r="BG6" i="19"/>
  <c r="BG4" i="19" s="1"/>
  <c r="BG16" i="19" s="1"/>
  <c r="T6" i="20"/>
  <c r="T4" i="20" s="1"/>
  <c r="T16" i="20" s="1"/>
  <c r="Y100" i="9"/>
  <c r="AG83" i="9"/>
  <c r="AG74" i="9"/>
  <c r="AF83" i="9"/>
  <c r="AF74" i="9"/>
  <c r="BF5" i="19"/>
  <c r="BF3" i="19" s="1"/>
  <c r="X99" i="9"/>
  <c r="S5" i="20"/>
  <c r="S3" i="20" s="1"/>
  <c r="V6" i="20"/>
  <c r="V4" i="20" s="1"/>
  <c r="V16" i="20" s="1"/>
  <c r="BI6" i="19"/>
  <c r="BI4" i="19" s="1"/>
  <c r="BI16" i="19" s="1"/>
  <c r="AA100" i="9"/>
  <c r="BJ5" i="19"/>
  <c r="BJ3" i="19" s="1"/>
  <c r="AB99" i="9"/>
  <c r="W5" i="20"/>
  <c r="W3" i="20" s="1"/>
  <c r="AB74" i="9"/>
  <c r="AB83" i="9"/>
  <c r="AA75" i="9"/>
  <c r="AA84" i="9"/>
  <c r="AH5" i="19"/>
  <c r="V3" i="19"/>
  <c r="Y83" i="9"/>
  <c r="AH5" i="14"/>
  <c r="AI81" i="9"/>
  <c r="BF6" i="19"/>
  <c r="BF4" i="19" s="1"/>
  <c r="BF16" i="19" s="1"/>
  <c r="X100" i="9"/>
  <c r="S6" i="20"/>
  <c r="S4" i="20" s="1"/>
  <c r="S16" i="20" s="1"/>
  <c r="BJ6" i="19"/>
  <c r="BJ4" i="19" s="1"/>
  <c r="BJ16" i="19" s="1"/>
  <c r="AB100" i="9"/>
  <c r="W6" i="20"/>
  <c r="W4" i="20" s="1"/>
  <c r="W16" i="20" s="1"/>
  <c r="BH6" i="19"/>
  <c r="BH4" i="19" s="1"/>
  <c r="BH16" i="19" s="1"/>
  <c r="U6" i="20"/>
  <c r="U4" i="20" s="1"/>
  <c r="U16" i="20" s="1"/>
  <c r="Z100" i="9"/>
  <c r="AB75" i="9"/>
  <c r="AB84" i="9"/>
  <c r="AA83" i="9"/>
  <c r="AA74" i="9"/>
  <c r="BG5" i="19"/>
  <c r="BG3" i="19" s="1"/>
  <c r="Y99" i="9"/>
  <c r="T5" i="20"/>
  <c r="T3" i="20" s="1"/>
  <c r="AH74" i="9"/>
  <c r="AH83" i="9"/>
  <c r="BE5" i="19"/>
  <c r="W99" i="9"/>
  <c r="R5" i="20"/>
  <c r="AI95" i="9"/>
  <c r="AE83" i="9"/>
  <c r="AE74" i="9"/>
  <c r="BL5" i="19"/>
  <c r="BL3" i="19" s="1"/>
  <c r="Y5" i="20"/>
  <c r="Y3" i="20" s="1"/>
  <c r="AD99" i="9"/>
  <c r="X83" i="9"/>
  <c r="X74" i="9"/>
  <c r="BE6" i="19"/>
  <c r="BE4" i="19" s="1"/>
  <c r="BE16" i="19" s="1"/>
  <c r="W100" i="9"/>
  <c r="R6" i="20"/>
  <c r="R4" i="20" s="1"/>
  <c r="R16" i="20" s="1"/>
  <c r="T4" i="21"/>
  <c r="AF6" i="21"/>
  <c r="AD74" i="9"/>
  <c r="AD83" i="9"/>
  <c r="AI17" i="9"/>
  <c r="AI31" i="9" s="1"/>
  <c r="W74" i="9"/>
  <c r="W83" i="9"/>
  <c r="BH5" i="19"/>
  <c r="BH3" i="19" s="1"/>
  <c r="U5" i="20"/>
  <c r="U3" i="20" s="1"/>
  <c r="Z99" i="9"/>
  <c r="X84" i="9"/>
  <c r="X75" i="9"/>
  <c r="BM5" i="19"/>
  <c r="BM3" i="19" s="1"/>
  <c r="Z5" i="20"/>
  <c r="Z3" i="20" s="1"/>
  <c r="AE99" i="9"/>
  <c r="Y84" i="9"/>
  <c r="BK5" i="19"/>
  <c r="BK3" i="19" s="1"/>
  <c r="AC99" i="9"/>
  <c r="X5" i="20"/>
  <c r="X3" i="20" s="1"/>
  <c r="AC83" i="9"/>
  <c r="AC74" i="9"/>
  <c r="BN5" i="19"/>
  <c r="BN3" i="19" s="1"/>
  <c r="AF99" i="9"/>
  <c r="AA5" i="20"/>
  <c r="AA3" i="20" s="1"/>
  <c r="W75" i="9"/>
  <c r="W84" i="9"/>
  <c r="AA85" i="9" l="1"/>
  <c r="Y85" i="9"/>
  <c r="AB85" i="9"/>
  <c r="X76" i="9"/>
  <c r="AB76" i="9"/>
  <c r="AK5" i="19"/>
  <c r="AM5" i="19"/>
  <c r="Z76" i="9"/>
  <c r="V15" i="19"/>
  <c r="AH15" i="19" s="1"/>
  <c r="AK15" i="19" s="1"/>
  <c r="AH3" i="19"/>
  <c r="AK3" i="19" s="1"/>
  <c r="BQ5" i="19"/>
  <c r="BE3" i="19"/>
  <c r="BQ3" i="19" s="1"/>
  <c r="AA76" i="9"/>
  <c r="R3" i="20"/>
  <c r="AD3" i="20" s="1"/>
  <c r="AD5" i="20"/>
  <c r="X85" i="9"/>
  <c r="AI74" i="9"/>
  <c r="W76" i="9"/>
  <c r="AF4" i="21"/>
  <c r="T16" i="21"/>
  <c r="AF16" i="21" s="1"/>
  <c r="AI99" i="9"/>
  <c r="W85" i="9"/>
  <c r="AI83" i="9"/>
  <c r="Y76" i="9"/>
  <c r="Z85" i="9"/>
  <c r="N9" i="15"/>
  <c r="O9" i="15"/>
  <c r="P9" i="15"/>
  <c r="K9" i="15"/>
  <c r="F180" i="15"/>
  <c r="G180" i="15"/>
  <c r="H180" i="15"/>
  <c r="I180" i="15"/>
  <c r="J180" i="15"/>
  <c r="K180" i="15"/>
  <c r="L180" i="15"/>
  <c r="M180" i="15"/>
  <c r="N180" i="15"/>
  <c r="O180" i="15"/>
  <c r="P180" i="15"/>
  <c r="F181" i="15"/>
  <c r="G181" i="15"/>
  <c r="H181" i="15"/>
  <c r="I181" i="15"/>
  <c r="J181" i="15"/>
  <c r="K181" i="15"/>
  <c r="M181" i="15"/>
  <c r="E181" i="15"/>
  <c r="E180" i="15"/>
  <c r="F172" i="15"/>
  <c r="G172" i="15"/>
  <c r="H172" i="15"/>
  <c r="I172" i="15"/>
  <c r="J172" i="15"/>
  <c r="K172" i="15"/>
  <c r="L172" i="15"/>
  <c r="M172" i="15"/>
  <c r="N172" i="15"/>
  <c r="O172" i="15"/>
  <c r="P172" i="15"/>
  <c r="F173" i="15"/>
  <c r="G173" i="15"/>
  <c r="H173" i="15"/>
  <c r="I173" i="15"/>
  <c r="J173" i="15"/>
  <c r="E173" i="15"/>
  <c r="E172" i="15"/>
  <c r="F164" i="15"/>
  <c r="G164" i="15"/>
  <c r="H164" i="15"/>
  <c r="I164" i="15"/>
  <c r="J164" i="15"/>
  <c r="K164" i="15"/>
  <c r="L164" i="15"/>
  <c r="M164" i="15"/>
  <c r="N164" i="15"/>
  <c r="O164" i="15"/>
  <c r="P164" i="15"/>
  <c r="F165" i="15"/>
  <c r="G165" i="15"/>
  <c r="H165" i="15"/>
  <c r="I165" i="15"/>
  <c r="J165" i="15"/>
  <c r="E165" i="15"/>
  <c r="E164" i="15"/>
  <c r="F142" i="15"/>
  <c r="G142" i="15"/>
  <c r="H142" i="15"/>
  <c r="I142" i="15"/>
  <c r="J142" i="15"/>
  <c r="K142" i="15"/>
  <c r="L142" i="15"/>
  <c r="M142" i="15"/>
  <c r="N142" i="15"/>
  <c r="O142" i="15"/>
  <c r="P142" i="15"/>
  <c r="F143" i="15"/>
  <c r="G143" i="15"/>
  <c r="H143" i="15"/>
  <c r="I143" i="15"/>
  <c r="J143" i="15"/>
  <c r="N143" i="15"/>
  <c r="O143" i="15"/>
  <c r="P143" i="15"/>
  <c r="E143" i="15"/>
  <c r="E142" i="15"/>
  <c r="F120" i="15"/>
  <c r="G120" i="15"/>
  <c r="H120" i="15"/>
  <c r="I120" i="15"/>
  <c r="J120" i="15"/>
  <c r="K120" i="15"/>
  <c r="L120" i="15"/>
  <c r="M120" i="15"/>
  <c r="N120" i="15"/>
  <c r="O120" i="15"/>
  <c r="P120" i="15"/>
  <c r="F121" i="15"/>
  <c r="G121" i="15"/>
  <c r="H121" i="15"/>
  <c r="I121" i="15"/>
  <c r="J121" i="15"/>
  <c r="O121" i="15"/>
  <c r="E121" i="15"/>
  <c r="E120" i="15"/>
  <c r="F98" i="15"/>
  <c r="G98" i="15"/>
  <c r="H98" i="15"/>
  <c r="I98" i="15"/>
  <c r="J98" i="15"/>
  <c r="K98" i="15"/>
  <c r="L98" i="15"/>
  <c r="M98" i="15"/>
  <c r="N98" i="15"/>
  <c r="O98" i="15"/>
  <c r="P98" i="15"/>
  <c r="F99" i="15"/>
  <c r="G99" i="15"/>
  <c r="H99" i="15"/>
  <c r="I99" i="15"/>
  <c r="J99" i="15"/>
  <c r="E99" i="15"/>
  <c r="E98" i="15"/>
  <c r="F52" i="15"/>
  <c r="G52" i="15"/>
  <c r="H52" i="15"/>
  <c r="I52" i="15"/>
  <c r="J52" i="15"/>
  <c r="K52" i="15"/>
  <c r="L52" i="15"/>
  <c r="M52" i="15"/>
  <c r="N52" i="15"/>
  <c r="O52" i="15"/>
  <c r="P52" i="15"/>
  <c r="F53" i="15"/>
  <c r="G53" i="15"/>
  <c r="H53" i="15"/>
  <c r="I53" i="15"/>
  <c r="J53" i="15"/>
  <c r="E53" i="15"/>
  <c r="E52" i="15"/>
  <c r="F30" i="15"/>
  <c r="G30" i="15"/>
  <c r="H30" i="15"/>
  <c r="I30" i="15"/>
  <c r="J30" i="15"/>
  <c r="K30" i="15"/>
  <c r="L30" i="15"/>
  <c r="M30" i="15"/>
  <c r="N30" i="15"/>
  <c r="O30" i="15"/>
  <c r="P30" i="15"/>
  <c r="F31" i="15"/>
  <c r="G31" i="15"/>
  <c r="H31" i="15"/>
  <c r="I31" i="15"/>
  <c r="J31" i="15"/>
  <c r="E31" i="15"/>
  <c r="E30" i="15"/>
  <c r="F8" i="15"/>
  <c r="G8" i="15"/>
  <c r="H8" i="15"/>
  <c r="I8" i="15"/>
  <c r="J8" i="15"/>
  <c r="K8" i="15"/>
  <c r="L8" i="15"/>
  <c r="M8" i="15"/>
  <c r="N8" i="15"/>
  <c r="O8" i="15"/>
  <c r="P8" i="15"/>
  <c r="F9" i="15"/>
  <c r="G9" i="15"/>
  <c r="H9" i="15"/>
  <c r="I9" i="15"/>
  <c r="L9" i="15"/>
  <c r="M9" i="15"/>
  <c r="E9" i="15"/>
  <c r="E17" i="15" s="1"/>
  <c r="E8" i="15"/>
  <c r="I200" i="15" l="1"/>
  <c r="W8" i="14" s="1"/>
  <c r="BF34" i="19"/>
  <c r="Y15" i="14"/>
  <c r="Z15" i="14"/>
  <c r="AC15" i="14"/>
  <c r="AB15" i="14"/>
  <c r="AD15" i="14"/>
  <c r="AA15" i="14"/>
  <c r="P199" i="15"/>
  <c r="AD7" i="14" s="1"/>
  <c r="N199" i="15"/>
  <c r="AB7" i="14" s="1"/>
  <c r="L199" i="15"/>
  <c r="Z7" i="14" s="1"/>
  <c r="K199" i="15"/>
  <c r="Y7" i="14" s="1"/>
  <c r="M199" i="15"/>
  <c r="AA7" i="14" s="1"/>
  <c r="X15" i="14"/>
  <c r="H199" i="15"/>
  <c r="V7" i="14" s="1"/>
  <c r="G199" i="15"/>
  <c r="U7" i="14" s="1"/>
  <c r="I199" i="15"/>
  <c r="W7" i="14" s="1"/>
  <c r="G200" i="15"/>
  <c r="F199" i="15"/>
  <c r="T7" i="14" s="1"/>
  <c r="F200" i="15"/>
  <c r="T8" i="14" s="1"/>
  <c r="E199" i="15"/>
  <c r="J199" i="15"/>
  <c r="X7" i="14" s="1"/>
  <c r="BI34" i="19"/>
  <c r="BH34" i="19"/>
  <c r="BG34" i="19"/>
  <c r="O199" i="15"/>
  <c r="AC7" i="14" s="1"/>
  <c r="X16" i="14"/>
  <c r="V15" i="14"/>
  <c r="V16" i="14"/>
  <c r="T15" i="14"/>
  <c r="BJ34" i="19"/>
  <c r="E200" i="15"/>
  <c r="S8" i="14" s="1"/>
  <c r="W15" i="14"/>
  <c r="U15" i="14"/>
  <c r="U16" i="14"/>
  <c r="T16" i="14"/>
  <c r="BE31" i="19"/>
  <c r="H200" i="15"/>
  <c r="AL199" i="15"/>
  <c r="AR7" i="14" s="1"/>
  <c r="AD199" i="15"/>
  <c r="AJ7" i="14" s="1"/>
  <c r="AK199" i="15"/>
  <c r="AQ7" i="14" s="1"/>
  <c r="AC199" i="15"/>
  <c r="AI7" i="14" s="1"/>
  <c r="AJ199" i="15"/>
  <c r="AP7" i="14" s="1"/>
  <c r="AE199" i="15"/>
  <c r="AK7" i="14" s="1"/>
  <c r="AB200" i="15"/>
  <c r="AH8" i="14" s="1"/>
  <c r="AF200" i="15"/>
  <c r="AL8" i="14" s="1"/>
  <c r="AI199" i="15"/>
  <c r="AO7" i="14" s="1"/>
  <c r="AM199" i="15"/>
  <c r="AS7" i="14" s="1"/>
  <c r="AH199" i="15"/>
  <c r="AN7" i="14" s="1"/>
  <c r="AB199" i="15"/>
  <c r="AH7" i="14" s="1"/>
  <c r="AD200" i="15"/>
  <c r="AJ8" i="14" s="1"/>
  <c r="U8" i="14"/>
  <c r="AG199" i="15"/>
  <c r="AM7" i="14" s="1"/>
  <c r="AC200" i="15"/>
  <c r="AI8" i="14" s="1"/>
  <c r="AF199" i="15"/>
  <c r="AL7" i="14" s="1"/>
  <c r="AE200" i="15"/>
  <c r="AK8" i="14" s="1"/>
  <c r="BO31" i="19"/>
  <c r="BG31" i="19"/>
  <c r="BJ32" i="19"/>
  <c r="BM31" i="19"/>
  <c r="BH31" i="19"/>
  <c r="BN31" i="19"/>
  <c r="BI32" i="19"/>
  <c r="W16" i="14"/>
  <c r="BL31" i="19"/>
  <c r="BP31" i="19"/>
  <c r="BH32" i="19"/>
  <c r="BK31" i="19"/>
  <c r="BG32" i="19"/>
  <c r="BJ31" i="19"/>
  <c r="BF31" i="19"/>
  <c r="BF32" i="19"/>
  <c r="BI31" i="19"/>
  <c r="AR15" i="14"/>
  <c r="O8" i="9"/>
  <c r="J9" i="15"/>
  <c r="J200" i="15" s="1"/>
  <c r="S33" i="20" l="1"/>
  <c r="BF30" i="19"/>
  <c r="V33" i="20"/>
  <c r="BI30" i="19"/>
  <c r="T23" i="14"/>
  <c r="BJ30" i="19"/>
  <c r="BN33" i="19"/>
  <c r="BN29" i="19" s="1"/>
  <c r="BF33" i="19"/>
  <c r="BF29" i="19" s="1"/>
  <c r="T33" i="20"/>
  <c r="BG30" i="19"/>
  <c r="BK33" i="19"/>
  <c r="BK29" i="19" s="1"/>
  <c r="BH30" i="19"/>
  <c r="R30" i="20"/>
  <c r="BI33" i="19"/>
  <c r="BI29" i="19" s="1"/>
  <c r="BG33" i="19"/>
  <c r="BG29" i="19" s="1"/>
  <c r="BE32" i="19"/>
  <c r="AH18" i="14"/>
  <c r="BM33" i="19"/>
  <c r="BM29" i="19" s="1"/>
  <c r="BO33" i="19"/>
  <c r="BO29" i="19" s="1"/>
  <c r="BL33" i="19"/>
  <c r="BL29" i="19" s="1"/>
  <c r="BQ31" i="19"/>
  <c r="BH33" i="19"/>
  <c r="BH29" i="19" s="1"/>
  <c r="W33" i="20"/>
  <c r="BJ33" i="19"/>
  <c r="BJ29" i="19" s="1"/>
  <c r="BP33" i="19"/>
  <c r="BP29" i="19" s="1"/>
  <c r="U33" i="20"/>
  <c r="X30" i="20"/>
  <c r="AN17" i="14"/>
  <c r="T30" i="20"/>
  <c r="AJ17" i="14"/>
  <c r="Y30" i="20"/>
  <c r="AO17" i="14"/>
  <c r="Z30" i="20"/>
  <c r="AP17" i="14"/>
  <c r="AB30" i="20"/>
  <c r="AR17" i="14"/>
  <c r="S30" i="20"/>
  <c r="AI17" i="14"/>
  <c r="V31" i="20"/>
  <c r="AL18" i="14"/>
  <c r="S31" i="20"/>
  <c r="AI18" i="14"/>
  <c r="T31" i="20"/>
  <c r="AJ18" i="14"/>
  <c r="W30" i="20"/>
  <c r="AM17" i="14"/>
  <c r="AA30" i="20"/>
  <c r="AQ17" i="14"/>
  <c r="W31" i="20"/>
  <c r="AM18" i="14"/>
  <c r="U31" i="20"/>
  <c r="AK18" i="14"/>
  <c r="AC30" i="20"/>
  <c r="V30" i="20"/>
  <c r="AL17" i="14"/>
  <c r="U30" i="20"/>
  <c r="AK17" i="14"/>
  <c r="W23" i="14"/>
  <c r="AC23" i="14"/>
  <c r="Y23" i="14"/>
  <c r="U23" i="14"/>
  <c r="X23" i="14"/>
  <c r="AA23" i="14"/>
  <c r="Z23" i="14"/>
  <c r="AR23" i="14"/>
  <c r="V23" i="14"/>
  <c r="AG200" i="15"/>
  <c r="AM8" i="14" s="1"/>
  <c r="X8" i="14"/>
  <c r="Q199" i="15"/>
  <c r="S7" i="14"/>
  <c r="AE7" i="14" s="1"/>
  <c r="AD23" i="14"/>
  <c r="AB23" i="14"/>
  <c r="V8" i="14"/>
  <c r="AL15" i="14"/>
  <c r="AL23" i="14" s="1"/>
  <c r="AM15" i="14"/>
  <c r="AM23" i="14" s="1"/>
  <c r="AK15" i="14"/>
  <c r="AK23" i="14" s="1"/>
  <c r="AH16" i="14"/>
  <c r="AJ15" i="14"/>
  <c r="AJ23" i="14" s="1"/>
  <c r="AN15" i="14"/>
  <c r="AN23" i="14" s="1"/>
  <c r="AI15" i="14"/>
  <c r="AI23" i="14" s="1"/>
  <c r="AH15" i="14"/>
  <c r="AH23" i="14" s="1"/>
  <c r="AO15" i="14"/>
  <c r="AO23" i="14" s="1"/>
  <c r="AS15" i="14"/>
  <c r="AS23" i="14" s="1"/>
  <c r="AQ15" i="14"/>
  <c r="AQ23" i="14" s="1"/>
  <c r="AJ16" i="14"/>
  <c r="AK16" i="14"/>
  <c r="AL16" i="14"/>
  <c r="AI16" i="14"/>
  <c r="S16" i="14"/>
  <c r="S15" i="14"/>
  <c r="AN199" i="15"/>
  <c r="AM16" i="14"/>
  <c r="E2" i="15"/>
  <c r="S29" i="20" l="1"/>
  <c r="AA32" i="20"/>
  <c r="AA28" i="20" s="1"/>
  <c r="V29" i="20"/>
  <c r="W29" i="20"/>
  <c r="Y32" i="20"/>
  <c r="Y28" i="20" s="1"/>
  <c r="X32" i="20"/>
  <c r="X28" i="20" s="1"/>
  <c r="AC32" i="20"/>
  <c r="AC28" i="20" s="1"/>
  <c r="U29" i="20"/>
  <c r="T29" i="20"/>
  <c r="T32" i="20"/>
  <c r="T28" i="20" s="1"/>
  <c r="W32" i="20"/>
  <c r="W28" i="20" s="1"/>
  <c r="V32" i="20"/>
  <c r="V28" i="20" s="1"/>
  <c r="AB32" i="20"/>
  <c r="AB28" i="20" s="1"/>
  <c r="BE33" i="19"/>
  <c r="R32" i="20"/>
  <c r="R28" i="20" s="1"/>
  <c r="Z32" i="20"/>
  <c r="Z28" i="20" s="1"/>
  <c r="U32" i="20"/>
  <c r="U28" i="20" s="1"/>
  <c r="BE34" i="19"/>
  <c r="R33" i="20"/>
  <c r="R31" i="20"/>
  <c r="AD30" i="20"/>
  <c r="G92" i="15"/>
  <c r="O92" i="15"/>
  <c r="N92" i="15"/>
  <c r="E92" i="15"/>
  <c r="H92" i="15"/>
  <c r="P92" i="15"/>
  <c r="I92" i="15"/>
  <c r="F93" i="15"/>
  <c r="J92" i="15"/>
  <c r="G93" i="15"/>
  <c r="M92" i="15"/>
  <c r="K92" i="15"/>
  <c r="H93" i="15"/>
  <c r="J93" i="15"/>
  <c r="L92" i="15"/>
  <c r="I93" i="15"/>
  <c r="E93" i="15"/>
  <c r="F92" i="15"/>
  <c r="AJ90" i="15"/>
  <c r="AD90" i="15"/>
  <c r="AI91" i="15"/>
  <c r="AD91" i="15"/>
  <c r="AB90" i="15"/>
  <c r="AM90" i="15"/>
  <c r="AH90" i="15"/>
  <c r="AF91" i="15"/>
  <c r="AC90" i="15"/>
  <c r="AL90" i="15"/>
  <c r="AL91" i="15"/>
  <c r="AK90" i="15"/>
  <c r="AH91" i="15"/>
  <c r="AE91" i="15"/>
  <c r="AG91" i="15"/>
  <c r="AF90" i="15"/>
  <c r="AI90" i="15"/>
  <c r="AB91" i="15"/>
  <c r="AG90" i="15"/>
  <c r="AM91" i="15"/>
  <c r="AJ91" i="15"/>
  <c r="AC91" i="15"/>
  <c r="AE90" i="15"/>
  <c r="AK91" i="15"/>
  <c r="S32" i="20"/>
  <c r="AS17" i="14"/>
  <c r="AH17" i="14"/>
  <c r="AP15" i="14"/>
  <c r="AP23" i="14" s="1"/>
  <c r="AT23" i="14" s="1"/>
  <c r="S23" i="14"/>
  <c r="AE23" i="14" s="1"/>
  <c r="AE15" i="14"/>
  <c r="P11" i="18"/>
  <c r="N7" i="18"/>
  <c r="N8" i="18"/>
  <c r="J7" i="18"/>
  <c r="O7" i="18" s="1"/>
  <c r="K7" i="18"/>
  <c r="L7" i="18" s="1"/>
  <c r="M7" i="18" s="1"/>
  <c r="R7" i="18" s="1"/>
  <c r="J8" i="18"/>
  <c r="K8" i="18" s="1"/>
  <c r="L8" i="18" s="1"/>
  <c r="M8" i="18" s="1"/>
  <c r="R8" i="18" s="1"/>
  <c r="I7" i="18"/>
  <c r="I8" i="18"/>
  <c r="I9" i="18"/>
  <c r="J9" i="18" s="1"/>
  <c r="O9" i="18" s="1"/>
  <c r="I10" i="18"/>
  <c r="J10" i="18" s="1"/>
  <c r="I11" i="18"/>
  <c r="J11" i="18" s="1"/>
  <c r="K11" i="18" s="1"/>
  <c r="L11" i="18" s="1"/>
  <c r="M11" i="18" s="1"/>
  <c r="R11" i="18" s="1"/>
  <c r="I12" i="18"/>
  <c r="I16" i="18" s="1"/>
  <c r="I13" i="18"/>
  <c r="I17" i="18" s="1"/>
  <c r="I6" i="18"/>
  <c r="N6" i="18" s="1"/>
  <c r="G26" i="18"/>
  <c r="F26" i="18"/>
  <c r="E26" i="18"/>
  <c r="H17" i="18"/>
  <c r="G17" i="18"/>
  <c r="F17" i="18"/>
  <c r="E17" i="18"/>
  <c r="AC16" i="18"/>
  <c r="AB16" i="18"/>
  <c r="AA16" i="18"/>
  <c r="Z16" i="18"/>
  <c r="Y16" i="18"/>
  <c r="X16" i="18"/>
  <c r="H16" i="18"/>
  <c r="G16" i="18"/>
  <c r="F16" i="18"/>
  <c r="E16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H15" i="18"/>
  <c r="G15" i="18"/>
  <c r="F15" i="18"/>
  <c r="E15" i="18"/>
  <c r="H14" i="18"/>
  <c r="G14" i="18"/>
  <c r="F14" i="18"/>
  <c r="E14" i="18"/>
  <c r="AC12" i="18"/>
  <c r="AB12" i="18"/>
  <c r="AA12" i="18"/>
  <c r="Z12" i="18"/>
  <c r="Y12" i="18"/>
  <c r="X12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AC8" i="18"/>
  <c r="AB8" i="18"/>
  <c r="AA8" i="18"/>
  <c r="Z8" i="18"/>
  <c r="Y8" i="18"/>
  <c r="X8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AC4" i="18"/>
  <c r="AB4" i="18"/>
  <c r="AA4" i="18"/>
  <c r="Z4" i="18"/>
  <c r="Y4" i="18"/>
  <c r="X4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R15" i="18" l="1"/>
  <c r="K10" i="18"/>
  <c r="O10" i="18"/>
  <c r="J6" i="18"/>
  <c r="O11" i="18"/>
  <c r="O15" i="18" s="1"/>
  <c r="N12" i="18"/>
  <c r="O8" i="18"/>
  <c r="I14" i="18"/>
  <c r="N13" i="18"/>
  <c r="N11" i="18"/>
  <c r="N15" i="18" s="1"/>
  <c r="Q11" i="18"/>
  <c r="BE29" i="19"/>
  <c r="BQ29" i="19" s="1"/>
  <c r="BQ33" i="19"/>
  <c r="R29" i="20"/>
  <c r="P8" i="18"/>
  <c r="J13" i="18"/>
  <c r="K13" i="18" s="1"/>
  <c r="P13" i="18" s="1"/>
  <c r="N10" i="18"/>
  <c r="N14" i="18" s="1"/>
  <c r="N16" i="18"/>
  <c r="Q8" i="18"/>
  <c r="Q7" i="18"/>
  <c r="Q15" i="18" s="1"/>
  <c r="P7" i="18"/>
  <c r="P15" i="18" s="1"/>
  <c r="N9" i="18"/>
  <c r="BE30" i="19"/>
  <c r="Q92" i="15"/>
  <c r="AD32" i="20"/>
  <c r="S28" i="20"/>
  <c r="AD28" i="20" s="1"/>
  <c r="K9" i="18"/>
  <c r="P9" i="18" s="1"/>
  <c r="J15" i="18"/>
  <c r="J12" i="18"/>
  <c r="O12" i="18" s="1"/>
  <c r="I15" i="18"/>
  <c r="AJ3" i="18"/>
  <c r="AJ15" i="18"/>
  <c r="AJ11" i="18"/>
  <c r="AJ7" i="18"/>
  <c r="J16" i="17"/>
  <c r="I16" i="17"/>
  <c r="H16" i="17"/>
  <c r="G16" i="17"/>
  <c r="F16" i="17"/>
  <c r="E16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J12" i="17"/>
  <c r="I12" i="17"/>
  <c r="H12" i="17"/>
  <c r="G12" i="17"/>
  <c r="F12" i="17"/>
  <c r="E12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J8" i="17"/>
  <c r="I8" i="17"/>
  <c r="H8" i="17"/>
  <c r="G8" i="17"/>
  <c r="F8" i="17"/>
  <c r="E8" i="17"/>
  <c r="P7" i="17"/>
  <c r="O7" i="17"/>
  <c r="N7" i="17"/>
  <c r="M7" i="17"/>
  <c r="L7" i="17"/>
  <c r="K7" i="17"/>
  <c r="J7" i="17"/>
  <c r="I7" i="17"/>
  <c r="H7" i="17"/>
  <c r="G7" i="17"/>
  <c r="F7" i="17"/>
  <c r="E7" i="17"/>
  <c r="J4" i="17"/>
  <c r="I4" i="17"/>
  <c r="H4" i="17"/>
  <c r="G4" i="17"/>
  <c r="F4" i="17"/>
  <c r="E4" i="17"/>
  <c r="P3" i="17"/>
  <c r="O3" i="17"/>
  <c r="N3" i="17"/>
  <c r="M3" i="17"/>
  <c r="L3" i="17"/>
  <c r="K3" i="17"/>
  <c r="J3" i="17"/>
  <c r="I3" i="17"/>
  <c r="H3" i="17"/>
  <c r="G3" i="17"/>
  <c r="F3" i="17"/>
  <c r="E3" i="17"/>
  <c r="N17" i="18" l="1"/>
  <c r="K6" i="18"/>
  <c r="O6" i="18"/>
  <c r="O14" i="18" s="1"/>
  <c r="P17" i="18"/>
  <c r="L10" i="18"/>
  <c r="P10" i="18"/>
  <c r="J17" i="18"/>
  <c r="O13" i="18"/>
  <c r="O17" i="18" s="1"/>
  <c r="P16" i="18"/>
  <c r="J14" i="18"/>
  <c r="O16" i="18"/>
  <c r="Q15" i="17"/>
  <c r="Q7" i="17"/>
  <c r="Q11" i="17"/>
  <c r="Q3" i="17"/>
  <c r="K12" i="18"/>
  <c r="P12" i="18" s="1"/>
  <c r="J16" i="18"/>
  <c r="K17" i="18"/>
  <c r="L13" i="18"/>
  <c r="Q13" i="18" s="1"/>
  <c r="L9" i="18"/>
  <c r="Q9" i="18" s="1"/>
  <c r="Q17" i="18" s="1"/>
  <c r="K15" i="18"/>
  <c r="AT15" i="14"/>
  <c r="AT7" i="14"/>
  <c r="M10" i="18" l="1"/>
  <c r="R10" i="18" s="1"/>
  <c r="Q10" i="18"/>
  <c r="L6" i="18"/>
  <c r="P6" i="18"/>
  <c r="P14" i="18" s="1"/>
  <c r="K14" i="18"/>
  <c r="M13" i="18"/>
  <c r="L17" i="18"/>
  <c r="M9" i="18"/>
  <c r="L15" i="18"/>
  <c r="L12" i="18"/>
  <c r="Q12" i="18" s="1"/>
  <c r="Q16" i="18" s="1"/>
  <c r="K16" i="18"/>
  <c r="AT3" i="14"/>
  <c r="AT11" i="14"/>
  <c r="M17" i="18" l="1"/>
  <c r="R13" i="18"/>
  <c r="M15" i="18"/>
  <c r="R9" i="18"/>
  <c r="R17" i="18" s="1"/>
  <c r="M6" i="18"/>
  <c r="Q6" i="18"/>
  <c r="Q14" i="18" s="1"/>
  <c r="L14" i="18"/>
  <c r="M12" i="18"/>
  <c r="L16" i="18"/>
  <c r="M16" i="18" l="1"/>
  <c r="R12" i="18"/>
  <c r="R16" i="18" s="1"/>
  <c r="M14" i="18"/>
  <c r="R6" i="18"/>
  <c r="R14" i="18" s="1"/>
  <c r="M183" i="15"/>
  <c r="M185" i="15" s="1"/>
  <c r="K183" i="15"/>
  <c r="K185" i="15" s="1"/>
  <c r="J183" i="15"/>
  <c r="J185" i="15" s="1"/>
  <c r="I183" i="15"/>
  <c r="I185" i="15" s="1"/>
  <c r="H183" i="15"/>
  <c r="H185" i="15" s="1"/>
  <c r="G183" i="15"/>
  <c r="G185" i="15" s="1"/>
  <c r="F183" i="15"/>
  <c r="F185" i="15" s="1"/>
  <c r="P182" i="15"/>
  <c r="P184" i="15" s="1"/>
  <c r="O182" i="15"/>
  <c r="O184" i="15" s="1"/>
  <c r="N182" i="15"/>
  <c r="N184" i="15" s="1"/>
  <c r="M182" i="15"/>
  <c r="L182" i="15"/>
  <c r="L184" i="15" s="1"/>
  <c r="K182" i="15"/>
  <c r="K184" i="15" s="1"/>
  <c r="J182" i="15"/>
  <c r="J184" i="15" s="1"/>
  <c r="I182" i="15"/>
  <c r="I184" i="15" s="1"/>
  <c r="H182" i="15"/>
  <c r="H184" i="15" s="1"/>
  <c r="G182" i="15"/>
  <c r="F182" i="15"/>
  <c r="F184" i="15" s="1"/>
  <c r="J175" i="15"/>
  <c r="J177" i="15" s="1"/>
  <c r="I175" i="15"/>
  <c r="H175" i="15"/>
  <c r="H177" i="15" s="1"/>
  <c r="G175" i="15"/>
  <c r="G177" i="15" s="1"/>
  <c r="F175" i="15"/>
  <c r="E175" i="15"/>
  <c r="AI176" i="15"/>
  <c r="P174" i="15"/>
  <c r="P176" i="15" s="1"/>
  <c r="O174" i="15"/>
  <c r="O176" i="15" s="1"/>
  <c r="N174" i="15"/>
  <c r="N176" i="15" s="1"/>
  <c r="M174" i="15"/>
  <c r="M176" i="15" s="1"/>
  <c r="L174" i="15"/>
  <c r="K174" i="15"/>
  <c r="K176" i="15" s="1"/>
  <c r="J174" i="15"/>
  <c r="I174" i="15"/>
  <c r="I176" i="15" s="1"/>
  <c r="H174" i="15"/>
  <c r="G174" i="15"/>
  <c r="G176" i="15" s="1"/>
  <c r="F174" i="15"/>
  <c r="F176" i="15" s="1"/>
  <c r="E174" i="15"/>
  <c r="AK176" i="15"/>
  <c r="AH176" i="15"/>
  <c r="AF176" i="15"/>
  <c r="AC176" i="15"/>
  <c r="AF167" i="15"/>
  <c r="AF169" i="15" s="1"/>
  <c r="I167" i="15"/>
  <c r="I169" i="15" s="1"/>
  <c r="H167" i="15"/>
  <c r="AE166" i="15"/>
  <c r="I166" i="15"/>
  <c r="I168" i="15" s="1"/>
  <c r="H166" i="15"/>
  <c r="AE167" i="15"/>
  <c r="AF166" i="15"/>
  <c r="AF168" i="15" s="1"/>
  <c r="AN164" i="15"/>
  <c r="Q164" i="15"/>
  <c r="P147" i="15"/>
  <c r="P161" i="15" s="1"/>
  <c r="O147" i="15"/>
  <c r="O161" i="15" s="1"/>
  <c r="N147" i="15"/>
  <c r="N161" i="15" s="1"/>
  <c r="J147" i="15"/>
  <c r="J161" i="15" s="1"/>
  <c r="I147" i="15"/>
  <c r="I161" i="15" s="1"/>
  <c r="H147" i="15"/>
  <c r="H161" i="15" s="1"/>
  <c r="G147" i="15"/>
  <c r="G161" i="15" s="1"/>
  <c r="F147" i="15"/>
  <c r="F161" i="15" s="1"/>
  <c r="E147" i="15"/>
  <c r="E161" i="15" s="1"/>
  <c r="AK160" i="15"/>
  <c r="AI160" i="15"/>
  <c r="AG160" i="15"/>
  <c r="AD160" i="15"/>
  <c r="AC160" i="15"/>
  <c r="P146" i="15"/>
  <c r="P160" i="15" s="1"/>
  <c r="O146" i="15"/>
  <c r="O160" i="15" s="1"/>
  <c r="N146" i="15"/>
  <c r="N160" i="15" s="1"/>
  <c r="M146" i="15"/>
  <c r="M160" i="15" s="1"/>
  <c r="L146" i="15"/>
  <c r="L160" i="15" s="1"/>
  <c r="K146" i="15"/>
  <c r="K160" i="15" s="1"/>
  <c r="J146" i="15"/>
  <c r="J160" i="15" s="1"/>
  <c r="I146" i="15"/>
  <c r="I160" i="15" s="1"/>
  <c r="H146" i="15"/>
  <c r="H160" i="15" s="1"/>
  <c r="G146" i="15"/>
  <c r="G160" i="15" s="1"/>
  <c r="F146" i="15"/>
  <c r="F160" i="15" s="1"/>
  <c r="E146" i="15"/>
  <c r="AM161" i="15"/>
  <c r="AL161" i="15"/>
  <c r="AK161" i="15"/>
  <c r="AG161" i="15"/>
  <c r="AF161" i="15"/>
  <c r="AE161" i="15"/>
  <c r="AD161" i="15"/>
  <c r="AC161" i="15"/>
  <c r="AM160" i="15"/>
  <c r="AL160" i="15"/>
  <c r="AJ160" i="15"/>
  <c r="AH160" i="15"/>
  <c r="AF160" i="15"/>
  <c r="AE160" i="15"/>
  <c r="Q142" i="15"/>
  <c r="AG139" i="15"/>
  <c r="AE139" i="15"/>
  <c r="AC139" i="15"/>
  <c r="O123" i="15"/>
  <c r="O139" i="15" s="1"/>
  <c r="J123" i="15"/>
  <c r="J139" i="15" s="1"/>
  <c r="I123" i="15"/>
  <c r="I139" i="15" s="1"/>
  <c r="H123" i="15"/>
  <c r="H139" i="15" s="1"/>
  <c r="G123" i="15"/>
  <c r="G139" i="15" s="1"/>
  <c r="F123" i="15"/>
  <c r="F139" i="15" s="1"/>
  <c r="E123" i="15"/>
  <c r="E139" i="15" s="1"/>
  <c r="AK138" i="15"/>
  <c r="AJ138" i="15"/>
  <c r="AH138" i="15"/>
  <c r="AF138" i="15"/>
  <c r="AB138" i="15"/>
  <c r="P122" i="15"/>
  <c r="P138" i="15" s="1"/>
  <c r="O122" i="15"/>
  <c r="O138" i="15" s="1"/>
  <c r="N122" i="15"/>
  <c r="N138" i="15" s="1"/>
  <c r="M122" i="15"/>
  <c r="M138" i="15" s="1"/>
  <c r="L122" i="15"/>
  <c r="L138" i="15" s="1"/>
  <c r="K122" i="15"/>
  <c r="K138" i="15" s="1"/>
  <c r="J122" i="15"/>
  <c r="J138" i="15" s="1"/>
  <c r="I122" i="15"/>
  <c r="I138" i="15" s="1"/>
  <c r="H122" i="15"/>
  <c r="H138" i="15" s="1"/>
  <c r="G122" i="15"/>
  <c r="G138" i="15" s="1"/>
  <c r="F122" i="15"/>
  <c r="F138" i="15" s="1"/>
  <c r="E122" i="15"/>
  <c r="E138" i="15" s="1"/>
  <c r="AL139" i="15"/>
  <c r="AF139" i="15"/>
  <c r="AD139" i="15"/>
  <c r="AM138" i="15"/>
  <c r="AL138" i="15"/>
  <c r="AI138" i="15"/>
  <c r="AG138" i="15"/>
  <c r="AE138" i="15"/>
  <c r="AD138" i="15"/>
  <c r="Q120" i="15"/>
  <c r="J103" i="15"/>
  <c r="I103" i="15"/>
  <c r="H103" i="15"/>
  <c r="H117" i="15" s="1"/>
  <c r="G103" i="15"/>
  <c r="F103" i="15"/>
  <c r="E103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AE117" i="15"/>
  <c r="AN98" i="15"/>
  <c r="Q98" i="15"/>
  <c r="AN73" i="15"/>
  <c r="Q73" i="15"/>
  <c r="AG71" i="15"/>
  <c r="AE71" i="15"/>
  <c r="J65" i="15"/>
  <c r="I65" i="15"/>
  <c r="I71" i="15" s="1"/>
  <c r="H65" i="15"/>
  <c r="G65" i="15"/>
  <c r="G71" i="15" s="1"/>
  <c r="F65" i="15"/>
  <c r="E65" i="15"/>
  <c r="E71" i="15" s="1"/>
  <c r="AG70" i="15"/>
  <c r="P64" i="15"/>
  <c r="P70" i="15" s="1"/>
  <c r="O64" i="15"/>
  <c r="O70" i="15" s="1"/>
  <c r="N64" i="15"/>
  <c r="N70" i="15" s="1"/>
  <c r="M64" i="15"/>
  <c r="M70" i="15" s="1"/>
  <c r="L64" i="15"/>
  <c r="K64" i="15"/>
  <c r="K70" i="15" s="1"/>
  <c r="J64" i="15"/>
  <c r="I64" i="15"/>
  <c r="I70" i="15" s="1"/>
  <c r="H64" i="15"/>
  <c r="H70" i="15" s="1"/>
  <c r="G64" i="15"/>
  <c r="F64" i="15"/>
  <c r="F70" i="15" s="1"/>
  <c r="E64" i="15"/>
  <c r="E70" i="15" s="1"/>
  <c r="AD71" i="15"/>
  <c r="AC71" i="15"/>
  <c r="AM70" i="15"/>
  <c r="AL70" i="15"/>
  <c r="AK70" i="15"/>
  <c r="AJ70" i="15"/>
  <c r="AI70" i="15"/>
  <c r="AH70" i="15"/>
  <c r="AF70" i="15"/>
  <c r="AE70" i="15"/>
  <c r="AD70" i="15"/>
  <c r="AC70" i="15"/>
  <c r="AN52" i="15"/>
  <c r="Q52" i="15"/>
  <c r="AN51" i="15"/>
  <c r="Q51" i="15"/>
  <c r="J35" i="15"/>
  <c r="J49" i="15" s="1"/>
  <c r="I35" i="15"/>
  <c r="I49" i="15" s="1"/>
  <c r="H35" i="15"/>
  <c r="H49" i="15" s="1"/>
  <c r="G35" i="15"/>
  <c r="G49" i="15" s="1"/>
  <c r="F35" i="15"/>
  <c r="F49" i="15" s="1"/>
  <c r="E35" i="15"/>
  <c r="E49" i="15" s="1"/>
  <c r="P34" i="15"/>
  <c r="O34" i="15"/>
  <c r="N34" i="15"/>
  <c r="M34" i="15"/>
  <c r="L34" i="15"/>
  <c r="K34" i="15"/>
  <c r="J34" i="15"/>
  <c r="I34" i="15"/>
  <c r="H34" i="15"/>
  <c r="G34" i="15"/>
  <c r="F34" i="15"/>
  <c r="E34" i="15"/>
  <c r="AN30" i="15"/>
  <c r="Q30" i="15"/>
  <c r="P17" i="15"/>
  <c r="O17" i="15"/>
  <c r="N17" i="15"/>
  <c r="M17" i="15"/>
  <c r="L17" i="15"/>
  <c r="K17" i="15"/>
  <c r="J17" i="15"/>
  <c r="I17" i="15"/>
  <c r="H17" i="15"/>
  <c r="G17" i="15"/>
  <c r="F17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E26" i="15" s="1"/>
  <c r="Q9" i="15"/>
  <c r="AN8" i="15"/>
  <c r="Q8" i="15"/>
  <c r="F25" i="14"/>
  <c r="E25" i="14"/>
  <c r="E17" i="14"/>
  <c r="E16" i="14"/>
  <c r="AF211" i="15" l="1"/>
  <c r="V24" i="20" s="1"/>
  <c r="G202" i="15"/>
  <c r="U10" i="14" s="1"/>
  <c r="K201" i="15"/>
  <c r="Y9" i="14" s="1"/>
  <c r="O201" i="15"/>
  <c r="AC9" i="14" s="1"/>
  <c r="G201" i="15"/>
  <c r="U9" i="14" s="1"/>
  <c r="H201" i="15"/>
  <c r="V9" i="14" s="1"/>
  <c r="P201" i="15"/>
  <c r="AD9" i="14" s="1"/>
  <c r="J202" i="15"/>
  <c r="X10" i="14" s="1"/>
  <c r="E211" i="15"/>
  <c r="AQ25" i="19" s="1"/>
  <c r="I201" i="15"/>
  <c r="W9" i="14" s="1"/>
  <c r="J201" i="15"/>
  <c r="X9" i="14" s="1"/>
  <c r="E202" i="15"/>
  <c r="S10" i="14" s="1"/>
  <c r="F202" i="15"/>
  <c r="T10" i="14" s="1"/>
  <c r="L201" i="15"/>
  <c r="Z9" i="14" s="1"/>
  <c r="E201" i="15"/>
  <c r="M201" i="15"/>
  <c r="AA9" i="14" s="1"/>
  <c r="H202" i="15"/>
  <c r="F201" i="15"/>
  <c r="T9" i="14" s="1"/>
  <c r="N201" i="15"/>
  <c r="AB9" i="14" s="1"/>
  <c r="I202" i="15"/>
  <c r="W10" i="14" s="1"/>
  <c r="AB212" i="15"/>
  <c r="AE212" i="15"/>
  <c r="E214" i="15"/>
  <c r="AQ28" i="19" s="1"/>
  <c r="AK211" i="15"/>
  <c r="AI211" i="15"/>
  <c r="AG212" i="15"/>
  <c r="AD211" i="15"/>
  <c r="AM211" i="15"/>
  <c r="AD212" i="15"/>
  <c r="H212" i="15"/>
  <c r="AT26" i="19" s="1"/>
  <c r="AJ211" i="15"/>
  <c r="AE211" i="15"/>
  <c r="AH116" i="15"/>
  <c r="AH213" i="15"/>
  <c r="G116" i="15"/>
  <c r="G213" i="15"/>
  <c r="AS27" i="19" s="1"/>
  <c r="O116" i="15"/>
  <c r="O213" i="15"/>
  <c r="BA27" i="19" s="1"/>
  <c r="F117" i="15"/>
  <c r="F214" i="15"/>
  <c r="AR28" i="19" s="1"/>
  <c r="AD117" i="15"/>
  <c r="AD214" i="15"/>
  <c r="H116" i="15"/>
  <c r="H213" i="15"/>
  <c r="AT27" i="19" s="1"/>
  <c r="AK116" i="15"/>
  <c r="AK213" i="15"/>
  <c r="I116" i="15"/>
  <c r="I213" i="15"/>
  <c r="AU27" i="19" s="1"/>
  <c r="AB116" i="15"/>
  <c r="P116" i="15"/>
  <c r="P213" i="15"/>
  <c r="BB27" i="19" s="1"/>
  <c r="AL116" i="15"/>
  <c r="AL213" i="15"/>
  <c r="J116" i="15"/>
  <c r="J213" i="15"/>
  <c r="AV27" i="19" s="1"/>
  <c r="AE116" i="15"/>
  <c r="AE213" i="15"/>
  <c r="I117" i="15"/>
  <c r="I214" i="15"/>
  <c r="AU28" i="19" s="1"/>
  <c r="AF117" i="15"/>
  <c r="AF214" i="15"/>
  <c r="N116" i="15"/>
  <c r="N213" i="15"/>
  <c r="AZ27" i="19" s="1"/>
  <c r="G117" i="15"/>
  <c r="G214" i="15"/>
  <c r="AS28" i="19" s="1"/>
  <c r="K116" i="15"/>
  <c r="K213" i="15"/>
  <c r="AW27" i="19" s="1"/>
  <c r="AG116" i="15"/>
  <c r="AG213" i="15"/>
  <c r="J117" i="15"/>
  <c r="J214" i="15"/>
  <c r="AV28" i="19" s="1"/>
  <c r="AG117" i="15"/>
  <c r="AG214" i="15"/>
  <c r="F116" i="15"/>
  <c r="F213" i="15"/>
  <c r="AR27" i="19" s="1"/>
  <c r="AC116" i="15"/>
  <c r="AC213" i="15"/>
  <c r="L116" i="15"/>
  <c r="L213" i="15"/>
  <c r="AX27" i="19" s="1"/>
  <c r="AI116" i="15"/>
  <c r="AI213" i="15"/>
  <c r="AE214" i="15"/>
  <c r="AF116" i="15"/>
  <c r="AF213" i="15"/>
  <c r="AJ116" i="15"/>
  <c r="AJ213" i="15"/>
  <c r="AD116" i="15"/>
  <c r="AD213" i="15"/>
  <c r="AC117" i="15"/>
  <c r="AC214" i="15"/>
  <c r="E116" i="15"/>
  <c r="E213" i="15"/>
  <c r="AQ27" i="19" s="1"/>
  <c r="M116" i="15"/>
  <c r="M213" i="15"/>
  <c r="AY27" i="19" s="1"/>
  <c r="AM116" i="15"/>
  <c r="AM213" i="15"/>
  <c r="AC211" i="15"/>
  <c r="AL211" i="15"/>
  <c r="AH211" i="15"/>
  <c r="AC212" i="15"/>
  <c r="AF212" i="15"/>
  <c r="AG211" i="15"/>
  <c r="I26" i="15"/>
  <c r="I211" i="15"/>
  <c r="AU25" i="19" s="1"/>
  <c r="J26" i="15"/>
  <c r="J211" i="15"/>
  <c r="AV25" i="19" s="1"/>
  <c r="E212" i="15"/>
  <c r="AQ26" i="19" s="1"/>
  <c r="K26" i="15"/>
  <c r="K211" i="15"/>
  <c r="AW25" i="19" s="1"/>
  <c r="F212" i="15"/>
  <c r="AR26" i="19" s="1"/>
  <c r="P26" i="15"/>
  <c r="P211" i="15"/>
  <c r="BB25" i="19" s="1"/>
  <c r="L26" i="15"/>
  <c r="L211" i="15"/>
  <c r="AX25" i="19" s="1"/>
  <c r="G212" i="15"/>
  <c r="AS26" i="19" s="1"/>
  <c r="M26" i="15"/>
  <c r="M211" i="15"/>
  <c r="AY25" i="19" s="1"/>
  <c r="F26" i="15"/>
  <c r="F211" i="15"/>
  <c r="AR25" i="19" s="1"/>
  <c r="N26" i="15"/>
  <c r="N211" i="15"/>
  <c r="AZ25" i="19" s="1"/>
  <c r="I27" i="15"/>
  <c r="I212" i="15"/>
  <c r="AU26" i="19" s="1"/>
  <c r="H26" i="15"/>
  <c r="H211" i="15"/>
  <c r="AT25" i="19" s="1"/>
  <c r="G26" i="15"/>
  <c r="G211" i="15"/>
  <c r="AS25" i="19" s="1"/>
  <c r="O26" i="15"/>
  <c r="O211" i="15"/>
  <c r="BA25" i="19" s="1"/>
  <c r="J212" i="15"/>
  <c r="AV26" i="19" s="1"/>
  <c r="H169" i="15"/>
  <c r="Q169" i="15" s="1"/>
  <c r="H214" i="15"/>
  <c r="AT28" i="19" s="1"/>
  <c r="BA31" i="19"/>
  <c r="AR31" i="19"/>
  <c r="AQ31" i="19"/>
  <c r="AZ31" i="19"/>
  <c r="AV31" i="19"/>
  <c r="AX31" i="19"/>
  <c r="AT31" i="19"/>
  <c r="AW31" i="19"/>
  <c r="AU31" i="19"/>
  <c r="BB31" i="19"/>
  <c r="AS31" i="19"/>
  <c r="K25" i="14"/>
  <c r="AI26" i="15"/>
  <c r="AI201" i="15"/>
  <c r="AO9" i="14" s="1"/>
  <c r="AG27" i="15"/>
  <c r="AG202" i="15"/>
  <c r="AM10" i="14" s="1"/>
  <c r="AM25" i="14" s="1"/>
  <c r="AI27" i="15"/>
  <c r="AK26" i="15"/>
  <c r="AK201" i="15"/>
  <c r="AQ9" i="14" s="1"/>
  <c r="AJ27" i="15"/>
  <c r="AM27" i="15"/>
  <c r="AC26" i="15"/>
  <c r="AC201" i="15"/>
  <c r="AI9" i="14" s="1"/>
  <c r="AL26" i="15"/>
  <c r="AL201" i="15"/>
  <c r="AR9" i="14" s="1"/>
  <c r="AK27" i="15"/>
  <c r="AJ26" i="15"/>
  <c r="AJ201" i="15"/>
  <c r="AP9" i="14" s="1"/>
  <c r="AL27" i="15"/>
  <c r="AD26" i="15"/>
  <c r="AD201" i="15"/>
  <c r="AJ9" i="14" s="1"/>
  <c r="AM26" i="15"/>
  <c r="AM201" i="15"/>
  <c r="AS9" i="14" s="1"/>
  <c r="AE26" i="15"/>
  <c r="AE201" i="15"/>
  <c r="AK9" i="14" s="1"/>
  <c r="AD27" i="15"/>
  <c r="AD202" i="15"/>
  <c r="AJ10" i="14" s="1"/>
  <c r="AJ25" i="14" s="1"/>
  <c r="AG26" i="15"/>
  <c r="AG201" i="15"/>
  <c r="AM9" i="14" s="1"/>
  <c r="AF26" i="15"/>
  <c r="AF201" i="15"/>
  <c r="AL9" i="14" s="1"/>
  <c r="AH27" i="15"/>
  <c r="AE27" i="15"/>
  <c r="AE202" i="15"/>
  <c r="AK10" i="14" s="1"/>
  <c r="AK25" i="14" s="1"/>
  <c r="AH26" i="15"/>
  <c r="AH201" i="15"/>
  <c r="AN9" i="14" s="1"/>
  <c r="AC27" i="15"/>
  <c r="AC202" i="15"/>
  <c r="AI10" i="14" s="1"/>
  <c r="AI25" i="14" s="1"/>
  <c r="AF27" i="15"/>
  <c r="AF202" i="15"/>
  <c r="AL10" i="14" s="1"/>
  <c r="AL25" i="14" s="1"/>
  <c r="AF187" i="15"/>
  <c r="AJ186" i="15"/>
  <c r="AM186" i="15"/>
  <c r="J186" i="15"/>
  <c r="F187" i="15"/>
  <c r="Q166" i="15"/>
  <c r="L186" i="15"/>
  <c r="F177" i="15"/>
  <c r="I186" i="15"/>
  <c r="H168" i="15"/>
  <c r="Q168" i="15" s="1"/>
  <c r="Q34" i="15"/>
  <c r="R8" i="15"/>
  <c r="Q138" i="15"/>
  <c r="H48" i="15"/>
  <c r="P48" i="15"/>
  <c r="Q167" i="15"/>
  <c r="I187" i="15"/>
  <c r="AI186" i="15"/>
  <c r="G48" i="15"/>
  <c r="AB186" i="15"/>
  <c r="I48" i="15"/>
  <c r="H187" i="15"/>
  <c r="J48" i="15"/>
  <c r="J187" i="15"/>
  <c r="AC187" i="15"/>
  <c r="Q174" i="15"/>
  <c r="K48" i="15"/>
  <c r="E176" i="15"/>
  <c r="M186" i="15"/>
  <c r="O48" i="15"/>
  <c r="L48" i="15"/>
  <c r="AN166" i="15"/>
  <c r="J176" i="15"/>
  <c r="H186" i="15"/>
  <c r="P186" i="15"/>
  <c r="L176" i="15"/>
  <c r="AF177" i="15"/>
  <c r="E186" i="15"/>
  <c r="G27" i="15"/>
  <c r="O27" i="15"/>
  <c r="K27" i="15"/>
  <c r="P27" i="15"/>
  <c r="L27" i="15"/>
  <c r="H27" i="15"/>
  <c r="E27" i="15"/>
  <c r="M27" i="15"/>
  <c r="F27" i="15"/>
  <c r="N27" i="15"/>
  <c r="J27" i="15"/>
  <c r="AE168" i="15"/>
  <c r="AN168" i="15" s="1"/>
  <c r="AE186" i="15"/>
  <c r="AE176" i="15"/>
  <c r="AB71" i="15"/>
  <c r="AC138" i="15"/>
  <c r="AN138" i="15" s="1"/>
  <c r="AQ138" i="15" s="1"/>
  <c r="AN122" i="15"/>
  <c r="AD177" i="15"/>
  <c r="AD187" i="15"/>
  <c r="AG177" i="15"/>
  <c r="AG187" i="15"/>
  <c r="AB27" i="15"/>
  <c r="AN17" i="15"/>
  <c r="Q16" i="15"/>
  <c r="Q64" i="15"/>
  <c r="F71" i="15"/>
  <c r="G70" i="15"/>
  <c r="AN102" i="15"/>
  <c r="F186" i="15"/>
  <c r="AK186" i="15"/>
  <c r="E48" i="15"/>
  <c r="M48" i="15"/>
  <c r="J70" i="15"/>
  <c r="AN142" i="15"/>
  <c r="AB213" i="15"/>
  <c r="AN167" i="15"/>
  <c r="AE169" i="15"/>
  <c r="AN169" i="15" s="1"/>
  <c r="AD176" i="15"/>
  <c r="AD186" i="15"/>
  <c r="AL176" i="15"/>
  <c r="AL186" i="15"/>
  <c r="E177" i="15"/>
  <c r="E187" i="15"/>
  <c r="F48" i="15"/>
  <c r="N48" i="15"/>
  <c r="H71" i="15"/>
  <c r="AB139" i="15"/>
  <c r="Q146" i="15"/>
  <c r="E160" i="15"/>
  <c r="Q160" i="15" s="1"/>
  <c r="AN182" i="15"/>
  <c r="AN184" i="15"/>
  <c r="G184" i="15"/>
  <c r="Q182" i="15"/>
  <c r="K186" i="15"/>
  <c r="AN9" i="15"/>
  <c r="Q17" i="15"/>
  <c r="AF71" i="15"/>
  <c r="L70" i="15"/>
  <c r="Q102" i="15"/>
  <c r="Q122" i="15"/>
  <c r="AN174" i="15"/>
  <c r="N186" i="15"/>
  <c r="J71" i="15"/>
  <c r="H176" i="15"/>
  <c r="AJ176" i="15"/>
  <c r="AC177" i="15"/>
  <c r="AH186" i="15"/>
  <c r="AG176" i="15"/>
  <c r="AG186" i="15"/>
  <c r="AB177" i="15"/>
  <c r="AB187" i="15"/>
  <c r="AM176" i="15"/>
  <c r="M184" i="15"/>
  <c r="AC186" i="15"/>
  <c r="E117" i="15"/>
  <c r="AN120" i="15"/>
  <c r="AE177" i="15"/>
  <c r="AE187" i="15"/>
  <c r="AF186" i="15"/>
  <c r="I177" i="15"/>
  <c r="G186" i="15"/>
  <c r="O186" i="15"/>
  <c r="G187" i="15"/>
  <c r="BI25" i="19" l="1"/>
  <c r="AT14" i="19"/>
  <c r="AU14" i="19"/>
  <c r="AV13" i="19"/>
  <c r="AW13" i="19"/>
  <c r="AY13" i="19"/>
  <c r="AT13" i="19"/>
  <c r="AU13" i="19"/>
  <c r="AZ13" i="19"/>
  <c r="AX13" i="19"/>
  <c r="AR11" i="19"/>
  <c r="AT12" i="19"/>
  <c r="AQ12" i="19"/>
  <c r="AR12" i="19"/>
  <c r="AS12" i="19"/>
  <c r="AS11" i="19"/>
  <c r="AU11" i="19"/>
  <c r="AV11" i="19"/>
  <c r="AZ11" i="19"/>
  <c r="BA11" i="19"/>
  <c r="S13" i="14"/>
  <c r="AT11" i="19"/>
  <c r="AW11" i="19"/>
  <c r="AX11" i="19"/>
  <c r="BB11" i="19"/>
  <c r="AY11" i="19"/>
  <c r="X13" i="14"/>
  <c r="AR23" i="19"/>
  <c r="BN13" i="19"/>
  <c r="Y13" i="14"/>
  <c r="Z13" i="14"/>
  <c r="AW23" i="19"/>
  <c r="BA23" i="19"/>
  <c r="AY23" i="19"/>
  <c r="AS23" i="19"/>
  <c r="AS24" i="19"/>
  <c r="AU23" i="19"/>
  <c r="AT23" i="19"/>
  <c r="AZ23" i="19"/>
  <c r="AT24" i="19"/>
  <c r="AV23" i="19"/>
  <c r="BG11" i="19"/>
  <c r="Y26" i="20"/>
  <c r="BL27" i="19"/>
  <c r="U13" i="14"/>
  <c r="V13" i="14"/>
  <c r="BP13" i="19"/>
  <c r="W13" i="14"/>
  <c r="Z26" i="20"/>
  <c r="BM27" i="19"/>
  <c r="S14" i="14"/>
  <c r="BF13" i="19"/>
  <c r="BL11" i="19"/>
  <c r="BI13" i="19"/>
  <c r="BC27" i="19"/>
  <c r="BO11" i="19"/>
  <c r="AC13" i="14"/>
  <c r="BJ13" i="19"/>
  <c r="R26" i="20"/>
  <c r="BE27" i="19"/>
  <c r="H191" i="15"/>
  <c r="S25" i="20"/>
  <c r="BF26" i="19"/>
  <c r="T25" i="20"/>
  <c r="BG26" i="19"/>
  <c r="R25" i="20"/>
  <c r="BE26" i="19"/>
  <c r="BH11" i="19"/>
  <c r="BO13" i="19"/>
  <c r="BI11" i="19"/>
  <c r="BJ11" i="19"/>
  <c r="W26" i="20"/>
  <c r="BJ27" i="19"/>
  <c r="T14" i="14"/>
  <c r="W24" i="20"/>
  <c r="BJ25" i="19"/>
  <c r="BM11" i="19"/>
  <c r="BH13" i="19"/>
  <c r="S26" i="20"/>
  <c r="BF27" i="19"/>
  <c r="U26" i="20"/>
  <c r="BH27" i="19"/>
  <c r="V14" i="14"/>
  <c r="AB13" i="14"/>
  <c r="BB23" i="19"/>
  <c r="V25" i="20"/>
  <c r="BI26" i="19"/>
  <c r="U27" i="20"/>
  <c r="BH28" i="19"/>
  <c r="BP11" i="19"/>
  <c r="AD13" i="14"/>
  <c r="BK13" i="19"/>
  <c r="AN186" i="15"/>
  <c r="AD191" i="15"/>
  <c r="AU24" i="19"/>
  <c r="X24" i="20"/>
  <c r="BK25" i="19"/>
  <c r="S27" i="20"/>
  <c r="BF28" i="19"/>
  <c r="AC24" i="20"/>
  <c r="BP25" i="19"/>
  <c r="W25" i="20"/>
  <c r="BJ26" i="19"/>
  <c r="AK203" i="15"/>
  <c r="Y24" i="20"/>
  <c r="BL25" i="19"/>
  <c r="V27" i="20"/>
  <c r="BI28" i="19"/>
  <c r="BK11" i="19"/>
  <c r="AX23" i="19"/>
  <c r="BG13" i="19"/>
  <c r="U14" i="14"/>
  <c r="Z24" i="20"/>
  <c r="BM25" i="19"/>
  <c r="BN11" i="19"/>
  <c r="BL13" i="19"/>
  <c r="T24" i="20"/>
  <c r="BG25" i="19"/>
  <c r="S24" i="20"/>
  <c r="BF25" i="19"/>
  <c r="W27" i="20"/>
  <c r="BJ28" i="19"/>
  <c r="AB26" i="20"/>
  <c r="BO27" i="19"/>
  <c r="X26" i="20"/>
  <c r="BK27" i="19"/>
  <c r="AC26" i="20"/>
  <c r="BP27" i="19"/>
  <c r="T27" i="20"/>
  <c r="BG28" i="19"/>
  <c r="AA24" i="20"/>
  <c r="BN25" i="19"/>
  <c r="V26" i="20"/>
  <c r="V22" i="20" s="1"/>
  <c r="V34" i="20" s="1"/>
  <c r="BI27" i="19"/>
  <c r="U24" i="20"/>
  <c r="BH25" i="19"/>
  <c r="AA13" i="14"/>
  <c r="AQ24" i="19"/>
  <c r="U25" i="20"/>
  <c r="BH26" i="19"/>
  <c r="BF11" i="19"/>
  <c r="BM13" i="19"/>
  <c r="AV24" i="19"/>
  <c r="AR24" i="19"/>
  <c r="AB24" i="20"/>
  <c r="BO25" i="19"/>
  <c r="T26" i="20"/>
  <c r="BG27" i="19"/>
  <c r="AA26" i="20"/>
  <c r="BN27" i="19"/>
  <c r="BC25" i="19"/>
  <c r="AQ23" i="19"/>
  <c r="AF203" i="15"/>
  <c r="J204" i="15"/>
  <c r="J192" i="15"/>
  <c r="H203" i="15"/>
  <c r="F203" i="15"/>
  <c r="F191" i="15"/>
  <c r="K203" i="15"/>
  <c r="K191" i="15"/>
  <c r="F204" i="15"/>
  <c r="F192" i="15"/>
  <c r="G204" i="15"/>
  <c r="G192" i="15"/>
  <c r="O203" i="15"/>
  <c r="O191" i="15"/>
  <c r="P203" i="15"/>
  <c r="P191" i="15"/>
  <c r="J203" i="15"/>
  <c r="J191" i="15"/>
  <c r="I204" i="15"/>
  <c r="I192" i="15"/>
  <c r="E204" i="15"/>
  <c r="E192" i="15"/>
  <c r="H204" i="15"/>
  <c r="H192" i="15"/>
  <c r="G191" i="15"/>
  <c r="G203" i="15"/>
  <c r="N191" i="15"/>
  <c r="N203" i="15"/>
  <c r="M203" i="15"/>
  <c r="M191" i="15"/>
  <c r="E191" i="15"/>
  <c r="E203" i="15"/>
  <c r="L203" i="15"/>
  <c r="L191" i="15"/>
  <c r="I203" i="15"/>
  <c r="I191" i="15"/>
  <c r="AS13" i="14"/>
  <c r="AS21" i="14" s="1"/>
  <c r="AR13" i="14"/>
  <c r="AR21" i="14" s="1"/>
  <c r="AO13" i="14"/>
  <c r="AO21" i="14" s="1"/>
  <c r="AI13" i="14"/>
  <c r="AI21" i="14" s="1"/>
  <c r="AJ13" i="14"/>
  <c r="AJ21" i="14" s="1"/>
  <c r="AM13" i="14"/>
  <c r="AM21" i="14" s="1"/>
  <c r="AN13" i="14"/>
  <c r="AN21" i="14" s="1"/>
  <c r="AP13" i="14"/>
  <c r="AP21" i="14" s="1"/>
  <c r="AQ13" i="14"/>
  <c r="AQ21" i="14" s="1"/>
  <c r="AI203" i="15"/>
  <c r="AU12" i="19"/>
  <c r="AQ13" i="19"/>
  <c r="AR13" i="19"/>
  <c r="AS14" i="19"/>
  <c r="AQ14" i="19"/>
  <c r="AR14" i="19"/>
  <c r="Q116" i="15"/>
  <c r="AN116" i="15"/>
  <c r="AQ116" i="15" s="1"/>
  <c r="Q26" i="15"/>
  <c r="AB214" i="15"/>
  <c r="AH203" i="15"/>
  <c r="AB211" i="15"/>
  <c r="Q201" i="15"/>
  <c r="S9" i="14"/>
  <c r="AE9" i="14" s="1"/>
  <c r="H8" i="14" s="1"/>
  <c r="V10" i="14"/>
  <c r="AV12" i="19"/>
  <c r="AC192" i="15"/>
  <c r="AM191" i="15"/>
  <c r="AG191" i="15"/>
  <c r="AD192" i="15"/>
  <c r="AJ191" i="15"/>
  <c r="AK191" i="15"/>
  <c r="AF192" i="15"/>
  <c r="AL191" i="15"/>
  <c r="AF191" i="15"/>
  <c r="AG192" i="15"/>
  <c r="AI191" i="15"/>
  <c r="AB202" i="15"/>
  <c r="AH10" i="14" s="1"/>
  <c r="AH25" i="14" s="1"/>
  <c r="AE204" i="15"/>
  <c r="AG203" i="15"/>
  <c r="AD203" i="15"/>
  <c r="AL203" i="15"/>
  <c r="AD204" i="15"/>
  <c r="AC203" i="15"/>
  <c r="AH191" i="15"/>
  <c r="AF204" i="15"/>
  <c r="AE192" i="15"/>
  <c r="AE203" i="15"/>
  <c r="AJ203" i="15"/>
  <c r="AG204" i="15"/>
  <c r="AC204" i="15"/>
  <c r="AB201" i="15"/>
  <c r="AM203" i="15"/>
  <c r="R169" i="15"/>
  <c r="L9" i="17"/>
  <c r="AE9" i="18"/>
  <c r="X10" i="18"/>
  <c r="E10" i="17"/>
  <c r="AG9" i="18"/>
  <c r="N9" i="17"/>
  <c r="AF9" i="18"/>
  <c r="M9" i="17"/>
  <c r="Y9" i="18"/>
  <c r="F9" i="17"/>
  <c r="X9" i="18"/>
  <c r="E9" i="17"/>
  <c r="Z10" i="18"/>
  <c r="G10" i="17"/>
  <c r="AC10" i="18"/>
  <c r="J10" i="17"/>
  <c r="AA10" i="18"/>
  <c r="H10" i="17"/>
  <c r="AB9" i="18"/>
  <c r="I9" i="17"/>
  <c r="Q176" i="15"/>
  <c r="AH9" i="18"/>
  <c r="O9" i="17"/>
  <c r="AI9" i="18"/>
  <c r="P9" i="17"/>
  <c r="Q184" i="15"/>
  <c r="Y10" i="18"/>
  <c r="F10" i="17"/>
  <c r="AB10" i="18"/>
  <c r="I10" i="17"/>
  <c r="AD9" i="18"/>
  <c r="K9" i="17"/>
  <c r="AA9" i="18"/>
  <c r="H9" i="17"/>
  <c r="Z9" i="18"/>
  <c r="G9" i="17"/>
  <c r="AC9" i="18"/>
  <c r="J9" i="17"/>
  <c r="Q27" i="15"/>
  <c r="Q70" i="15"/>
  <c r="AN176" i="15"/>
  <c r="AN188" i="15" s="1"/>
  <c r="AC191" i="15"/>
  <c r="AB70" i="15"/>
  <c r="AN70" i="15" s="1"/>
  <c r="AQ70" i="15" s="1"/>
  <c r="AN64" i="15"/>
  <c r="Q48" i="15"/>
  <c r="AE191" i="15"/>
  <c r="AN146" i="15"/>
  <c r="AB160" i="15"/>
  <c r="AN160" i="15" s="1"/>
  <c r="AQ160" i="15" s="1"/>
  <c r="AB117" i="15"/>
  <c r="AB161" i="15"/>
  <c r="AN16" i="15"/>
  <c r="AB26" i="15"/>
  <c r="AN27" i="15"/>
  <c r="AN48" i="15" l="1"/>
  <c r="AQ48" i="15" s="1"/>
  <c r="AB191" i="15"/>
  <c r="P12" i="19"/>
  <c r="BI23" i="19"/>
  <c r="BI35" i="19" s="1"/>
  <c r="R12" i="19"/>
  <c r="M12" i="19"/>
  <c r="Q12" i="19"/>
  <c r="BA12" i="19"/>
  <c r="AZ12" i="19"/>
  <c r="AQ11" i="19"/>
  <c r="BC11" i="19" s="1"/>
  <c r="N12" i="19"/>
  <c r="Z22" i="20"/>
  <c r="Z34" i="20" s="1"/>
  <c r="S22" i="20"/>
  <c r="S34" i="20" s="1"/>
  <c r="AG12" i="18"/>
  <c r="Z12" i="14"/>
  <c r="N12" i="17"/>
  <c r="Q14" i="19"/>
  <c r="P12" i="17"/>
  <c r="AH12" i="18"/>
  <c r="L12" i="17"/>
  <c r="K13" i="17"/>
  <c r="P14" i="19"/>
  <c r="AC12" i="14"/>
  <c r="AB12" i="14"/>
  <c r="O12" i="17"/>
  <c r="AA12" i="14"/>
  <c r="M12" i="17"/>
  <c r="AX9" i="19"/>
  <c r="K12" i="17"/>
  <c r="AF12" i="18"/>
  <c r="AD12" i="14"/>
  <c r="AI12" i="18"/>
  <c r="AE12" i="18"/>
  <c r="BN9" i="19"/>
  <c r="BN15" i="19" s="1"/>
  <c r="AD12" i="18"/>
  <c r="AZ9" i="19"/>
  <c r="U22" i="20"/>
  <c r="U34" i="20" s="1"/>
  <c r="Y22" i="20"/>
  <c r="Y34" i="20" s="1"/>
  <c r="S23" i="20"/>
  <c r="S35" i="20" s="1"/>
  <c r="V23" i="20"/>
  <c r="V35" i="20" s="1"/>
  <c r="AA22" i="20"/>
  <c r="AA34" i="20" s="1"/>
  <c r="U13" i="20"/>
  <c r="W13" i="20"/>
  <c r="AB13" i="20"/>
  <c r="T11" i="20"/>
  <c r="BG9" i="19"/>
  <c r="BG15" i="19" s="1"/>
  <c r="X22" i="20"/>
  <c r="X34" i="20" s="1"/>
  <c r="BJ23" i="19"/>
  <c r="BJ35" i="19" s="1"/>
  <c r="W22" i="20"/>
  <c r="W34" i="20" s="1"/>
  <c r="AW9" i="19"/>
  <c r="AU10" i="19"/>
  <c r="AT9" i="19"/>
  <c r="BL23" i="19"/>
  <c r="BL35" i="19" s="1"/>
  <c r="BF23" i="19"/>
  <c r="BF35" i="19" s="1"/>
  <c r="AY9" i="19"/>
  <c r="U23" i="20"/>
  <c r="U35" i="20" s="1"/>
  <c r="T23" i="20"/>
  <c r="T35" i="20" s="1"/>
  <c r="BJ24" i="19"/>
  <c r="BJ36" i="19" s="1"/>
  <c r="T13" i="20"/>
  <c r="BH9" i="19"/>
  <c r="BH15" i="19" s="1"/>
  <c r="BF9" i="19"/>
  <c r="BF15" i="19" s="1"/>
  <c r="BM9" i="19"/>
  <c r="BM15" i="19" s="1"/>
  <c r="S13" i="20"/>
  <c r="Y11" i="20"/>
  <c r="W11" i="20"/>
  <c r="W23" i="20"/>
  <c r="W35" i="20" s="1"/>
  <c r="AB22" i="20"/>
  <c r="AB34" i="20" s="1"/>
  <c r="T22" i="20"/>
  <c r="T34" i="20" s="1"/>
  <c r="BP23" i="19"/>
  <c r="BP35" i="19" s="1"/>
  <c r="BK23" i="19"/>
  <c r="BK35" i="19" s="1"/>
  <c r="AC22" i="20"/>
  <c r="AC34" i="20" s="1"/>
  <c r="BH24" i="19"/>
  <c r="BH36" i="19" s="1"/>
  <c r="BF24" i="19"/>
  <c r="BF36" i="19" s="1"/>
  <c r="BB13" i="19"/>
  <c r="BB9" i="19" s="1"/>
  <c r="BE13" i="19"/>
  <c r="BQ13" i="19" s="1"/>
  <c r="AD26" i="20"/>
  <c r="Z11" i="20"/>
  <c r="V13" i="20"/>
  <c r="BH23" i="19"/>
  <c r="BH35" i="19" s="1"/>
  <c r="BG24" i="19"/>
  <c r="BG36" i="19" s="1"/>
  <c r="AR10" i="19"/>
  <c r="AC11" i="20"/>
  <c r="AS13" i="19"/>
  <c r="AS9" i="19" s="1"/>
  <c r="BC23" i="19"/>
  <c r="AR9" i="19"/>
  <c r="BA13" i="19"/>
  <c r="BA9" i="19" s="1"/>
  <c r="BP9" i="19"/>
  <c r="BP15" i="19" s="1"/>
  <c r="BQ27" i="19"/>
  <c r="R24" i="20"/>
  <c r="R22" i="20" s="1"/>
  <c r="BE25" i="19"/>
  <c r="BQ25" i="19" s="1"/>
  <c r="R27" i="20"/>
  <c r="R23" i="20" s="1"/>
  <c r="R35" i="20" s="1"/>
  <c r="BE28" i="19"/>
  <c r="AU9" i="19"/>
  <c r="AT10" i="19"/>
  <c r="BI24" i="19"/>
  <c r="BI36" i="19" s="1"/>
  <c r="BJ9" i="19"/>
  <c r="BJ15" i="19" s="1"/>
  <c r="AS10" i="19"/>
  <c r="X11" i="20"/>
  <c r="BK9" i="19"/>
  <c r="BK15" i="19" s="1"/>
  <c r="S11" i="20"/>
  <c r="BG23" i="19"/>
  <c r="BG35" i="19" s="1"/>
  <c r="BL9" i="19"/>
  <c r="BL15" i="19" s="1"/>
  <c r="AF205" i="15"/>
  <c r="U11" i="20"/>
  <c r="R11" i="20"/>
  <c r="Y13" i="20"/>
  <c r="AV9" i="19"/>
  <c r="AA11" i="20"/>
  <c r="BN23" i="19"/>
  <c r="BN35" i="19" s="1"/>
  <c r="BI9" i="19"/>
  <c r="BI15" i="19" s="1"/>
  <c r="AQ10" i="19"/>
  <c r="BO23" i="19"/>
  <c r="BO35" i="19" s="1"/>
  <c r="AY31" i="19"/>
  <c r="AH13" i="14"/>
  <c r="AH21" i="14" s="1"/>
  <c r="BO9" i="19"/>
  <c r="BO15" i="19" s="1"/>
  <c r="BM23" i="19"/>
  <c r="BM35" i="19" s="1"/>
  <c r="I193" i="15"/>
  <c r="I205" i="15"/>
  <c r="E14" i="17"/>
  <c r="X14" i="18"/>
  <c r="X13" i="20"/>
  <c r="Z13" i="20"/>
  <c r="AC13" i="20"/>
  <c r="AA13" i="20"/>
  <c r="AB11" i="20"/>
  <c r="V11" i="20"/>
  <c r="H205" i="15"/>
  <c r="E205" i="15"/>
  <c r="J205" i="15"/>
  <c r="G205" i="15"/>
  <c r="G193" i="15"/>
  <c r="F205" i="15"/>
  <c r="Q203" i="15"/>
  <c r="AC193" i="15"/>
  <c r="T13" i="14"/>
  <c r="W14" i="14"/>
  <c r="AJ14" i="14"/>
  <c r="AJ22" i="14" s="1"/>
  <c r="AI14" i="14"/>
  <c r="AI22" i="14" s="1"/>
  <c r="AM14" i="14"/>
  <c r="AM22" i="14" s="1"/>
  <c r="AL14" i="14"/>
  <c r="AL22" i="14" s="1"/>
  <c r="AL13" i="14"/>
  <c r="AL21" i="14" s="1"/>
  <c r="AD193" i="15"/>
  <c r="AF193" i="15"/>
  <c r="AG193" i="15"/>
  <c r="AE205" i="15"/>
  <c r="AE193" i="15"/>
  <c r="AC205" i="15"/>
  <c r="AB204" i="15"/>
  <c r="AB203" i="15"/>
  <c r="AD205" i="15"/>
  <c r="AH9" i="14"/>
  <c r="AN201" i="15"/>
  <c r="AG205" i="15"/>
  <c r="AK13" i="14"/>
  <c r="AK21" i="14" s="1"/>
  <c r="AK14" i="14"/>
  <c r="AK22" i="14" s="1"/>
  <c r="H193" i="15"/>
  <c r="J193" i="15"/>
  <c r="Q9" i="17"/>
  <c r="AJ9" i="18"/>
  <c r="L14" i="17"/>
  <c r="AE14" i="18"/>
  <c r="K14" i="17"/>
  <c r="AD14" i="18"/>
  <c r="Z14" i="18"/>
  <c r="G14" i="17"/>
  <c r="AG14" i="18"/>
  <c r="N14" i="17"/>
  <c r="AF14" i="18"/>
  <c r="M14" i="17"/>
  <c r="AB13" i="18"/>
  <c r="I13" i="17"/>
  <c r="X13" i="18"/>
  <c r="E13" i="17"/>
  <c r="AI14" i="18"/>
  <c r="P14" i="17"/>
  <c r="Y14" i="18"/>
  <c r="F14" i="17"/>
  <c r="Y13" i="18"/>
  <c r="F13" i="17"/>
  <c r="AA14" i="18"/>
  <c r="H14" i="17"/>
  <c r="AH14" i="18"/>
  <c r="O14" i="17"/>
  <c r="Z13" i="18"/>
  <c r="G13" i="17"/>
  <c r="AC14" i="18"/>
  <c r="J14" i="17"/>
  <c r="AC13" i="18"/>
  <c r="J13" i="17"/>
  <c r="AA13" i="18"/>
  <c r="H13" i="17"/>
  <c r="AB14" i="18"/>
  <c r="I14" i="17"/>
  <c r="F193" i="15"/>
  <c r="Q191" i="15"/>
  <c r="AB192" i="15"/>
  <c r="AN26" i="15"/>
  <c r="N13" i="21" l="1"/>
  <c r="P13" i="21"/>
  <c r="AC13" i="21"/>
  <c r="AA13" i="21"/>
  <c r="AF12" i="19"/>
  <c r="O13" i="21"/>
  <c r="AG12" i="19"/>
  <c r="AD12" i="19"/>
  <c r="AQ9" i="19"/>
  <c r="BC9" i="19" s="1"/>
  <c r="W9" i="20"/>
  <c r="W15" i="20" s="1"/>
  <c r="K13" i="21"/>
  <c r="AB12" i="19"/>
  <c r="AW12" i="19"/>
  <c r="L13" i="21"/>
  <c r="AX12" i="19"/>
  <c r="T9" i="20"/>
  <c r="T15" i="20" s="1"/>
  <c r="U9" i="20"/>
  <c r="U15" i="20" s="1"/>
  <c r="AE14" i="19"/>
  <c r="L13" i="17"/>
  <c r="AE13" i="18"/>
  <c r="N13" i="17"/>
  <c r="Z16" i="14"/>
  <c r="AG13" i="18"/>
  <c r="O15" i="21"/>
  <c r="AH13" i="18"/>
  <c r="O13" i="17"/>
  <c r="AR12" i="14"/>
  <c r="L16" i="17"/>
  <c r="AD13" i="18"/>
  <c r="P13" i="17"/>
  <c r="AD15" i="21"/>
  <c r="Y16" i="14"/>
  <c r="AI13" i="18"/>
  <c r="N15" i="21"/>
  <c r="Y12" i="14"/>
  <c r="AE12" i="14" s="1"/>
  <c r="AH16" i="18"/>
  <c r="P10" i="19"/>
  <c r="AB16" i="14"/>
  <c r="AC16" i="14"/>
  <c r="AB14" i="19"/>
  <c r="AG14" i="19"/>
  <c r="AD14" i="19"/>
  <c r="M13" i="17"/>
  <c r="AF13" i="18"/>
  <c r="O16" i="17"/>
  <c r="N16" i="17"/>
  <c r="O14" i="19"/>
  <c r="M15" i="21"/>
  <c r="AS12" i="14"/>
  <c r="AJ12" i="18"/>
  <c r="Q12" i="17"/>
  <c r="R14" i="19"/>
  <c r="R10" i="19" s="1"/>
  <c r="P15" i="21"/>
  <c r="AG16" i="18"/>
  <c r="O12" i="19"/>
  <c r="M13" i="21"/>
  <c r="AF16" i="18"/>
  <c r="M16" i="17"/>
  <c r="AE16" i="18"/>
  <c r="AD16" i="14"/>
  <c r="AP12" i="14"/>
  <c r="AA16" i="14"/>
  <c r="AQ12" i="14"/>
  <c r="K16" i="17"/>
  <c r="N14" i="19"/>
  <c r="N10" i="19" s="1"/>
  <c r="L15" i="21"/>
  <c r="AD16" i="18"/>
  <c r="AO12" i="14"/>
  <c r="M14" i="19"/>
  <c r="K15" i="21"/>
  <c r="AI16" i="18"/>
  <c r="P16" i="17"/>
  <c r="Q10" i="19"/>
  <c r="Y9" i="20"/>
  <c r="Y15" i="20" s="1"/>
  <c r="S9" i="20"/>
  <c r="S15" i="20" s="1"/>
  <c r="R13" i="20"/>
  <c r="R9" i="20" s="1"/>
  <c r="AB9" i="20"/>
  <c r="AB15" i="20" s="1"/>
  <c r="AD24" i="20"/>
  <c r="Z9" i="20"/>
  <c r="Z15" i="20" s="1"/>
  <c r="AC9" i="20"/>
  <c r="AC15" i="20" s="1"/>
  <c r="AD22" i="20"/>
  <c r="R34" i="20"/>
  <c r="AD34" i="20" s="1"/>
  <c r="BE24" i="19"/>
  <c r="BC31" i="19"/>
  <c r="BC13" i="19"/>
  <c r="V9" i="20"/>
  <c r="V15" i="20" s="1"/>
  <c r="BE23" i="19"/>
  <c r="AA9" i="20"/>
  <c r="AA15" i="20" s="1"/>
  <c r="BE11" i="19"/>
  <c r="X9" i="20"/>
  <c r="X15" i="20" s="1"/>
  <c r="AD11" i="20"/>
  <c r="AH14" i="14"/>
  <c r="AH22" i="14" s="1"/>
  <c r="AE13" i="14"/>
  <c r="H10" i="14" s="1"/>
  <c r="AT21" i="14"/>
  <c r="AT9" i="14"/>
  <c r="AB205" i="15"/>
  <c r="AN203" i="15"/>
  <c r="AB193" i="15"/>
  <c r="AJ14" i="18"/>
  <c r="Q14" i="17"/>
  <c r="AT13" i="14"/>
  <c r="J10" i="14" s="1"/>
  <c r="AN191" i="15"/>
  <c r="AC12" i="19" l="1"/>
  <c r="P11" i="21"/>
  <c r="P17" i="21" s="1"/>
  <c r="AE12" i="19"/>
  <c r="AE10" i="19" s="1"/>
  <c r="N11" i="21"/>
  <c r="N17" i="21" s="1"/>
  <c r="AD13" i="21"/>
  <c r="AD11" i="21" s="1"/>
  <c r="O11" i="21"/>
  <c r="O17" i="21" s="1"/>
  <c r="AE13" i="21"/>
  <c r="AB13" i="21"/>
  <c r="K11" i="21"/>
  <c r="K17" i="21" s="1"/>
  <c r="Z13" i="21"/>
  <c r="L11" i="21"/>
  <c r="L17" i="21" s="1"/>
  <c r="AC15" i="21"/>
  <c r="AC11" i="21" s="1"/>
  <c r="AJ13" i="18"/>
  <c r="Q13" i="17"/>
  <c r="AQ16" i="14"/>
  <c r="AF14" i="19"/>
  <c r="AF10" i="19" s="1"/>
  <c r="Z15" i="21"/>
  <c r="AB15" i="21"/>
  <c r="BP12" i="19"/>
  <c r="Z14" i="20"/>
  <c r="AP16" i="14"/>
  <c r="Q16" i="17"/>
  <c r="AE15" i="21"/>
  <c r="BO34" i="19"/>
  <c r="M11" i="21"/>
  <c r="M17" i="21" s="1"/>
  <c r="S14" i="19"/>
  <c r="AG10" i="19"/>
  <c r="AN16" i="14"/>
  <c r="M10" i="19"/>
  <c r="Z12" i="20"/>
  <c r="BO14" i="19"/>
  <c r="AS14" i="14"/>
  <c r="O10" i="19"/>
  <c r="AR14" i="14"/>
  <c r="BO12" i="19"/>
  <c r="AB12" i="20"/>
  <c r="BN12" i="19"/>
  <c r="AA12" i="20"/>
  <c r="S12" i="19"/>
  <c r="AQ14" i="14"/>
  <c r="AB10" i="19"/>
  <c r="BL12" i="19"/>
  <c r="Y12" i="20"/>
  <c r="AC14" i="19"/>
  <c r="AA15" i="21"/>
  <c r="AA11" i="21" s="1"/>
  <c r="BK12" i="19"/>
  <c r="X12" i="20"/>
  <c r="BB12" i="19"/>
  <c r="Q13" i="21"/>
  <c r="AN12" i="14"/>
  <c r="AY12" i="19"/>
  <c r="AR16" i="14"/>
  <c r="AO14" i="14"/>
  <c r="AO16" i="14"/>
  <c r="AR18" i="14"/>
  <c r="AE16" i="14"/>
  <c r="AP18" i="14"/>
  <c r="Q15" i="21"/>
  <c r="AP14" i="14"/>
  <c r="AS16" i="14"/>
  <c r="AO18" i="14"/>
  <c r="AJ16" i="18"/>
  <c r="AS18" i="14"/>
  <c r="AD10" i="19"/>
  <c r="AD13" i="20"/>
  <c r="AD9" i="20"/>
  <c r="BQ11" i="19"/>
  <c r="BE9" i="19"/>
  <c r="BE36" i="19"/>
  <c r="BE35" i="19"/>
  <c r="BQ23" i="19"/>
  <c r="BQ35" i="19" s="1"/>
  <c r="R15" i="20"/>
  <c r="AD15" i="20" s="1"/>
  <c r="J8" i="14"/>
  <c r="L8" i="14"/>
  <c r="K8" i="14"/>
  <c r="M10" i="14"/>
  <c r="L10" i="14"/>
  <c r="K10" i="14"/>
  <c r="U12" i="19" l="1"/>
  <c r="AH24" i="19"/>
  <c r="U14" i="19"/>
  <c r="AH26" i="19"/>
  <c r="AH12" i="19"/>
  <c r="AC10" i="19"/>
  <c r="AH10" i="19" s="1"/>
  <c r="AK10" i="19" s="1"/>
  <c r="AB11" i="21"/>
  <c r="Z11" i="21"/>
  <c r="AE11" i="21"/>
  <c r="AF13" i="21"/>
  <c r="AF15" i="21"/>
  <c r="AC14" i="20"/>
  <c r="BP14" i="19"/>
  <c r="BP10" i="19" s="1"/>
  <c r="BM14" i="19"/>
  <c r="AN18" i="14"/>
  <c r="AC12" i="20"/>
  <c r="AD12" i="20" s="1"/>
  <c r="Q11" i="21"/>
  <c r="S10" i="19"/>
  <c r="U10" i="19" s="1"/>
  <c r="BO10" i="19"/>
  <c r="BN34" i="19"/>
  <c r="Q17" i="21"/>
  <c r="AB33" i="20"/>
  <c r="BM12" i="19"/>
  <c r="BK14" i="19"/>
  <c r="BK10" i="19" s="1"/>
  <c r="AB14" i="20"/>
  <c r="AB10" i="20" s="1"/>
  <c r="X14" i="20"/>
  <c r="X10" i="20" s="1"/>
  <c r="AQ18" i="14"/>
  <c r="BP32" i="19"/>
  <c r="AC31" i="20"/>
  <c r="Z10" i="20"/>
  <c r="BP34" i="19"/>
  <c r="AC33" i="20"/>
  <c r="BO32" i="19"/>
  <c r="BO30" i="19" s="1"/>
  <c r="AB31" i="20"/>
  <c r="BC12" i="19"/>
  <c r="BM32" i="19"/>
  <c r="Z31" i="20"/>
  <c r="AT12" i="14"/>
  <c r="BL14" i="19"/>
  <c r="BL10" i="19" s="1"/>
  <c r="Y14" i="20"/>
  <c r="Y10" i="20" s="1"/>
  <c r="BN32" i="19"/>
  <c r="AA31" i="20"/>
  <c r="BL34" i="19"/>
  <c r="Y33" i="20"/>
  <c r="AH14" i="19"/>
  <c r="BM34" i="19"/>
  <c r="Z33" i="20"/>
  <c r="BL32" i="19"/>
  <c r="Y31" i="20"/>
  <c r="AN14" i="14"/>
  <c r="BN14" i="19"/>
  <c r="BN10" i="19" s="1"/>
  <c r="AA14" i="20"/>
  <c r="AA10" i="20" s="1"/>
  <c r="BK32" i="19"/>
  <c r="X31" i="20"/>
  <c r="AT16" i="14"/>
  <c r="BQ9" i="19"/>
  <c r="BE15" i="19"/>
  <c r="M8" i="14"/>
  <c r="AK14" i="19" l="1"/>
  <c r="AM14" i="19"/>
  <c r="AK12" i="19"/>
  <c r="AM12" i="19"/>
  <c r="AF11" i="21"/>
  <c r="AC10" i="20"/>
  <c r="AD10" i="20" s="1"/>
  <c r="BM10" i="19"/>
  <c r="BQ10" i="19" s="1"/>
  <c r="BQ12" i="19"/>
  <c r="BP30" i="19"/>
  <c r="Y29" i="20"/>
  <c r="AA33" i="20"/>
  <c r="AA29" i="20" s="1"/>
  <c r="BN30" i="19"/>
  <c r="AC29" i="20"/>
  <c r="AD14" i="20"/>
  <c r="AB29" i="20"/>
  <c r="BQ14" i="19"/>
  <c r="Z29" i="20"/>
  <c r="BM30" i="19"/>
  <c r="BK34" i="19"/>
  <c r="BQ34" i="19" s="1"/>
  <c r="X33" i="20"/>
  <c r="AT14" i="14"/>
  <c r="J11" i="14" s="1"/>
  <c r="AD31" i="20"/>
  <c r="BQ32" i="19"/>
  <c r="BL30" i="19"/>
  <c r="BQ15" i="19"/>
  <c r="BA32" i="19"/>
  <c r="AV32" i="19"/>
  <c r="AY32" i="19"/>
  <c r="V17" i="14"/>
  <c r="AT33" i="19"/>
  <c r="AT29" i="19" s="1"/>
  <c r="AT35" i="19" s="1"/>
  <c r="AT32" i="19"/>
  <c r="AD17" i="14"/>
  <c r="BB33" i="19"/>
  <c r="BB29" i="19" s="1"/>
  <c r="BB35" i="19" s="1"/>
  <c r="Y17" i="14"/>
  <c r="AW33" i="19"/>
  <c r="AW29" i="19" s="1"/>
  <c r="AW35" i="19" s="1"/>
  <c r="AA17" i="14"/>
  <c r="AY33" i="19"/>
  <c r="AY29" i="19" s="1"/>
  <c r="AY35" i="19" s="1"/>
  <c r="AB17" i="14"/>
  <c r="AZ33" i="19"/>
  <c r="AZ29" i="19" s="1"/>
  <c r="AZ35" i="19" s="1"/>
  <c r="AC17" i="14"/>
  <c r="BA33" i="19"/>
  <c r="BA29" i="19" s="1"/>
  <c r="BA35" i="19" s="1"/>
  <c r="BB32" i="19"/>
  <c r="AD33" i="20" l="1"/>
  <c r="BK30" i="19"/>
  <c r="X29" i="20"/>
  <c r="AA18" i="14"/>
  <c r="AQ33" i="19"/>
  <c r="V18" i="14"/>
  <c r="V25" i="14" s="1"/>
  <c r="AD18" i="14"/>
  <c r="AC18" i="14"/>
  <c r="X18" i="14"/>
  <c r="X25" i="14" s="1"/>
  <c r="BA34" i="19"/>
  <c r="BA30" i="19" s="1"/>
  <c r="AX32" i="19"/>
  <c r="AZ32" i="19"/>
  <c r="BB34" i="19"/>
  <c r="BB30" i="19" s="1"/>
  <c r="AW32" i="19"/>
  <c r="AT34" i="19"/>
  <c r="AT30" i="19" s="1"/>
  <c r="AT36" i="19" s="1"/>
  <c r="Z17" i="14"/>
  <c r="AX33" i="19"/>
  <c r="AX29" i="19" s="1"/>
  <c r="AX35" i="19" s="1"/>
  <c r="AR32" i="19"/>
  <c r="T17" i="14"/>
  <c r="AR33" i="19"/>
  <c r="AR29" i="19" s="1"/>
  <c r="AR35" i="19" s="1"/>
  <c r="X17" i="14"/>
  <c r="AV33" i="19"/>
  <c r="AV29" i="19" s="1"/>
  <c r="AV35" i="19" s="1"/>
  <c r="AV34" i="19"/>
  <c r="AV30" i="19" s="1"/>
  <c r="AV36" i="19" s="1"/>
  <c r="AY34" i="19"/>
  <c r="AY30" i="19" s="1"/>
  <c r="X17" i="18"/>
  <c r="AI17" i="18"/>
  <c r="P17" i="17"/>
  <c r="AH18" i="18"/>
  <c r="AF18" i="18"/>
  <c r="AF17" i="18"/>
  <c r="M17" i="17"/>
  <c r="AA17" i="18"/>
  <c r="H17" i="17"/>
  <c r="AD17" i="18"/>
  <c r="K17" i="17"/>
  <c r="N17" i="17"/>
  <c r="AG17" i="18"/>
  <c r="AH17" i="18"/>
  <c r="O17" i="17"/>
  <c r="AD29" i="20" l="1"/>
  <c r="BQ30" i="19"/>
  <c r="AQ29" i="19"/>
  <c r="Z18" i="14"/>
  <c r="Y18" i="14"/>
  <c r="AB18" i="14"/>
  <c r="T18" i="14"/>
  <c r="T25" i="14" s="1"/>
  <c r="AQ32" i="19"/>
  <c r="AS32" i="19"/>
  <c r="AR34" i="19"/>
  <c r="AR30" i="19" s="1"/>
  <c r="AR36" i="19" s="1"/>
  <c r="U17" i="14"/>
  <c r="AS33" i="19"/>
  <c r="AS29" i="19" s="1"/>
  <c r="AS35" i="19" s="1"/>
  <c r="AX34" i="19"/>
  <c r="AX30" i="19" s="1"/>
  <c r="AZ34" i="19"/>
  <c r="AZ30" i="19" s="1"/>
  <c r="AU32" i="19"/>
  <c r="AQ34" i="19"/>
  <c r="W17" i="14"/>
  <c r="AU33" i="19"/>
  <c r="AU29" i="19" s="1"/>
  <c r="AU35" i="19" s="1"/>
  <c r="AW34" i="19"/>
  <c r="AW30" i="19" s="1"/>
  <c r="E17" i="17"/>
  <c r="S17" i="14"/>
  <c r="AA18" i="18"/>
  <c r="H18" i="17"/>
  <c r="K18" i="17"/>
  <c r="M18" i="17"/>
  <c r="O18" i="17"/>
  <c r="J18" i="17"/>
  <c r="AC18" i="18"/>
  <c r="P18" i="17"/>
  <c r="AI18" i="18"/>
  <c r="AC17" i="18"/>
  <c r="J17" i="17"/>
  <c r="F18" i="17"/>
  <c r="Y17" i="18"/>
  <c r="F17" i="17"/>
  <c r="L18" i="17"/>
  <c r="AE17" i="18"/>
  <c r="L17" i="17"/>
  <c r="BC32" i="19" l="1"/>
  <c r="BC33" i="19"/>
  <c r="BC29" i="19"/>
  <c r="BC35" i="19" s="1"/>
  <c r="AQ35" i="19"/>
  <c r="AQ30" i="19"/>
  <c r="W18" i="14"/>
  <c r="W25" i="14" s="1"/>
  <c r="U18" i="14"/>
  <c r="U25" i="14" s="1"/>
  <c r="AS34" i="19"/>
  <c r="AU34" i="19"/>
  <c r="AU30" i="19" s="1"/>
  <c r="AU36" i="19" s="1"/>
  <c r="S18" i="14"/>
  <c r="S25" i="14" s="1"/>
  <c r="AE17" i="14"/>
  <c r="H12" i="14" s="1"/>
  <c r="H16" i="14" s="1"/>
  <c r="G18" i="17"/>
  <c r="AD18" i="18"/>
  <c r="N18" i="17"/>
  <c r="AG18" i="18"/>
  <c r="Y18" i="18"/>
  <c r="AE18" i="18"/>
  <c r="AB17" i="18"/>
  <c r="I17" i="17"/>
  <c r="AT17" i="14"/>
  <c r="J12" i="14" s="1"/>
  <c r="J16" i="14" s="1"/>
  <c r="Z17" i="18"/>
  <c r="G17" i="17"/>
  <c r="X18" i="18"/>
  <c r="E18" i="17"/>
  <c r="K67" i="9"/>
  <c r="K69" i="9" s="1"/>
  <c r="I67" i="9"/>
  <c r="I69" i="9" s="1"/>
  <c r="H67" i="9"/>
  <c r="H69" i="9" s="1"/>
  <c r="G67" i="9"/>
  <c r="G69" i="9" s="1"/>
  <c r="F67" i="9"/>
  <c r="F69" i="9" s="1"/>
  <c r="E67" i="9"/>
  <c r="E69" i="9" s="1"/>
  <c r="D67" i="9"/>
  <c r="D69" i="9" s="1"/>
  <c r="C67" i="9"/>
  <c r="C69" i="9" s="1"/>
  <c r="N66" i="9"/>
  <c r="N68" i="9" s="1"/>
  <c r="M66" i="9"/>
  <c r="M68" i="9" s="1"/>
  <c r="L66" i="9"/>
  <c r="L68" i="9" s="1"/>
  <c r="K66" i="9"/>
  <c r="K68" i="9" s="1"/>
  <c r="J66" i="9"/>
  <c r="J68" i="9" s="1"/>
  <c r="I66" i="9"/>
  <c r="I68" i="9" s="1"/>
  <c r="H66" i="9"/>
  <c r="H68" i="9" s="1"/>
  <c r="G66" i="9"/>
  <c r="G68" i="9" s="1"/>
  <c r="F66" i="9"/>
  <c r="F68" i="9" s="1"/>
  <c r="E66" i="9"/>
  <c r="E68" i="9" s="1"/>
  <c r="D66" i="9"/>
  <c r="D68" i="9" s="1"/>
  <c r="C66" i="9"/>
  <c r="C68" i="9" s="1"/>
  <c r="O64" i="9"/>
  <c r="H61" i="9"/>
  <c r="H63" i="9" s="1"/>
  <c r="G61" i="9"/>
  <c r="G63" i="9" s="1"/>
  <c r="F61" i="9"/>
  <c r="F63" i="9" s="1"/>
  <c r="E61" i="9"/>
  <c r="E63" i="9" s="1"/>
  <c r="D61" i="9"/>
  <c r="D63" i="9" s="1"/>
  <c r="C61" i="9"/>
  <c r="C63" i="9" s="1"/>
  <c r="N60" i="9"/>
  <c r="N62" i="9" s="1"/>
  <c r="M60" i="9"/>
  <c r="M62" i="9" s="1"/>
  <c r="L60" i="9"/>
  <c r="L62" i="9" s="1"/>
  <c r="K60" i="9"/>
  <c r="K62" i="9" s="1"/>
  <c r="J60" i="9"/>
  <c r="J62" i="9" s="1"/>
  <c r="I60" i="9"/>
  <c r="I62" i="9" s="1"/>
  <c r="H60" i="9"/>
  <c r="H62" i="9" s="1"/>
  <c r="G60" i="9"/>
  <c r="G62" i="9" s="1"/>
  <c r="F60" i="9"/>
  <c r="F62" i="9" s="1"/>
  <c r="E60" i="9"/>
  <c r="E62" i="9" s="1"/>
  <c r="D60" i="9"/>
  <c r="D62" i="9" s="1"/>
  <c r="C60" i="9"/>
  <c r="C62" i="9" s="1"/>
  <c r="O58" i="9"/>
  <c r="H55" i="9"/>
  <c r="G55" i="9"/>
  <c r="F55" i="9"/>
  <c r="E55" i="9"/>
  <c r="E57" i="9" s="1"/>
  <c r="D55" i="9"/>
  <c r="C55" i="9"/>
  <c r="N54" i="9"/>
  <c r="M54" i="9"/>
  <c r="L54" i="9"/>
  <c r="K54" i="9"/>
  <c r="J54" i="9"/>
  <c r="I54" i="9"/>
  <c r="H54" i="9"/>
  <c r="G54" i="9"/>
  <c r="F54" i="9"/>
  <c r="E54" i="9"/>
  <c r="E56" i="9" s="1"/>
  <c r="D54" i="9"/>
  <c r="C54" i="9"/>
  <c r="O52" i="9"/>
  <c r="N49" i="9"/>
  <c r="N51" i="9" s="1"/>
  <c r="M49" i="9"/>
  <c r="M51" i="9" s="1"/>
  <c r="L49" i="9"/>
  <c r="L51" i="9" s="1"/>
  <c r="H49" i="9"/>
  <c r="H51" i="9" s="1"/>
  <c r="G49" i="9"/>
  <c r="G51" i="9" s="1"/>
  <c r="F49" i="9"/>
  <c r="F51" i="9" s="1"/>
  <c r="E49" i="9"/>
  <c r="E51" i="9" s="1"/>
  <c r="D49" i="9"/>
  <c r="D51" i="9" s="1"/>
  <c r="C49" i="9"/>
  <c r="C51" i="9" s="1"/>
  <c r="N48" i="9"/>
  <c r="M48" i="9"/>
  <c r="L48" i="9"/>
  <c r="K48" i="9"/>
  <c r="K50" i="9" s="1"/>
  <c r="J48" i="9"/>
  <c r="I48" i="9"/>
  <c r="H48" i="9"/>
  <c r="H50" i="9" s="1"/>
  <c r="G48" i="9"/>
  <c r="G50" i="9" s="1"/>
  <c r="F48" i="9"/>
  <c r="F50" i="9" s="1"/>
  <c r="E48" i="9"/>
  <c r="E50" i="9" s="1"/>
  <c r="D48" i="9"/>
  <c r="D50" i="9" s="1"/>
  <c r="C48" i="9"/>
  <c r="C50" i="9" s="1"/>
  <c r="O46" i="9"/>
  <c r="M43" i="9"/>
  <c r="M45" i="9" s="1"/>
  <c r="H43" i="9"/>
  <c r="H45" i="9" s="1"/>
  <c r="G43" i="9"/>
  <c r="G45" i="9" s="1"/>
  <c r="F43" i="9"/>
  <c r="F45" i="9" s="1"/>
  <c r="E43" i="9"/>
  <c r="E45" i="9" s="1"/>
  <c r="D43" i="9"/>
  <c r="D45" i="9" s="1"/>
  <c r="C43" i="9"/>
  <c r="C45" i="9" s="1"/>
  <c r="N42" i="9"/>
  <c r="N44" i="9" s="1"/>
  <c r="M42" i="9"/>
  <c r="M44" i="9" s="1"/>
  <c r="L42" i="9"/>
  <c r="L44" i="9" s="1"/>
  <c r="K42" i="9"/>
  <c r="K44" i="9" s="1"/>
  <c r="J42" i="9"/>
  <c r="J44" i="9" s="1"/>
  <c r="I42" i="9"/>
  <c r="I44" i="9" s="1"/>
  <c r="H42" i="9"/>
  <c r="H44" i="9" s="1"/>
  <c r="G42" i="9"/>
  <c r="G44" i="9" s="1"/>
  <c r="F42" i="9"/>
  <c r="F44" i="9" s="1"/>
  <c r="E42" i="9"/>
  <c r="E44" i="9" s="1"/>
  <c r="D42" i="9"/>
  <c r="D44" i="9" s="1"/>
  <c r="C42" i="9"/>
  <c r="C44" i="9" s="1"/>
  <c r="O40" i="9"/>
  <c r="H37" i="9"/>
  <c r="H39" i="9" s="1"/>
  <c r="G37" i="9"/>
  <c r="G39" i="9" s="1"/>
  <c r="F37" i="9"/>
  <c r="F39" i="9" s="1"/>
  <c r="E37" i="9"/>
  <c r="E39" i="9" s="1"/>
  <c r="D37" i="9"/>
  <c r="D39" i="9" s="1"/>
  <c r="C37" i="9"/>
  <c r="C39" i="9" s="1"/>
  <c r="N36" i="9"/>
  <c r="M36" i="9"/>
  <c r="M38" i="9" s="1"/>
  <c r="L36" i="9"/>
  <c r="L38" i="9" s="1"/>
  <c r="K36" i="9"/>
  <c r="K38" i="9" s="1"/>
  <c r="J36" i="9"/>
  <c r="I36" i="9"/>
  <c r="I38" i="9" s="1"/>
  <c r="H36" i="9"/>
  <c r="H38" i="9" s="1"/>
  <c r="G36" i="9"/>
  <c r="G38" i="9" s="1"/>
  <c r="F36" i="9"/>
  <c r="F38" i="9" s="1"/>
  <c r="E36" i="9"/>
  <c r="E38" i="9" s="1"/>
  <c r="D36" i="9"/>
  <c r="D38" i="9" s="1"/>
  <c r="C36" i="9"/>
  <c r="C38" i="9" s="1"/>
  <c r="O34" i="9"/>
  <c r="H22" i="9"/>
  <c r="H24" i="9" s="1"/>
  <c r="G22" i="9"/>
  <c r="G24" i="9" s="1"/>
  <c r="F22" i="9"/>
  <c r="F24" i="9" s="1"/>
  <c r="E22" i="9"/>
  <c r="E24" i="9" s="1"/>
  <c r="C22" i="9"/>
  <c r="C24" i="9" s="1"/>
  <c r="C75" i="9" s="1"/>
  <c r="N21" i="9"/>
  <c r="M21" i="9"/>
  <c r="L21" i="9"/>
  <c r="K21" i="9"/>
  <c r="J21" i="9"/>
  <c r="I21" i="9"/>
  <c r="H21" i="9"/>
  <c r="H23" i="9" s="1"/>
  <c r="G21" i="9"/>
  <c r="G23" i="9" s="1"/>
  <c r="F21" i="9"/>
  <c r="F23" i="9" s="1"/>
  <c r="E21" i="9"/>
  <c r="E23" i="9" s="1"/>
  <c r="C21" i="9"/>
  <c r="C23" i="9" s="1"/>
  <c r="O19" i="9"/>
  <c r="O13" i="9"/>
  <c r="N10" i="9"/>
  <c r="N12" i="9" s="1"/>
  <c r="M10" i="9"/>
  <c r="M12" i="9" s="1"/>
  <c r="L10" i="9"/>
  <c r="L12" i="9" s="1"/>
  <c r="K10" i="9"/>
  <c r="K12" i="9" s="1"/>
  <c r="J10" i="9"/>
  <c r="J12" i="9" s="1"/>
  <c r="I10" i="9"/>
  <c r="I12" i="9" s="1"/>
  <c r="H10" i="9"/>
  <c r="H12" i="9" s="1"/>
  <c r="G10" i="9"/>
  <c r="G12" i="9" s="1"/>
  <c r="F10" i="9"/>
  <c r="F12" i="9" s="1"/>
  <c r="E10" i="9"/>
  <c r="E12" i="9" s="1"/>
  <c r="D10" i="9"/>
  <c r="D12" i="9" s="1"/>
  <c r="N9" i="9"/>
  <c r="N11" i="9" s="1"/>
  <c r="M9" i="9"/>
  <c r="M11" i="9" s="1"/>
  <c r="L9" i="9"/>
  <c r="L11" i="9" s="1"/>
  <c r="J9" i="9"/>
  <c r="J11" i="9" s="1"/>
  <c r="I9" i="9"/>
  <c r="I11" i="9" s="1"/>
  <c r="H9" i="9"/>
  <c r="H11" i="9" s="1"/>
  <c r="G9" i="9"/>
  <c r="G11" i="9" s="1"/>
  <c r="F9" i="9"/>
  <c r="F11" i="9" s="1"/>
  <c r="E9" i="9"/>
  <c r="E11" i="9" s="1"/>
  <c r="D9" i="9"/>
  <c r="D11" i="9" s="1"/>
  <c r="C74" i="9" l="1"/>
  <c r="L53" i="9"/>
  <c r="AF53" i="9" s="1"/>
  <c r="L50" i="9"/>
  <c r="M53" i="9"/>
  <c r="AG53" i="9" s="1"/>
  <c r="M50" i="9"/>
  <c r="N53" i="9"/>
  <c r="AH53" i="9" s="1"/>
  <c r="N50" i="9"/>
  <c r="AD41" i="9"/>
  <c r="J38" i="9"/>
  <c r="AH41" i="9"/>
  <c r="N38" i="9"/>
  <c r="E75" i="9"/>
  <c r="E74" i="9"/>
  <c r="L26" i="9"/>
  <c r="AF26" i="9" s="1"/>
  <c r="L23" i="9"/>
  <c r="M26" i="9"/>
  <c r="AG26" i="9" s="1"/>
  <c r="M23" i="9"/>
  <c r="N26" i="9"/>
  <c r="AH26" i="9" s="1"/>
  <c r="N23" i="9"/>
  <c r="I26" i="9"/>
  <c r="AC26" i="9" s="1"/>
  <c r="I23" i="9"/>
  <c r="J26" i="9"/>
  <c r="AD26" i="9" s="1"/>
  <c r="J23" i="9"/>
  <c r="K26" i="9"/>
  <c r="AE26" i="9" s="1"/>
  <c r="K23" i="9"/>
  <c r="J53" i="9"/>
  <c r="AD53" i="9" s="1"/>
  <c r="J50" i="9"/>
  <c r="I53" i="9"/>
  <c r="AC53" i="9" s="1"/>
  <c r="I50" i="9"/>
  <c r="N31" i="15"/>
  <c r="N35" i="15" s="1"/>
  <c r="N49" i="15" s="1"/>
  <c r="K31" i="15"/>
  <c r="K35" i="15" s="1"/>
  <c r="K49" i="15" s="1"/>
  <c r="L67" i="9"/>
  <c r="L69" i="9" s="1"/>
  <c r="M67" i="9"/>
  <c r="M69" i="9" s="1"/>
  <c r="AE41" i="9"/>
  <c r="AF41" i="9"/>
  <c r="N67" i="9"/>
  <c r="N69" i="9" s="1"/>
  <c r="L181" i="15"/>
  <c r="L183" i="15" s="1"/>
  <c r="O31" i="15"/>
  <c r="J67" i="9"/>
  <c r="J69" i="9" s="1"/>
  <c r="P181" i="15"/>
  <c r="P183" i="15" s="1"/>
  <c r="P185" i="15" s="1"/>
  <c r="C97" i="9"/>
  <c r="AQ7" i="19" s="1"/>
  <c r="D98" i="9"/>
  <c r="AR8" i="19" s="1"/>
  <c r="BC34" i="19"/>
  <c r="E98" i="9"/>
  <c r="AS8" i="19" s="1"/>
  <c r="G98" i="9"/>
  <c r="AU8" i="19" s="1"/>
  <c r="F96" i="9"/>
  <c r="AT6" i="19" s="1"/>
  <c r="AS30" i="19"/>
  <c r="AS36" i="19" s="1"/>
  <c r="I97" i="9"/>
  <c r="AW7" i="19" s="1"/>
  <c r="AQ36" i="19"/>
  <c r="H97" i="9"/>
  <c r="AV7" i="19" s="1"/>
  <c r="C81" i="9"/>
  <c r="S5" i="14" s="1"/>
  <c r="K97" i="9"/>
  <c r="AY7" i="19" s="1"/>
  <c r="M97" i="9"/>
  <c r="BA7" i="19" s="1"/>
  <c r="E97" i="9"/>
  <c r="AS7" i="19" s="1"/>
  <c r="F82" i="9"/>
  <c r="V6" i="14" s="1"/>
  <c r="N81" i="9"/>
  <c r="AD5" i="14" s="1"/>
  <c r="AD21" i="14" s="1"/>
  <c r="N95" i="9"/>
  <c r="BB5" i="19" s="1"/>
  <c r="G81" i="9"/>
  <c r="W5" i="14" s="1"/>
  <c r="W21" i="14" s="1"/>
  <c r="G95" i="9"/>
  <c r="AU5" i="19" s="1"/>
  <c r="E96" i="9"/>
  <c r="E82" i="9"/>
  <c r="U6" i="14" s="1"/>
  <c r="U22" i="14" s="1"/>
  <c r="C82" i="9"/>
  <c r="S6" i="14" s="1"/>
  <c r="S22" i="14" s="1"/>
  <c r="C96" i="9"/>
  <c r="AQ6" i="19" s="1"/>
  <c r="H95" i="9"/>
  <c r="H81" i="9"/>
  <c r="X5" i="14" s="1"/>
  <c r="X21" i="14" s="1"/>
  <c r="C95" i="9"/>
  <c r="AQ5" i="19" s="1"/>
  <c r="K95" i="9"/>
  <c r="K81" i="9"/>
  <c r="AA5" i="14" s="1"/>
  <c r="AA21" i="14" s="1"/>
  <c r="G82" i="9"/>
  <c r="W6" i="14" s="1"/>
  <c r="W22" i="14" s="1"/>
  <c r="G96" i="9"/>
  <c r="J81" i="9"/>
  <c r="Z5" i="14" s="1"/>
  <c r="Z21" i="14" s="1"/>
  <c r="J95" i="9"/>
  <c r="AX5" i="19" s="1"/>
  <c r="D95" i="9"/>
  <c r="AR5" i="19" s="1"/>
  <c r="D81" i="9"/>
  <c r="T5" i="14" s="1"/>
  <c r="T21" i="14" s="1"/>
  <c r="L95" i="9"/>
  <c r="AZ5" i="19" s="1"/>
  <c r="L81" i="9"/>
  <c r="AB5" i="14" s="1"/>
  <c r="AB21" i="14" s="1"/>
  <c r="H82" i="9"/>
  <c r="X6" i="14" s="1"/>
  <c r="H96" i="9"/>
  <c r="AV6" i="19" s="1"/>
  <c r="F81" i="9"/>
  <c r="V5" i="14" s="1"/>
  <c r="V21" i="14" s="1"/>
  <c r="F95" i="9"/>
  <c r="AT5" i="19" s="1"/>
  <c r="D82" i="9"/>
  <c r="T6" i="14" s="1"/>
  <c r="T22" i="14" s="1"/>
  <c r="D96" i="9"/>
  <c r="I81" i="9"/>
  <c r="Y5" i="14" s="1"/>
  <c r="Y21" i="14" s="1"/>
  <c r="I95" i="9"/>
  <c r="E81" i="9"/>
  <c r="U5" i="14" s="1"/>
  <c r="U21" i="14" s="1"/>
  <c r="E95" i="9"/>
  <c r="M81" i="9"/>
  <c r="AC5" i="14" s="1"/>
  <c r="AC21" i="14" s="1"/>
  <c r="M95" i="9"/>
  <c r="C72" i="9"/>
  <c r="J97" i="9"/>
  <c r="AX7" i="19" s="1"/>
  <c r="D97" i="9"/>
  <c r="AR7" i="19" s="1"/>
  <c r="L97" i="9"/>
  <c r="AZ7" i="19" s="1"/>
  <c r="H98" i="9"/>
  <c r="AV8" i="19" s="1"/>
  <c r="F97" i="9"/>
  <c r="AT7" i="19" s="1"/>
  <c r="N97" i="9"/>
  <c r="BB7" i="19" s="1"/>
  <c r="G97" i="9"/>
  <c r="AU7" i="19" s="1"/>
  <c r="C98" i="9"/>
  <c r="AQ8" i="19" s="1"/>
  <c r="F98" i="9"/>
  <c r="AT8" i="19" s="1"/>
  <c r="F73" i="9"/>
  <c r="AE18" i="14"/>
  <c r="H13" i="14" s="1"/>
  <c r="Z18" i="18"/>
  <c r="M12" i="14"/>
  <c r="M16" i="14" s="1"/>
  <c r="L12" i="14"/>
  <c r="L16" i="14" s="1"/>
  <c r="K12" i="14"/>
  <c r="K16" i="14" s="1"/>
  <c r="I18" i="17"/>
  <c r="Q18" i="17" s="1"/>
  <c r="AB18" i="18"/>
  <c r="AT18" i="14"/>
  <c r="J13" i="14" s="1"/>
  <c r="Q17" i="17"/>
  <c r="AJ17" i="18"/>
  <c r="H72" i="9"/>
  <c r="X6" i="18"/>
  <c r="E6" i="17"/>
  <c r="F70" i="9"/>
  <c r="N70" i="9"/>
  <c r="H71" i="9"/>
  <c r="E70" i="9"/>
  <c r="M70" i="9"/>
  <c r="D71" i="9"/>
  <c r="J70" i="9"/>
  <c r="K70" i="9"/>
  <c r="G71" i="9"/>
  <c r="G70" i="9"/>
  <c r="I70" i="9"/>
  <c r="E71" i="9"/>
  <c r="H70" i="9"/>
  <c r="O10" i="9"/>
  <c r="O15" i="9"/>
  <c r="O36" i="9"/>
  <c r="O68" i="9"/>
  <c r="O9" i="9"/>
  <c r="O21" i="9"/>
  <c r="O48" i="9"/>
  <c r="D70" i="9"/>
  <c r="D72" i="9"/>
  <c r="O60" i="9"/>
  <c r="L70" i="9"/>
  <c r="F71" i="9"/>
  <c r="I72" i="9"/>
  <c r="G73" i="9"/>
  <c r="M72" i="9"/>
  <c r="C73" i="9"/>
  <c r="F72" i="9"/>
  <c r="N72" i="9"/>
  <c r="D73" i="9"/>
  <c r="O42" i="9"/>
  <c r="O54" i="9"/>
  <c r="E73" i="9"/>
  <c r="O66" i="9"/>
  <c r="P121" i="15" l="1"/>
  <c r="P123" i="15" s="1"/>
  <c r="P139" i="15" s="1"/>
  <c r="N43" i="9"/>
  <c r="N45" i="9" s="1"/>
  <c r="L121" i="15"/>
  <c r="L123" i="15" s="1"/>
  <c r="L139" i="15" s="1"/>
  <c r="I43" i="9"/>
  <c r="I45" i="9" s="1"/>
  <c r="AC41" i="9"/>
  <c r="AH121" i="15" s="1"/>
  <c r="J43" i="9"/>
  <c r="J45" i="9" s="1"/>
  <c r="O53" i="15"/>
  <c r="O65" i="15" s="1"/>
  <c r="O71" i="15" s="1"/>
  <c r="M22" i="9"/>
  <c r="M24" i="9" s="1"/>
  <c r="M53" i="15"/>
  <c r="M65" i="15" s="1"/>
  <c r="M71" i="15" s="1"/>
  <c r="K22" i="9"/>
  <c r="K24" i="9" s="1"/>
  <c r="AF67" i="9"/>
  <c r="AF69" i="9" s="1"/>
  <c r="O181" i="15"/>
  <c r="O183" i="15" s="1"/>
  <c r="O185" i="15" s="1"/>
  <c r="AG67" i="9"/>
  <c r="AG69" i="9" s="1"/>
  <c r="N181" i="15"/>
  <c r="N183" i="15" s="1"/>
  <c r="N185" i="15" s="1"/>
  <c r="AK31" i="15"/>
  <c r="AK35" i="15" s="1"/>
  <c r="AK49" i="15" s="1"/>
  <c r="AF16" i="9"/>
  <c r="AF18" i="9" s="1"/>
  <c r="AH31" i="15"/>
  <c r="AH35" i="15" s="1"/>
  <c r="AC16" i="9"/>
  <c r="AC18" i="9" s="1"/>
  <c r="AI31" i="15"/>
  <c r="AI35" i="15" s="1"/>
  <c r="AI49" i="15" s="1"/>
  <c r="K121" i="15"/>
  <c r="K123" i="15" s="1"/>
  <c r="O65" i="9"/>
  <c r="O14" i="9"/>
  <c r="J90" i="9"/>
  <c r="N6" i="19" s="1"/>
  <c r="L43" i="9"/>
  <c r="L45" i="9" s="1"/>
  <c r="O44" i="9"/>
  <c r="P31" i="15"/>
  <c r="P35" i="15" s="1"/>
  <c r="L31" i="15"/>
  <c r="L35" i="15" s="1"/>
  <c r="O41" i="9"/>
  <c r="O23" i="9"/>
  <c r="M31" i="15"/>
  <c r="M35" i="15" s="1"/>
  <c r="N121" i="15"/>
  <c r="N123" i="15" s="1"/>
  <c r="N139" i="15" s="1"/>
  <c r="O69" i="9"/>
  <c r="M121" i="15"/>
  <c r="M123" i="15" s="1"/>
  <c r="M139" i="15" s="1"/>
  <c r="K43" i="9"/>
  <c r="K45" i="9" s="1"/>
  <c r="O56" i="9"/>
  <c r="O17" i="9"/>
  <c r="O75" i="15"/>
  <c r="O77" i="15" s="1"/>
  <c r="O93" i="15" s="1"/>
  <c r="M28" i="9"/>
  <c r="AM31" i="15"/>
  <c r="AM35" i="15" s="1"/>
  <c r="AM49" i="15" s="1"/>
  <c r="AH16" i="9"/>
  <c r="AH18" i="9" s="1"/>
  <c r="AL31" i="15"/>
  <c r="AL35" i="15" s="1"/>
  <c r="AL49" i="15" s="1"/>
  <c r="AG16" i="9"/>
  <c r="AG18" i="9" s="1"/>
  <c r="AG90" i="9"/>
  <c r="K143" i="15"/>
  <c r="O47" i="9"/>
  <c r="I49" i="9"/>
  <c r="I51" i="9" s="1"/>
  <c r="AH90" i="9"/>
  <c r="P53" i="15"/>
  <c r="P65" i="15" s="1"/>
  <c r="P71" i="15" s="1"/>
  <c r="N22" i="9"/>
  <c r="N24" i="9" s="1"/>
  <c r="I90" i="9"/>
  <c r="K53" i="15"/>
  <c r="I22" i="9"/>
  <c r="I24" i="9" s="1"/>
  <c r="O20" i="9"/>
  <c r="P173" i="15"/>
  <c r="P175" i="15" s="1"/>
  <c r="N61" i="9"/>
  <c r="N63" i="9" s="1"/>
  <c r="N173" i="15"/>
  <c r="N175" i="15" s="1"/>
  <c r="L61" i="9"/>
  <c r="L63" i="9" s="1"/>
  <c r="L185" i="15"/>
  <c r="L173" i="15"/>
  <c r="L175" i="15" s="1"/>
  <c r="J61" i="9"/>
  <c r="J63" i="9" s="1"/>
  <c r="K173" i="15"/>
  <c r="K175" i="15" s="1"/>
  <c r="I61" i="9"/>
  <c r="I63" i="9" s="1"/>
  <c r="O59" i="9"/>
  <c r="AM121" i="15"/>
  <c r="AM123" i="15" s="1"/>
  <c r="AM139" i="15" s="1"/>
  <c r="AH43" i="9"/>
  <c r="AH45" i="9" s="1"/>
  <c r="O35" i="15"/>
  <c r="K90" i="9"/>
  <c r="O6" i="19" s="1"/>
  <c r="AJ121" i="15"/>
  <c r="AJ123" i="15" s="1"/>
  <c r="AJ139" i="15" s="1"/>
  <c r="AE43" i="9"/>
  <c r="AE45" i="9" s="1"/>
  <c r="O165" i="15"/>
  <c r="M55" i="9"/>
  <c r="M57" i="9" s="1"/>
  <c r="P75" i="15"/>
  <c r="P77" i="15" s="1"/>
  <c r="P93" i="15" s="1"/>
  <c r="N28" i="9"/>
  <c r="N30" i="9" s="1"/>
  <c r="K165" i="15"/>
  <c r="O53" i="9"/>
  <c r="I55" i="9"/>
  <c r="I57" i="9" s="1"/>
  <c r="M90" i="9"/>
  <c r="Q6" i="19" s="1"/>
  <c r="AI181" i="15"/>
  <c r="AI183" i="15" s="1"/>
  <c r="AI185" i="15" s="1"/>
  <c r="AD67" i="9"/>
  <c r="AD69" i="9" s="1"/>
  <c r="P165" i="15"/>
  <c r="N55" i="9"/>
  <c r="N57" i="9" s="1"/>
  <c r="O173" i="15"/>
  <c r="O175" i="15" s="1"/>
  <c r="M61" i="9"/>
  <c r="M63" i="9" s="1"/>
  <c r="N165" i="15"/>
  <c r="L55" i="9"/>
  <c r="L57" i="9" s="1"/>
  <c r="O67" i="9"/>
  <c r="L90" i="9"/>
  <c r="P6" i="19" s="1"/>
  <c r="N53" i="15"/>
  <c r="L22" i="9"/>
  <c r="L24" i="9" s="1"/>
  <c r="M173" i="15"/>
  <c r="M175" i="15" s="1"/>
  <c r="K61" i="9"/>
  <c r="K63" i="9" s="1"/>
  <c r="K75" i="15"/>
  <c r="I28" i="9"/>
  <c r="O26" i="9"/>
  <c r="L143" i="15"/>
  <c r="L147" i="15" s="1"/>
  <c r="L161" i="15" s="1"/>
  <c r="J49" i="9"/>
  <c r="J51" i="9" s="1"/>
  <c r="L75" i="15"/>
  <c r="L77" i="15" s="1"/>
  <c r="L93" i="15" s="1"/>
  <c r="J28" i="9"/>
  <c r="J30" i="9" s="1"/>
  <c r="M165" i="15"/>
  <c r="K55" i="9"/>
  <c r="AI121" i="15"/>
  <c r="AI123" i="15" s="1"/>
  <c r="AI139" i="15" s="1"/>
  <c r="AD43" i="9"/>
  <c r="AD45" i="9" s="1"/>
  <c r="M143" i="15"/>
  <c r="M147" i="15" s="1"/>
  <c r="M161" i="15" s="1"/>
  <c r="K49" i="9"/>
  <c r="K51" i="9" s="1"/>
  <c r="M75" i="15"/>
  <c r="M77" i="15" s="1"/>
  <c r="M93" i="15" s="1"/>
  <c r="K28" i="9"/>
  <c r="AK121" i="15"/>
  <c r="AK123" i="15" s="1"/>
  <c r="AK139" i="15" s="1"/>
  <c r="AF43" i="9"/>
  <c r="AF45" i="9" s="1"/>
  <c r="N90" i="9"/>
  <c r="R6" i="19" s="1"/>
  <c r="N75" i="15"/>
  <c r="N77" i="15" s="1"/>
  <c r="N93" i="15" s="1"/>
  <c r="L28" i="9"/>
  <c r="L30" i="9" s="1"/>
  <c r="AM181" i="15"/>
  <c r="AM183" i="15" s="1"/>
  <c r="AM185" i="15" s="1"/>
  <c r="AH67" i="9"/>
  <c r="AH69" i="9" s="1"/>
  <c r="L53" i="15"/>
  <c r="L65" i="15" s="1"/>
  <c r="L71" i="15" s="1"/>
  <c r="J22" i="9"/>
  <c r="J24" i="9" s="1"/>
  <c r="L165" i="15"/>
  <c r="J55" i="9"/>
  <c r="J57" i="9" s="1"/>
  <c r="AX3" i="19"/>
  <c r="AX15" i="19" s="1"/>
  <c r="AT4" i="19"/>
  <c r="AT16" i="19" s="1"/>
  <c r="BC7" i="19"/>
  <c r="AV4" i="19"/>
  <c r="AU3" i="19"/>
  <c r="AU15" i="19" s="1"/>
  <c r="D100" i="9"/>
  <c r="AR6" i="19"/>
  <c r="AR4" i="19" s="1"/>
  <c r="AR16" i="19" s="1"/>
  <c r="BB3" i="19"/>
  <c r="BB15" i="19" s="1"/>
  <c r="BC30" i="19"/>
  <c r="K99" i="9"/>
  <c r="AY5" i="19"/>
  <c r="AY3" i="19" s="1"/>
  <c r="AY15" i="19" s="1"/>
  <c r="E100" i="9"/>
  <c r="AS6" i="19"/>
  <c r="AS4" i="19" s="1"/>
  <c r="AS16" i="19" s="1"/>
  <c r="AZ3" i="19"/>
  <c r="AZ15" i="19" s="1"/>
  <c r="F74" i="9"/>
  <c r="AQ3" i="19"/>
  <c r="I99" i="9"/>
  <c r="AW5" i="19"/>
  <c r="AW3" i="19" s="1"/>
  <c r="AW15" i="19" s="1"/>
  <c r="AQ4" i="19"/>
  <c r="AT3" i="19"/>
  <c r="AT15" i="19" s="1"/>
  <c r="G100" i="9"/>
  <c r="AU6" i="19"/>
  <c r="AU4" i="19" s="1"/>
  <c r="AU16" i="19" s="1"/>
  <c r="M99" i="9"/>
  <c r="BA5" i="19"/>
  <c r="BA3" i="19" s="1"/>
  <c r="BA15" i="19" s="1"/>
  <c r="H99" i="9"/>
  <c r="AV5" i="19"/>
  <c r="AV3" i="19" s="1"/>
  <c r="AV15" i="19" s="1"/>
  <c r="AR3" i="19"/>
  <c r="AR15" i="19" s="1"/>
  <c r="E99" i="9"/>
  <c r="AS5" i="19"/>
  <c r="AS3" i="19" s="1"/>
  <c r="AS15" i="19" s="1"/>
  <c r="J99" i="9"/>
  <c r="H100" i="9"/>
  <c r="G99" i="9"/>
  <c r="F99" i="9"/>
  <c r="H74" i="9"/>
  <c r="H83" i="9"/>
  <c r="G75" i="9"/>
  <c r="G84" i="9"/>
  <c r="I74" i="9"/>
  <c r="I83" i="9"/>
  <c r="D75" i="9"/>
  <c r="D84" i="9"/>
  <c r="C84" i="9"/>
  <c r="C83" i="9"/>
  <c r="H75" i="9"/>
  <c r="H84" i="9"/>
  <c r="C100" i="9"/>
  <c r="F83" i="9"/>
  <c r="D83" i="9"/>
  <c r="D74" i="9"/>
  <c r="M83" i="9"/>
  <c r="M74" i="9"/>
  <c r="L83" i="9"/>
  <c r="L74" i="9"/>
  <c r="N83" i="9"/>
  <c r="N74" i="9"/>
  <c r="K74" i="9"/>
  <c r="K83" i="9"/>
  <c r="G74" i="9"/>
  <c r="G83" i="9"/>
  <c r="J74" i="9"/>
  <c r="J83" i="9"/>
  <c r="E83" i="9"/>
  <c r="E84" i="9"/>
  <c r="F75" i="9"/>
  <c r="F84" i="9"/>
  <c r="D99" i="9"/>
  <c r="R70" i="9"/>
  <c r="L99" i="9"/>
  <c r="N99" i="9"/>
  <c r="O97" i="9"/>
  <c r="AE5" i="14"/>
  <c r="H6" i="14" s="1"/>
  <c r="H14" i="14" s="1"/>
  <c r="S21" i="14"/>
  <c r="AE21" i="14" s="1"/>
  <c r="O95" i="9"/>
  <c r="C99" i="9"/>
  <c r="V22" i="14"/>
  <c r="F100" i="9"/>
  <c r="O81" i="9"/>
  <c r="AJ18" i="18"/>
  <c r="M13" i="14"/>
  <c r="L13" i="14"/>
  <c r="K13" i="14"/>
  <c r="G72" i="9"/>
  <c r="E72" i="9"/>
  <c r="H73" i="9"/>
  <c r="L72" i="9"/>
  <c r="O70" i="9"/>
  <c r="K72" i="9"/>
  <c r="J72" i="9"/>
  <c r="O38" i="9"/>
  <c r="AF5" i="18"/>
  <c r="M5" i="17"/>
  <c r="AI5" i="18"/>
  <c r="P5" i="17"/>
  <c r="AC5" i="18"/>
  <c r="J5" i="17"/>
  <c r="AC6" i="18"/>
  <c r="J6" i="17"/>
  <c r="AE5" i="18"/>
  <c r="L5" i="17"/>
  <c r="AG5" i="18"/>
  <c r="N5" i="17"/>
  <c r="AD5" i="18"/>
  <c r="K5" i="17"/>
  <c r="AH5" i="18"/>
  <c r="O5" i="17"/>
  <c r="Z5" i="18"/>
  <c r="G5" i="17"/>
  <c r="AB5" i="18"/>
  <c r="I5" i="17"/>
  <c r="Y6" i="18"/>
  <c r="F6" i="17"/>
  <c r="AA5" i="18"/>
  <c r="H5" i="17"/>
  <c r="AA6" i="18"/>
  <c r="H6" i="17"/>
  <c r="AB6" i="18"/>
  <c r="I6" i="17"/>
  <c r="Z6" i="18"/>
  <c r="G6" i="17"/>
  <c r="Y5" i="18"/>
  <c r="F5" i="17"/>
  <c r="X5" i="18"/>
  <c r="E5" i="17"/>
  <c r="O11" i="9"/>
  <c r="O50" i="9"/>
  <c r="O62" i="9"/>
  <c r="O12" i="9"/>
  <c r="AH49" i="15" l="1"/>
  <c r="O18" i="9"/>
  <c r="BC5" i="19"/>
  <c r="AI65" i="9"/>
  <c r="AL181" i="15"/>
  <c r="AL183" i="15" s="1"/>
  <c r="AL185" i="15" s="1"/>
  <c r="AK181" i="15"/>
  <c r="AK183" i="15" s="1"/>
  <c r="AK185" i="15" s="1"/>
  <c r="AJ53" i="15"/>
  <c r="AJ65" i="15" s="1"/>
  <c r="AJ71" i="15" s="1"/>
  <c r="AE22" i="9"/>
  <c r="AE24" i="9" s="1"/>
  <c r="AL53" i="15"/>
  <c r="AL65" i="15" s="1"/>
  <c r="AL71" i="15" s="1"/>
  <c r="AG22" i="9"/>
  <c r="AG24" i="9" s="1"/>
  <c r="Q185" i="15"/>
  <c r="Q183" i="15"/>
  <c r="AD90" i="9"/>
  <c r="AA7" i="21" s="1"/>
  <c r="AI14" i="9"/>
  <c r="AD16" i="9"/>
  <c r="AD18" i="9" s="1"/>
  <c r="AI41" i="9"/>
  <c r="AC43" i="9"/>
  <c r="BY7" i="19"/>
  <c r="CA7" i="19" s="1"/>
  <c r="O31" i="9"/>
  <c r="O43" i="9"/>
  <c r="O45" i="9"/>
  <c r="Q31" i="15"/>
  <c r="R30" i="15" s="1"/>
  <c r="O16" i="9"/>
  <c r="AE16" i="9"/>
  <c r="AE18" i="9" s="1"/>
  <c r="AE90" i="9"/>
  <c r="AB7" i="21" s="1"/>
  <c r="AJ31" i="15"/>
  <c r="AI4" i="18"/>
  <c r="L80" i="9"/>
  <c r="Q121" i="15"/>
  <c r="R120" i="15" s="1"/>
  <c r="J92" i="9"/>
  <c r="N8" i="19" s="1"/>
  <c r="N4" i="19" s="1"/>
  <c r="N16" i="19" s="1"/>
  <c r="AE7" i="21"/>
  <c r="AG6" i="19"/>
  <c r="AI165" i="15"/>
  <c r="AD55" i="9"/>
  <c r="AD57" i="9" s="1"/>
  <c r="L96" i="9"/>
  <c r="O177" i="15"/>
  <c r="O187" i="15"/>
  <c r="K30" i="9"/>
  <c r="K96" i="9"/>
  <c r="AI143" i="15"/>
  <c r="AI147" i="15" s="1"/>
  <c r="AI161" i="15" s="1"/>
  <c r="AD49" i="9"/>
  <c r="AD51" i="9" s="1"/>
  <c r="AH165" i="15"/>
  <c r="AC55" i="9"/>
  <c r="AC57" i="9" s="1"/>
  <c r="AI53" i="9"/>
  <c r="L73" i="9"/>
  <c r="L71" i="9"/>
  <c r="M6" i="19"/>
  <c r="O90" i="9"/>
  <c r="AI69" i="9"/>
  <c r="AI67" i="9"/>
  <c r="Q35" i="15"/>
  <c r="L49" i="15"/>
  <c r="L212" i="15"/>
  <c r="AX26" i="19" s="1"/>
  <c r="AJ143" i="15"/>
  <c r="AJ147" i="15" s="1"/>
  <c r="AJ161" i="15" s="1"/>
  <c r="AE49" i="9"/>
  <c r="AE51" i="9" s="1"/>
  <c r="I30" i="9"/>
  <c r="O28" i="9"/>
  <c r="AK173" i="15"/>
  <c r="AK175" i="15" s="1"/>
  <c r="AF61" i="9"/>
  <c r="AF63" i="9" s="1"/>
  <c r="AH143" i="15"/>
  <c r="AC49" i="9"/>
  <c r="AC51" i="9" s="1"/>
  <c r="AI47" i="9"/>
  <c r="AH53" i="15"/>
  <c r="AC90" i="9"/>
  <c r="AC22" i="9"/>
  <c r="AC24" i="9" s="1"/>
  <c r="AI20" i="9"/>
  <c r="K77" i="15"/>
  <c r="Q75" i="15"/>
  <c r="N73" i="9"/>
  <c r="N71" i="9"/>
  <c r="K71" i="9"/>
  <c r="K73" i="9"/>
  <c r="O61" i="9"/>
  <c r="I71" i="9"/>
  <c r="P177" i="15"/>
  <c r="P187" i="15"/>
  <c r="P49" i="15"/>
  <c r="P212" i="15"/>
  <c r="BB26" i="19" s="1"/>
  <c r="M49" i="15"/>
  <c r="M212" i="15"/>
  <c r="AY26" i="19" s="1"/>
  <c r="AL165" i="15"/>
  <c r="AG55" i="9"/>
  <c r="AG57" i="9" s="1"/>
  <c r="K177" i="15"/>
  <c r="K187" i="15"/>
  <c r="Q175" i="15"/>
  <c r="AM173" i="15"/>
  <c r="AM175" i="15" s="1"/>
  <c r="AH61" i="9"/>
  <c r="AH63" i="9" s="1"/>
  <c r="Q143" i="15"/>
  <c r="R142" i="15" s="1"/>
  <c r="K147" i="15"/>
  <c r="M177" i="15"/>
  <c r="M187" i="15"/>
  <c r="AK165" i="15"/>
  <c r="AF55" i="9"/>
  <c r="AF57" i="9" s="1"/>
  <c r="AJ173" i="15"/>
  <c r="AJ175" i="15" s="1"/>
  <c r="AE61" i="9"/>
  <c r="AE63" i="9" s="1"/>
  <c r="M71" i="9"/>
  <c r="M73" i="9"/>
  <c r="AH173" i="15"/>
  <c r="AH175" i="15" s="1"/>
  <c r="AC61" i="9"/>
  <c r="AC63" i="9" s="1"/>
  <c r="AI59" i="9"/>
  <c r="J71" i="9"/>
  <c r="J73" i="9"/>
  <c r="I96" i="9"/>
  <c r="O22" i="9"/>
  <c r="N177" i="15"/>
  <c r="N187" i="15"/>
  <c r="N96" i="9"/>
  <c r="AL173" i="15"/>
  <c r="AL175" i="15" s="1"/>
  <c r="AG61" i="9"/>
  <c r="AG63" i="9" s="1"/>
  <c r="L177" i="15"/>
  <c r="L187" i="15"/>
  <c r="J96" i="9"/>
  <c r="AH123" i="15"/>
  <c r="AN121" i="15"/>
  <c r="O57" i="9"/>
  <c r="O55" i="9"/>
  <c r="O49" i="15"/>
  <c r="O212" i="15"/>
  <c r="BA26" i="19" s="1"/>
  <c r="AI173" i="15"/>
  <c r="AI175" i="15" s="1"/>
  <c r="AD61" i="9"/>
  <c r="AD63" i="9" s="1"/>
  <c r="AD7" i="21"/>
  <c r="AF6" i="19"/>
  <c r="M30" i="9"/>
  <c r="M96" i="9"/>
  <c r="K65" i="15"/>
  <c r="Q53" i="15"/>
  <c r="R52" i="15" s="1"/>
  <c r="AM53" i="15"/>
  <c r="AM65" i="15" s="1"/>
  <c r="AM71" i="15" s="1"/>
  <c r="AH22" i="9"/>
  <c r="AH24" i="9" s="1"/>
  <c r="AK53" i="15"/>
  <c r="AF22" i="9"/>
  <c r="AF24" i="9" s="1"/>
  <c r="AF90" i="9"/>
  <c r="AJ165" i="15"/>
  <c r="AE55" i="9"/>
  <c r="AE57" i="9" s="1"/>
  <c r="K139" i="15"/>
  <c r="Q139" i="15" s="1"/>
  <c r="Q123" i="15"/>
  <c r="N65" i="15"/>
  <c r="AI53" i="15"/>
  <c r="AI65" i="15" s="1"/>
  <c r="AI71" i="15" s="1"/>
  <c r="AD22" i="9"/>
  <c r="AD24" i="9" s="1"/>
  <c r="AM165" i="15"/>
  <c r="AH55" i="9"/>
  <c r="AH57" i="9" s="1"/>
  <c r="Q165" i="15"/>
  <c r="R164" i="15" s="1"/>
  <c r="O51" i="9"/>
  <c r="O49" i="9"/>
  <c r="BC3" i="19"/>
  <c r="BC15" i="19" s="1"/>
  <c r="AQ15" i="19"/>
  <c r="AQ16" i="19"/>
  <c r="G85" i="9"/>
  <c r="C76" i="9"/>
  <c r="D85" i="9"/>
  <c r="C85" i="9"/>
  <c r="G76" i="9"/>
  <c r="O99" i="9"/>
  <c r="E85" i="9"/>
  <c r="F85" i="9"/>
  <c r="F76" i="9"/>
  <c r="H76" i="9"/>
  <c r="H25" i="18"/>
  <c r="I25" i="18" s="1"/>
  <c r="J25" i="18" s="1"/>
  <c r="H85" i="9"/>
  <c r="O83" i="9"/>
  <c r="E76" i="9"/>
  <c r="O72" i="9"/>
  <c r="D76" i="9"/>
  <c r="AT5" i="14"/>
  <c r="J6" i="14" s="1"/>
  <c r="J14" i="14" s="1"/>
  <c r="Q5" i="17"/>
  <c r="AJ5" i="18"/>
  <c r="O74" i="9"/>
  <c r="AN31" i="15" l="1"/>
  <c r="AJ35" i="15"/>
  <c r="AN183" i="15"/>
  <c r="AN185" i="15"/>
  <c r="AC45" i="9"/>
  <c r="AI45" i="9" s="1"/>
  <c r="AG96" i="9"/>
  <c r="BO6" i="19" s="1"/>
  <c r="AE96" i="9"/>
  <c r="BM6" i="19" s="1"/>
  <c r="AC6" i="19"/>
  <c r="AI43" i="9"/>
  <c r="AI16" i="9"/>
  <c r="AG4" i="18"/>
  <c r="N99" i="15"/>
  <c r="N103" i="15" s="1"/>
  <c r="N202" i="15" s="1"/>
  <c r="AI18" i="9"/>
  <c r="L37" i="9"/>
  <c r="L92" i="9"/>
  <c r="P8" i="19" s="1"/>
  <c r="P4" i="19" s="1"/>
  <c r="P16" i="19" s="1"/>
  <c r="AK99" i="15"/>
  <c r="AK103" i="15" s="1"/>
  <c r="N4" i="17"/>
  <c r="P99" i="15"/>
  <c r="P200" i="15" s="1"/>
  <c r="AD8" i="14" s="1"/>
  <c r="N92" i="9"/>
  <c r="R8" i="19" s="1"/>
  <c r="R4" i="19" s="1"/>
  <c r="R16" i="19" s="1"/>
  <c r="P4" i="17"/>
  <c r="N37" i="9"/>
  <c r="AD92" i="9"/>
  <c r="AH80" i="9"/>
  <c r="AS4" i="14" s="1"/>
  <c r="AS20" i="14" s="1"/>
  <c r="L4" i="17"/>
  <c r="J80" i="9"/>
  <c r="Z4" i="14" s="1"/>
  <c r="Z20" i="14" s="1"/>
  <c r="AD6" i="19"/>
  <c r="AE4" i="18"/>
  <c r="N80" i="9"/>
  <c r="J37" i="9"/>
  <c r="L99" i="15"/>
  <c r="L200" i="15" s="1"/>
  <c r="Z8" i="14" s="1"/>
  <c r="AN165" i="15"/>
  <c r="AH96" i="9"/>
  <c r="BP6" i="19" s="1"/>
  <c r="AD96" i="9"/>
  <c r="BL6" i="19" s="1"/>
  <c r="AN175" i="15"/>
  <c r="AH187" i="15"/>
  <c r="AH177" i="15"/>
  <c r="AI51" i="9"/>
  <c r="AI49" i="9"/>
  <c r="AM212" i="15"/>
  <c r="AJ177" i="15"/>
  <c r="AJ187" i="15"/>
  <c r="I73" i="9"/>
  <c r="O73" i="9" s="1"/>
  <c r="O63" i="9"/>
  <c r="AM187" i="15"/>
  <c r="AM177" i="15"/>
  <c r="AI57" i="9"/>
  <c r="AI55" i="9"/>
  <c r="AD73" i="9"/>
  <c r="AD71" i="9"/>
  <c r="AX6" i="19"/>
  <c r="O71" i="9"/>
  <c r="AF96" i="9"/>
  <c r="BA6" i="19"/>
  <c r="BB6" i="19"/>
  <c r="AH147" i="15"/>
  <c r="AN143" i="15"/>
  <c r="AK177" i="15"/>
  <c r="AK187" i="15"/>
  <c r="O30" i="9"/>
  <c r="K71" i="15"/>
  <c r="Q65" i="15"/>
  <c r="K212" i="15"/>
  <c r="AW26" i="19" s="1"/>
  <c r="N71" i="15"/>
  <c r="N212" i="15"/>
  <c r="AZ26" i="19" s="1"/>
  <c r="AK65" i="15"/>
  <c r="AF73" i="9"/>
  <c r="AF71" i="9"/>
  <c r="AI212" i="15"/>
  <c r="Z7" i="21"/>
  <c r="AB6" i="19"/>
  <c r="AI90" i="9"/>
  <c r="AB4" i="14"/>
  <c r="AB20" i="14" s="1"/>
  <c r="N6" i="17"/>
  <c r="AG6" i="18"/>
  <c r="S6" i="19"/>
  <c r="O24" i="9"/>
  <c r="AB6" i="20"/>
  <c r="AL212" i="15"/>
  <c r="AH65" i="15"/>
  <c r="AN53" i="15"/>
  <c r="AG71" i="9"/>
  <c r="AG73" i="9"/>
  <c r="Q49" i="15"/>
  <c r="AZ6" i="19"/>
  <c r="AH139" i="15"/>
  <c r="AN139" i="15" s="1"/>
  <c r="AQ139" i="15" s="1"/>
  <c r="AN123" i="15"/>
  <c r="K161" i="15"/>
  <c r="Q161" i="15" s="1"/>
  <c r="Q147" i="15"/>
  <c r="AE71" i="9"/>
  <c r="AE73" i="9"/>
  <c r="Q177" i="15"/>
  <c r="Q77" i="15"/>
  <c r="K93" i="15"/>
  <c r="Q93" i="15" s="1"/>
  <c r="AI177" i="15"/>
  <c r="AI187" i="15"/>
  <c r="AC96" i="9"/>
  <c r="AI22" i="9"/>
  <c r="AY6" i="19"/>
  <c r="AC7" i="21"/>
  <c r="AE6" i="19"/>
  <c r="AL177" i="15"/>
  <c r="AL187" i="15"/>
  <c r="AW6" i="19"/>
  <c r="O96" i="9"/>
  <c r="AC71" i="9"/>
  <c r="AI61" i="9"/>
  <c r="AH71" i="9"/>
  <c r="AH73" i="9"/>
  <c r="N25" i="18"/>
  <c r="M6" i="14"/>
  <c r="M14" i="14" s="1"/>
  <c r="L6" i="14"/>
  <c r="L14" i="14" s="1"/>
  <c r="K6" i="14"/>
  <c r="K14" i="14" s="1"/>
  <c r="K25" i="18"/>
  <c r="O25" i="18"/>
  <c r="L82" i="9" l="1"/>
  <c r="AB6" i="14" s="1"/>
  <c r="L39" i="9"/>
  <c r="AJ49" i="15"/>
  <c r="AN49" i="15" s="1"/>
  <c r="AQ49" i="15" s="1"/>
  <c r="AN35" i="15"/>
  <c r="U6" i="19"/>
  <c r="R19" i="9" s="1"/>
  <c r="AI6" i="19"/>
  <c r="N82" i="9"/>
  <c r="AD6" i="14" s="1"/>
  <c r="N39" i="9"/>
  <c r="N75" i="9" s="1"/>
  <c r="N76" i="9" s="1"/>
  <c r="J82" i="9"/>
  <c r="Z6" i="14" s="1"/>
  <c r="J39" i="9"/>
  <c r="J75" i="9" s="1"/>
  <c r="J76" i="9" s="1"/>
  <c r="Z6" i="20"/>
  <c r="AC6" i="20"/>
  <c r="L98" i="9"/>
  <c r="AZ8" i="19" s="1"/>
  <c r="AZ4" i="19" s="1"/>
  <c r="AG8" i="18"/>
  <c r="N214" i="15"/>
  <c r="AZ28" i="19" s="1"/>
  <c r="AZ24" i="19" s="1"/>
  <c r="AZ36" i="19" s="1"/>
  <c r="N117" i="15"/>
  <c r="N204" i="15" s="1"/>
  <c r="N205" i="15" s="1"/>
  <c r="N8" i="17"/>
  <c r="L75" i="9"/>
  <c r="L76" i="9" s="1"/>
  <c r="AF92" i="9"/>
  <c r="AE8" i="19" s="1"/>
  <c r="AE4" i="19" s="1"/>
  <c r="AE16" i="19" s="1"/>
  <c r="AF80" i="9"/>
  <c r="AQ4" i="14" s="1"/>
  <c r="AQ20" i="14" s="1"/>
  <c r="AI99" i="15"/>
  <c r="AI103" i="15" s="1"/>
  <c r="AI8" i="18"/>
  <c r="N98" i="9"/>
  <c r="BB8" i="19" s="1"/>
  <c r="BB4" i="19" s="1"/>
  <c r="P103" i="15"/>
  <c r="P117" i="15" s="1"/>
  <c r="AJ212" i="15"/>
  <c r="Z25" i="20" s="1"/>
  <c r="N200" i="15"/>
  <c r="AB8" i="14" s="1"/>
  <c r="AF37" i="9"/>
  <c r="P8" i="17"/>
  <c r="Y6" i="20"/>
  <c r="J98" i="9"/>
  <c r="AX8" i="19" s="1"/>
  <c r="AX4" i="19" s="1"/>
  <c r="AH37" i="9"/>
  <c r="AD80" i="9"/>
  <c r="AO4" i="14" s="1"/>
  <c r="AO20" i="14" s="1"/>
  <c r="AH92" i="9"/>
  <c r="AE9" i="21" s="1"/>
  <c r="AE5" i="21" s="1"/>
  <c r="AE17" i="21" s="1"/>
  <c r="AD37" i="9"/>
  <c r="AD39" i="9" s="1"/>
  <c r="AM99" i="15"/>
  <c r="AM103" i="15" s="1"/>
  <c r="AE6" i="18"/>
  <c r="L6" i="17"/>
  <c r="L8" i="17"/>
  <c r="AE8" i="18"/>
  <c r="L103" i="15"/>
  <c r="L214" i="15" s="1"/>
  <c r="AX28" i="19" s="1"/>
  <c r="AX24" i="19" s="1"/>
  <c r="AX36" i="19" s="1"/>
  <c r="AD4" i="14"/>
  <c r="AD20" i="14" s="1"/>
  <c r="P6" i="17"/>
  <c r="AI6" i="18"/>
  <c r="O32" i="9"/>
  <c r="AK200" i="15"/>
  <c r="AQ8" i="14" s="1"/>
  <c r="AB25" i="20"/>
  <c r="BO26" i="19"/>
  <c r="AI24" i="9"/>
  <c r="AI32" i="9" s="1"/>
  <c r="BN6" i="19"/>
  <c r="AA6" i="20"/>
  <c r="L84" i="9"/>
  <c r="L85" i="9" s="1"/>
  <c r="BC6" i="19"/>
  <c r="AN65" i="15"/>
  <c r="AH71" i="15"/>
  <c r="AH212" i="15"/>
  <c r="K92" i="9"/>
  <c r="O8" i="19" s="1"/>
  <c r="O4" i="19" s="1"/>
  <c r="O16" i="19" s="1"/>
  <c r="M99" i="15"/>
  <c r="K37" i="9"/>
  <c r="K39" i="9" s="1"/>
  <c r="M4" i="17"/>
  <c r="AF4" i="18"/>
  <c r="K80" i="9"/>
  <c r="AB10" i="14"/>
  <c r="AB25" i="14" s="1"/>
  <c r="AG10" i="18"/>
  <c r="N10" i="17"/>
  <c r="AI71" i="9"/>
  <c r="AC73" i="9"/>
  <c r="AI73" i="9" s="1"/>
  <c r="AI63" i="9"/>
  <c r="BC26" i="19"/>
  <c r="AA9" i="21"/>
  <c r="AA5" i="21" s="1"/>
  <c r="AA17" i="21" s="1"/>
  <c r="AC8" i="19"/>
  <c r="AC4" i="19" s="1"/>
  <c r="AC16" i="19" s="1"/>
  <c r="AN177" i="15"/>
  <c r="AN189" i="15" s="1"/>
  <c r="AH6" i="19"/>
  <c r="Q71" i="15"/>
  <c r="AK117" i="15"/>
  <c r="AK214" i="15"/>
  <c r="AN187" i="15"/>
  <c r="BK6" i="19"/>
  <c r="X6" i="20"/>
  <c r="AI96" i="9"/>
  <c r="BP26" i="19"/>
  <c r="AC25" i="20"/>
  <c r="AF7" i="21"/>
  <c r="M92" i="9"/>
  <c r="Q8" i="19" s="1"/>
  <c r="Q4" i="19" s="1"/>
  <c r="Q16" i="19" s="1"/>
  <c r="O99" i="15"/>
  <c r="M37" i="9"/>
  <c r="M39" i="9" s="1"/>
  <c r="O4" i="17"/>
  <c r="M80" i="9"/>
  <c r="AH4" i="18"/>
  <c r="AH161" i="15"/>
  <c r="AN161" i="15" s="1"/>
  <c r="AQ161" i="15" s="1"/>
  <c r="AN147" i="15"/>
  <c r="Y25" i="20"/>
  <c r="BL26" i="19"/>
  <c r="AK71" i="15"/>
  <c r="AK212" i="15"/>
  <c r="AK202" i="15"/>
  <c r="AQ10" i="14" s="1"/>
  <c r="AQ25" i="14" s="1"/>
  <c r="I92" i="9"/>
  <c r="K99" i="15"/>
  <c r="I37" i="9"/>
  <c r="I39" i="9" s="1"/>
  <c r="O35" i="9"/>
  <c r="I80" i="9"/>
  <c r="AD4" i="18"/>
  <c r="K4" i="17"/>
  <c r="L25" i="18"/>
  <c r="P25" i="18"/>
  <c r="AK6" i="19" l="1"/>
  <c r="AM6" i="19"/>
  <c r="AF82" i="9"/>
  <c r="AQ6" i="14" s="1"/>
  <c r="AQ22" i="14" s="1"/>
  <c r="AF39" i="9"/>
  <c r="AF75" i="9" s="1"/>
  <c r="AF76" i="9" s="1"/>
  <c r="AH98" i="9"/>
  <c r="BP8" i="19" s="1"/>
  <c r="BP4" i="19" s="1"/>
  <c r="BP16" i="19" s="1"/>
  <c r="AH39" i="9"/>
  <c r="AH75" i="9" s="1"/>
  <c r="AH76" i="9" s="1"/>
  <c r="AC9" i="21"/>
  <c r="AC5" i="21" s="1"/>
  <c r="AC17" i="21" s="1"/>
  <c r="AI200" i="15"/>
  <c r="AO8" i="14" s="1"/>
  <c r="L100" i="9"/>
  <c r="N192" i="15"/>
  <c r="N193" i="15" s="1"/>
  <c r="N100" i="9"/>
  <c r="BM26" i="19"/>
  <c r="P202" i="15"/>
  <c r="P10" i="17" s="1"/>
  <c r="P214" i="15"/>
  <c r="BB28" i="19" s="1"/>
  <c r="BB24" i="19" s="1"/>
  <c r="BB36" i="19" s="1"/>
  <c r="AF98" i="9"/>
  <c r="AF100" i="9" s="1"/>
  <c r="N84" i="9"/>
  <c r="N85" i="9" s="1"/>
  <c r="J84" i="9"/>
  <c r="J85" i="9" s="1"/>
  <c r="AG8" i="19"/>
  <c r="AG4" i="19" s="1"/>
  <c r="AG16" i="19" s="1"/>
  <c r="AH82" i="9"/>
  <c r="AS6" i="14" s="1"/>
  <c r="AS22" i="14" s="1"/>
  <c r="L117" i="15"/>
  <c r="L192" i="15" s="1"/>
  <c r="L193" i="15" s="1"/>
  <c r="BQ6" i="19"/>
  <c r="AD82" i="9"/>
  <c r="AO6" i="14" s="1"/>
  <c r="AO22" i="14" s="1"/>
  <c r="J100" i="9"/>
  <c r="AM200" i="15"/>
  <c r="AS8" i="14" s="1"/>
  <c r="AD98" i="9"/>
  <c r="BL8" i="19" s="1"/>
  <c r="BL4" i="19" s="1"/>
  <c r="BL16" i="19" s="1"/>
  <c r="L202" i="15"/>
  <c r="Z10" i="14" s="1"/>
  <c r="Z25" i="14" s="1"/>
  <c r="Q4" i="17"/>
  <c r="AJ4" i="18"/>
  <c r="AD6" i="20"/>
  <c r="K98" i="9"/>
  <c r="K82" i="9"/>
  <c r="AA6" i="14" s="1"/>
  <c r="AL99" i="15"/>
  <c r="AG37" i="9"/>
  <c r="AG39" i="9" s="1"/>
  <c r="AG92" i="9"/>
  <c r="AG80" i="9"/>
  <c r="AR4" i="14" s="1"/>
  <c r="AR20" i="14" s="1"/>
  <c r="AD75" i="9"/>
  <c r="AD76" i="9" s="1"/>
  <c r="AD84" i="9"/>
  <c r="AD85" i="9" s="1"/>
  <c r="AM214" i="15"/>
  <c r="AM117" i="15"/>
  <c r="AM202" i="15"/>
  <c r="AS10" i="14" s="1"/>
  <c r="AS25" i="14" s="1"/>
  <c r="Y4" i="14"/>
  <c r="O80" i="9"/>
  <c r="K6" i="17"/>
  <c r="AD6" i="18"/>
  <c r="M103" i="15"/>
  <c r="AF8" i="18"/>
  <c r="M8" i="17"/>
  <c r="M200" i="15"/>
  <c r="AA8" i="14" s="1"/>
  <c r="AK204" i="15"/>
  <c r="AK205" i="15" s="1"/>
  <c r="AK192" i="15"/>
  <c r="AK193" i="15" s="1"/>
  <c r="AA4" i="14"/>
  <c r="AA20" i="14" s="1"/>
  <c r="AF6" i="18"/>
  <c r="M6" i="17"/>
  <c r="Q99" i="15"/>
  <c r="R98" i="15" s="1"/>
  <c r="K103" i="15"/>
  <c r="K200" i="15"/>
  <c r="AD8" i="18"/>
  <c r="K8" i="17"/>
  <c r="M98" i="9"/>
  <c r="M82" i="9"/>
  <c r="AC6" i="14" s="1"/>
  <c r="AN71" i="15"/>
  <c r="AQ71" i="15" s="1"/>
  <c r="I98" i="9"/>
  <c r="O37" i="9"/>
  <c r="R71" i="9" s="1"/>
  <c r="I82" i="9"/>
  <c r="AH99" i="15"/>
  <c r="AC92" i="9"/>
  <c r="AI35" i="9"/>
  <c r="AC37" i="9"/>
  <c r="AC39" i="9" s="1"/>
  <c r="AC80" i="9"/>
  <c r="O103" i="15"/>
  <c r="AH8" i="18"/>
  <c r="O8" i="17"/>
  <c r="O200" i="15"/>
  <c r="AC8" i="14" s="1"/>
  <c r="BN28" i="19"/>
  <c r="AA27" i="20"/>
  <c r="P192" i="15"/>
  <c r="P193" i="15" s="1"/>
  <c r="P204" i="15"/>
  <c r="P205" i="15" s="1"/>
  <c r="AI117" i="15"/>
  <c r="AI214" i="15"/>
  <c r="AI202" i="15"/>
  <c r="AO10" i="14" s="1"/>
  <c r="AO25" i="14" s="1"/>
  <c r="AJ99" i="15"/>
  <c r="AE92" i="9"/>
  <c r="AE37" i="9"/>
  <c r="AE39" i="9" s="1"/>
  <c r="AE80" i="9"/>
  <c r="AP4" i="14" s="1"/>
  <c r="AP20" i="14" s="1"/>
  <c r="AC4" i="14"/>
  <c r="AC20" i="14" s="1"/>
  <c r="AH6" i="18"/>
  <c r="O6" i="17"/>
  <c r="M8" i="19"/>
  <c r="O92" i="9"/>
  <c r="X25" i="20"/>
  <c r="BK26" i="19"/>
  <c r="BN26" i="19"/>
  <c r="AA25" i="20"/>
  <c r="M25" i="18"/>
  <c r="R25" i="18" s="1"/>
  <c r="Q25" i="18"/>
  <c r="AH100" i="9" l="1"/>
  <c r="AC8" i="20"/>
  <c r="AC4" i="20" s="1"/>
  <c r="AC16" i="20" s="1"/>
  <c r="AI10" i="18"/>
  <c r="AD10" i="14"/>
  <c r="AD25" i="14" s="1"/>
  <c r="AH84" i="9"/>
  <c r="AH85" i="9" s="1"/>
  <c r="BN8" i="19"/>
  <c r="BN4" i="19" s="1"/>
  <c r="BN16" i="19" s="1"/>
  <c r="AA8" i="20"/>
  <c r="AA4" i="20" s="1"/>
  <c r="AA16" i="20" s="1"/>
  <c r="AF84" i="9"/>
  <c r="AF85" i="9" s="1"/>
  <c r="L204" i="15"/>
  <c r="L205" i="15" s="1"/>
  <c r="AD100" i="9"/>
  <c r="Y8" i="20"/>
  <c r="Y4" i="20" s="1"/>
  <c r="Y16" i="20" s="1"/>
  <c r="L10" i="17"/>
  <c r="AE10" i="18"/>
  <c r="AJ6" i="18"/>
  <c r="Y27" i="20"/>
  <c r="Y23" i="20" s="1"/>
  <c r="Y35" i="20" s="1"/>
  <c r="BL28" i="19"/>
  <c r="BL24" i="19" s="1"/>
  <c r="BL36" i="19" s="1"/>
  <c r="AD9" i="21"/>
  <c r="AD5" i="21" s="1"/>
  <c r="AD17" i="21" s="1"/>
  <c r="AF8" i="19"/>
  <c r="AF4" i="19" s="1"/>
  <c r="AF16" i="19" s="1"/>
  <c r="AD25" i="20"/>
  <c r="AI204" i="15"/>
  <c r="AI205" i="15" s="1"/>
  <c r="AI192" i="15"/>
  <c r="AI193" i="15" s="1"/>
  <c r="M75" i="9"/>
  <c r="M76" i="9" s="1"/>
  <c r="M84" i="9"/>
  <c r="M85" i="9" s="1"/>
  <c r="AG98" i="9"/>
  <c r="AG82" i="9"/>
  <c r="AR6" i="14" s="1"/>
  <c r="AR22" i="14" s="1"/>
  <c r="Y6" i="14"/>
  <c r="O82" i="9"/>
  <c r="BA8" i="19"/>
  <c r="BA4" i="19" s="1"/>
  <c r="M100" i="9"/>
  <c r="Q6" i="17"/>
  <c r="AL103" i="15"/>
  <c r="AL200" i="15"/>
  <c r="AR8" i="14" s="1"/>
  <c r="AJ103" i="15"/>
  <c r="AJ200" i="15"/>
  <c r="AP8" i="14" s="1"/>
  <c r="S8" i="19"/>
  <c r="M4" i="19"/>
  <c r="S4" i="19" s="1"/>
  <c r="M117" i="15"/>
  <c r="M214" i="15"/>
  <c r="AY28" i="19" s="1"/>
  <c r="AY24" i="19" s="1"/>
  <c r="AY36" i="19" s="1"/>
  <c r="M202" i="15"/>
  <c r="O39" i="9"/>
  <c r="I75" i="9"/>
  <c r="I84" i="9"/>
  <c r="AE4" i="14"/>
  <c r="Y20" i="14"/>
  <c r="AE20" i="14" s="1"/>
  <c r="AC98" i="9"/>
  <c r="AI37" i="9"/>
  <c r="AL71" i="9" s="1"/>
  <c r="AC82" i="9"/>
  <c r="K84" i="9"/>
  <c r="K85" i="9" s="1"/>
  <c r="K75" i="9"/>
  <c r="K76" i="9" s="1"/>
  <c r="Q8" i="17"/>
  <c r="AM204" i="15"/>
  <c r="AM205" i="15" s="1"/>
  <c r="AM192" i="15"/>
  <c r="AM193" i="15" s="1"/>
  <c r="AY8" i="19"/>
  <c r="AY4" i="19" s="1"/>
  <c r="K100" i="9"/>
  <c r="Z9" i="21"/>
  <c r="AB8" i="19"/>
  <c r="AI92" i="9"/>
  <c r="AE98" i="9"/>
  <c r="AE82" i="9"/>
  <c r="AP6" i="14" s="1"/>
  <c r="AP22" i="14" s="1"/>
  <c r="BQ26" i="19"/>
  <c r="O214" i="15"/>
  <c r="BA28" i="19" s="1"/>
  <c r="BA24" i="19" s="1"/>
  <c r="BA36" i="19" s="1"/>
  <c r="O117" i="15"/>
  <c r="O202" i="15"/>
  <c r="AN4" i="14"/>
  <c r="AI80" i="9"/>
  <c r="AW8" i="19"/>
  <c r="O98" i="9"/>
  <c r="I100" i="9"/>
  <c r="AJ8" i="18"/>
  <c r="AC27" i="20"/>
  <c r="AC23" i="20" s="1"/>
  <c r="AC35" i="20" s="1"/>
  <c r="BP28" i="19"/>
  <c r="BP24" i="19" s="1"/>
  <c r="BP36" i="19" s="1"/>
  <c r="AA23" i="20"/>
  <c r="AA35" i="20" s="1"/>
  <c r="AH103" i="15"/>
  <c r="AN99" i="15"/>
  <c r="AH200" i="15"/>
  <c r="Y8" i="14"/>
  <c r="Q200" i="15"/>
  <c r="BN24" i="19"/>
  <c r="BN36" i="19" s="1"/>
  <c r="AB9" i="21"/>
  <c r="AB5" i="21" s="1"/>
  <c r="AB17" i="21" s="1"/>
  <c r="AD8" i="19"/>
  <c r="AD4" i="19" s="1"/>
  <c r="AD16" i="19" s="1"/>
  <c r="K117" i="15"/>
  <c r="K214" i="15"/>
  <c r="AW28" i="19" s="1"/>
  <c r="Q103" i="15"/>
  <c r="K202" i="15"/>
  <c r="E28" i="19" l="1"/>
  <c r="AI8" i="19"/>
  <c r="AI4" i="19" s="1"/>
  <c r="AI16" i="19" s="1"/>
  <c r="U8" i="19"/>
  <c r="Q56" i="9"/>
  <c r="Q117" i="15"/>
  <c r="K204" i="15"/>
  <c r="K192" i="15"/>
  <c r="O100" i="9"/>
  <c r="AH8" i="19"/>
  <c r="AB4" i="19"/>
  <c r="Z8" i="20"/>
  <c r="Z4" i="20" s="1"/>
  <c r="Z16" i="20" s="1"/>
  <c r="BM8" i="19"/>
  <c r="BM4" i="19" s="1"/>
  <c r="BM16" i="19" s="1"/>
  <c r="AE100" i="9"/>
  <c r="AG84" i="9"/>
  <c r="AG85" i="9" s="1"/>
  <c r="AG75" i="9"/>
  <c r="AG76" i="9" s="1"/>
  <c r="AE84" i="9"/>
  <c r="AE85" i="9" s="1"/>
  <c r="AE75" i="9"/>
  <c r="AE76" i="9" s="1"/>
  <c r="AL117" i="15"/>
  <c r="AL214" i="15"/>
  <c r="AL202" i="15"/>
  <c r="AR10" i="14" s="1"/>
  <c r="AR25" i="14" s="1"/>
  <c r="AC10" i="14"/>
  <c r="AC25" i="14" s="1"/>
  <c r="AH10" i="18"/>
  <c r="O10" i="17"/>
  <c r="AA10" i="14"/>
  <c r="AA25" i="14" s="1"/>
  <c r="M10" i="17"/>
  <c r="AF10" i="18"/>
  <c r="U4" i="19"/>
  <c r="M16" i="19"/>
  <c r="S16" i="19" s="1"/>
  <c r="U16" i="19" s="1"/>
  <c r="AI39" i="9"/>
  <c r="AC75" i="9"/>
  <c r="AC84" i="9"/>
  <c r="AB8" i="20"/>
  <c r="AB4" i="20" s="1"/>
  <c r="AB16" i="20" s="1"/>
  <c r="BO8" i="19"/>
  <c r="BO4" i="19" s="1"/>
  <c r="BO16" i="19" s="1"/>
  <c r="AG100" i="9"/>
  <c r="AJ117" i="15"/>
  <c r="AJ214" i="15"/>
  <c r="AJ202" i="15"/>
  <c r="AP10" i="14" s="1"/>
  <c r="AP25" i="14" s="1"/>
  <c r="AN8" i="14"/>
  <c r="AN200" i="15"/>
  <c r="O84" i="9"/>
  <c r="I85" i="9"/>
  <c r="O85" i="9" s="1"/>
  <c r="Y10" i="14"/>
  <c r="K10" i="17"/>
  <c r="AD10" i="18"/>
  <c r="Q202" i="15"/>
  <c r="AE6" i="14"/>
  <c r="H7" i="14" s="1"/>
  <c r="AN6" i="14"/>
  <c r="AI82" i="9"/>
  <c r="BC8" i="19"/>
  <c r="AW4" i="19"/>
  <c r="X8" i="20"/>
  <c r="BK8" i="19"/>
  <c r="AI98" i="9"/>
  <c r="AC100" i="9"/>
  <c r="AF9" i="21"/>
  <c r="Z5" i="21"/>
  <c r="AE8" i="14"/>
  <c r="AT4" i="14"/>
  <c r="AN20" i="14"/>
  <c r="AT20" i="14" s="1"/>
  <c r="O204" i="15"/>
  <c r="O205" i="15" s="1"/>
  <c r="O192" i="15"/>
  <c r="O193" i="15" s="1"/>
  <c r="O75" i="9"/>
  <c r="I76" i="9"/>
  <c r="O76" i="9" s="1"/>
  <c r="BY4" i="19" s="1"/>
  <c r="AH117" i="15"/>
  <c r="AH214" i="15"/>
  <c r="AN103" i="15"/>
  <c r="AH202" i="15"/>
  <c r="BC28" i="19"/>
  <c r="AW24" i="19"/>
  <c r="M192" i="15"/>
  <c r="M193" i="15" s="1"/>
  <c r="M204" i="15"/>
  <c r="M205" i="15" s="1"/>
  <c r="AK8" i="19" l="1"/>
  <c r="AM8" i="19"/>
  <c r="CA4" i="19"/>
  <c r="BC4" i="19"/>
  <c r="Z27" i="20"/>
  <c r="Z23" i="20" s="1"/>
  <c r="Z35" i="20" s="1"/>
  <c r="BM28" i="19"/>
  <c r="BM24" i="19" s="1"/>
  <c r="BM36" i="19" s="1"/>
  <c r="BC24" i="19"/>
  <c r="BC36" i="19" s="1"/>
  <c r="AW36" i="19"/>
  <c r="L7" i="14"/>
  <c r="K7" i="14"/>
  <c r="AJ204" i="15"/>
  <c r="AJ205" i="15" s="1"/>
  <c r="AJ192" i="15"/>
  <c r="AJ193" i="15" s="1"/>
  <c r="AD8" i="20"/>
  <c r="X4" i="20"/>
  <c r="AT8" i="14"/>
  <c r="AF5" i="21"/>
  <c r="Z17" i="21"/>
  <c r="AF17" i="21" s="1"/>
  <c r="AN22" i="14"/>
  <c r="AT22" i="14" s="1"/>
  <c r="AT6" i="14"/>
  <c r="J7" i="14" s="1"/>
  <c r="X27" i="20"/>
  <c r="BK28" i="19"/>
  <c r="Q10" i="17"/>
  <c r="AI84" i="9"/>
  <c r="AC85" i="9"/>
  <c r="AI85" i="9" s="1"/>
  <c r="AB27" i="20"/>
  <c r="AB23" i="20" s="1"/>
  <c r="AB35" i="20" s="1"/>
  <c r="BO28" i="19"/>
  <c r="BO24" i="19" s="1"/>
  <c r="BO36" i="19" s="1"/>
  <c r="K193" i="15"/>
  <c r="Q192" i="15"/>
  <c r="Q193" i="15" s="1"/>
  <c r="BY5" i="19" s="1"/>
  <c r="CA5" i="19" s="1"/>
  <c r="AN117" i="15"/>
  <c r="AQ117" i="15" s="1"/>
  <c r="AH192" i="15"/>
  <c r="AH204" i="15"/>
  <c r="AE10" i="14"/>
  <c r="H9" i="14" s="1"/>
  <c r="Y25" i="14"/>
  <c r="AE25" i="14" s="1"/>
  <c r="AI75" i="9"/>
  <c r="AC76" i="9"/>
  <c r="AI76" i="9" s="1"/>
  <c r="J22" i="14" s="1"/>
  <c r="AL204" i="15"/>
  <c r="AL205" i="15" s="1"/>
  <c r="AL192" i="15"/>
  <c r="AL193" i="15" s="1"/>
  <c r="K205" i="15"/>
  <c r="Q205" i="15" s="1"/>
  <c r="Q204" i="15"/>
  <c r="AH4" i="19"/>
  <c r="AK4" i="19" s="1"/>
  <c r="AB16" i="19"/>
  <c r="AH16" i="19" s="1"/>
  <c r="AK16" i="19" s="1"/>
  <c r="AN10" i="14"/>
  <c r="AN202" i="15"/>
  <c r="AJ10" i="18"/>
  <c r="AI100" i="9"/>
  <c r="H22" i="14"/>
  <c r="H22" i="18"/>
  <c r="I22" i="18" s="1"/>
  <c r="BK4" i="19"/>
  <c r="BQ8" i="19"/>
  <c r="AJ1" i="9" l="1"/>
  <c r="AK1" i="9" s="1"/>
  <c r="AJ1" i="23"/>
  <c r="AK1" i="23" s="1"/>
  <c r="L22" i="14"/>
  <c r="K22" i="14"/>
  <c r="J22" i="18"/>
  <c r="N22" i="18"/>
  <c r="AH205" i="15"/>
  <c r="AN205" i="15" s="1"/>
  <c r="AN204" i="15"/>
  <c r="AT10" i="14"/>
  <c r="J9" i="14" s="1"/>
  <c r="AN25" i="14"/>
  <c r="AT25" i="14" s="1"/>
  <c r="BQ4" i="19"/>
  <c r="BK16" i="19"/>
  <c r="AD27" i="20"/>
  <c r="X23" i="20"/>
  <c r="J15" i="14"/>
  <c r="M7" i="14"/>
  <c r="AH193" i="15"/>
  <c r="AN192" i="15"/>
  <c r="AN193" i="15" s="1"/>
  <c r="H23" i="14"/>
  <c r="H23" i="18"/>
  <c r="I23" i="18" s="1"/>
  <c r="L9" i="14"/>
  <c r="L17" i="14" s="1"/>
  <c r="K9" i="14"/>
  <c r="K17" i="14" s="1"/>
  <c r="H17" i="14"/>
  <c r="M22" i="14"/>
  <c r="BQ28" i="19"/>
  <c r="BK24" i="19"/>
  <c r="AD4" i="20"/>
  <c r="X16" i="20"/>
  <c r="AD16" i="20" s="1"/>
  <c r="I1" i="15" l="1"/>
  <c r="I3" i="15" s="1"/>
  <c r="I1" i="24"/>
  <c r="I3" i="24" s="1"/>
  <c r="P1" i="9"/>
  <c r="P1" i="23"/>
  <c r="J23" i="14"/>
  <c r="H25" i="14"/>
  <c r="AD23" i="20"/>
  <c r="X35" i="20"/>
  <c r="AD35" i="20" s="1"/>
  <c r="L23" i="14"/>
  <c r="K23" i="14"/>
  <c r="BQ16" i="19"/>
  <c r="M9" i="14"/>
  <c r="M17" i="14" s="1"/>
  <c r="J17" i="14"/>
  <c r="J23" i="18"/>
  <c r="N23" i="18"/>
  <c r="BQ24" i="19"/>
  <c r="BQ36" i="19" s="1"/>
  <c r="BK36" i="19"/>
  <c r="O22" i="18"/>
  <c r="K22" i="18"/>
  <c r="AF4" i="24" l="1"/>
  <c r="M23" i="14"/>
  <c r="AF2" i="15"/>
  <c r="AF4" i="15" s="1"/>
  <c r="L22" i="18"/>
  <c r="P22" i="18"/>
  <c r="O23" i="18"/>
  <c r="K23" i="18"/>
  <c r="L23" i="18" l="1"/>
  <c r="P23" i="18"/>
  <c r="M22" i="18"/>
  <c r="R22" i="18" s="1"/>
  <c r="Q22" i="18"/>
  <c r="Q23" i="18" l="1"/>
  <c r="M23" i="18"/>
  <c r="R23" i="18" s="1"/>
  <c r="Y14" i="14" l="1"/>
  <c r="X14" i="14"/>
  <c r="X22" i="14" s="1"/>
  <c r="AX14" i="19"/>
  <c r="AX10" i="19" s="1"/>
  <c r="AX16" i="19" s="1"/>
  <c r="AB14" i="14"/>
  <c r="AB22" i="14" s="1"/>
  <c r="AV14" i="19"/>
  <c r="AC14" i="14"/>
  <c r="AC22" i="14" s="1"/>
  <c r="Z14" i="14"/>
  <c r="Z22" i="14" s="1"/>
  <c r="AD14" i="14"/>
  <c r="AD22" i="14" s="1"/>
  <c r="AY14" i="19"/>
  <c r="AY10" i="19" s="1"/>
  <c r="AY16" i="19" s="1"/>
  <c r="AA14" i="14"/>
  <c r="AA22" i="14" s="1"/>
  <c r="BA14" i="19" l="1"/>
  <c r="BA10" i="19" s="1"/>
  <c r="BA16" i="19" s="1"/>
  <c r="BB14" i="19"/>
  <c r="BB10" i="19" s="1"/>
  <c r="BB16" i="19" s="1"/>
  <c r="AV10" i="19"/>
  <c r="Y22" i="14"/>
  <c r="AE22" i="14" s="1"/>
  <c r="AE14" i="14"/>
  <c r="H11" i="14" s="1"/>
  <c r="AW14" i="19"/>
  <c r="AW10" i="19" s="1"/>
  <c r="AW16" i="19" s="1"/>
  <c r="AZ14" i="19"/>
  <c r="AZ10" i="19" s="1"/>
  <c r="AZ16" i="19" s="1"/>
  <c r="H15" i="14" l="1"/>
  <c r="K11" i="14"/>
  <c r="K15" i="14" s="1"/>
  <c r="M11" i="14"/>
  <c r="M15" i="14" s="1"/>
  <c r="L11" i="14"/>
  <c r="L15" i="14" s="1"/>
  <c r="BC10" i="19"/>
  <c r="BC16" i="19" s="1"/>
  <c r="AV16" i="19"/>
  <c r="BC14" i="19"/>
  <c r="BY6" i="19" l="1"/>
  <c r="H24" i="18"/>
  <c r="H26" i="18" l="1"/>
  <c r="I24" i="18"/>
  <c r="CA6" i="19"/>
  <c r="BY8" i="19"/>
  <c r="CA8" i="19" s="1"/>
  <c r="N24" i="18" l="1"/>
  <c r="I26" i="18"/>
  <c r="N26" i="18" s="1"/>
  <c r="J24" i="18"/>
  <c r="M25" i="14"/>
  <c r="L25" i="14"/>
  <c r="K24" i="18" l="1"/>
  <c r="J26" i="18"/>
  <c r="O26" i="18" s="1"/>
  <c r="O24" i="18"/>
  <c r="K26" i="18" l="1"/>
  <c r="P26" i="18" s="1"/>
  <c r="P24" i="18"/>
  <c r="L24" i="18"/>
  <c r="L26" i="18" l="1"/>
  <c r="Q26" i="18" s="1"/>
  <c r="Q24" i="18"/>
  <c r="M24" i="18"/>
  <c r="R24" i="18" l="1"/>
  <c r="M26" i="18"/>
  <c r="R26" i="18" s="1"/>
  <c r="Y68" i="22"/>
  <c r="Z68" i="22"/>
  <c r="AA68" i="22" l="1"/>
  <c r="AB68" i="22" l="1"/>
  <c r="AC68" i="22" l="1"/>
  <c r="AD68" i="22" l="1"/>
  <c r="AE68" i="22" l="1"/>
  <c r="AF68" i="22" l="1"/>
  <c r="AG68" i="22" l="1"/>
  <c r="AH68" i="22" l="1"/>
  <c r="AI68" i="22" l="1"/>
  <c r="AJ68" i="22" s="1"/>
  <c r="Y70" i="22"/>
  <c r="Z70" i="22"/>
  <c r="Y71" i="22"/>
  <c r="Z71" i="22" l="1"/>
  <c r="AA71" i="22" l="1"/>
  <c r="AA70" i="22"/>
  <c r="AB70" i="22" l="1"/>
  <c r="AB71" i="22"/>
  <c r="AC70" i="22" l="1"/>
  <c r="AC71" i="22"/>
  <c r="AD70" i="22" l="1"/>
  <c r="AD71" i="22"/>
  <c r="AE71" i="22" l="1"/>
  <c r="AE70" i="22"/>
  <c r="AF70" i="22" l="1"/>
  <c r="AF71" i="22"/>
  <c r="AG71" i="22" l="1"/>
  <c r="AG70" i="22"/>
  <c r="AH70" i="22" l="1"/>
  <c r="AH71" i="22"/>
  <c r="AI70" i="22" l="1"/>
  <c r="AJ70" i="22" s="1"/>
  <c r="AI71" i="22"/>
  <c r="AJ71" i="22"/>
  <c r="J24" i="14" s="1"/>
  <c r="M24" i="14" s="1"/>
  <c r="J25" i="14" l="1"/>
</calcChain>
</file>

<file path=xl/sharedStrings.xml><?xml version="1.0" encoding="utf-8"?>
<sst xmlns="http://schemas.openxmlformats.org/spreadsheetml/2006/main" count="3639" uniqueCount="241">
  <si>
    <t>Produksi Pandu dan Tunda Unit Banten</t>
  </si>
  <si>
    <t>Area</t>
  </si>
  <si>
    <t>Layanan</t>
  </si>
  <si>
    <t>Realisasi 2022</t>
  </si>
  <si>
    <t>RKAP 2023</t>
  </si>
  <si>
    <t>Realisasi 2023</t>
  </si>
  <si>
    <t>RKAP 2024</t>
  </si>
  <si>
    <t>Persentase</t>
  </si>
  <si>
    <t>a</t>
  </si>
  <si>
    <t>b</t>
  </si>
  <si>
    <t>c</t>
  </si>
  <si>
    <t>d</t>
  </si>
  <si>
    <t>e=c/a</t>
  </si>
  <si>
    <t>f=c/b</t>
  </si>
  <si>
    <t>g=d/c</t>
  </si>
  <si>
    <t>Derum</t>
  </si>
  <si>
    <t>Pandu</t>
  </si>
  <si>
    <t>Kpl Grk</t>
  </si>
  <si>
    <t>GT Kpl Grk</t>
  </si>
  <si>
    <t>Tunda</t>
  </si>
  <si>
    <t>Kpl Jam</t>
  </si>
  <si>
    <t>GT Kpl Jam</t>
  </si>
  <si>
    <t>Pelsus</t>
  </si>
  <si>
    <t xml:space="preserve">Pandu </t>
  </si>
  <si>
    <t>Konsolidasi</t>
  </si>
  <si>
    <t>Pendapatan Pandu dan Tunda Unit Banten</t>
  </si>
  <si>
    <t>Satuan</t>
  </si>
  <si>
    <t>RKAP 2024
(BPC v1)</t>
  </si>
  <si>
    <t>Total</t>
  </si>
  <si>
    <t>Keterangan</t>
  </si>
  <si>
    <t>Wilayah Banten Memiliki 3 (tiga) BUP yang beroperasi dalam 1 (satu) wilayah wajib Pandu Kelas I;</t>
  </si>
  <si>
    <t>Perbandingan Persentase Pendapatan TUKS 80% dan Derum 20%;</t>
  </si>
  <si>
    <t>Adanya Kompetitor Pelabuhan Cilgeon Mandiri (PCM) untuk Pelayanan Pemanduan dan Penundaan TUKS untuk Cargo Chemical ;</t>
  </si>
  <si>
    <t>Adanya Penurunan Trafik Realisasi 2023 di dermaga umum karena adanya kompetitor KBS yang dapat melayani kegiatan barang umum;</t>
  </si>
  <si>
    <t>Berhentinya pengoperasian Kapal Roro Atosim Trayek Banten - Panjang pada bulan September 2023 sampai dengan sekarang.</t>
  </si>
  <si>
    <t>Tarif DN</t>
  </si>
  <si>
    <t>Dollar</t>
  </si>
  <si>
    <t>In/Out</t>
  </si>
  <si>
    <t>Jan</t>
  </si>
  <si>
    <t>Feb</t>
  </si>
  <si>
    <t>Mar</t>
  </si>
  <si>
    <t>Apr</t>
  </si>
  <si>
    <t>Mei</t>
  </si>
  <si>
    <t>Jun</t>
  </si>
  <si>
    <t>Jul</t>
  </si>
  <si>
    <t>Aug</t>
  </si>
  <si>
    <t>Sept</t>
  </si>
  <si>
    <t>Okt</t>
  </si>
  <si>
    <t>Nov</t>
  </si>
  <si>
    <t>Des</t>
  </si>
  <si>
    <t>LN</t>
  </si>
  <si>
    <t>GC</t>
  </si>
  <si>
    <t>Kpl.Grk</t>
  </si>
  <si>
    <t>GT.Kpl.Grk</t>
  </si>
  <si>
    <t>Rupiah Move</t>
  </si>
  <si>
    <t>Rupiah GT</t>
  </si>
  <si>
    <t>CC</t>
  </si>
  <si>
    <t>CK</t>
  </si>
  <si>
    <t>DN</t>
  </si>
  <si>
    <t>Roro</t>
  </si>
  <si>
    <t>Tonkang CK</t>
  </si>
  <si>
    <t>Tongkang GC</t>
  </si>
  <si>
    <t>Pendapatan</t>
  </si>
  <si>
    <t>Move</t>
  </si>
  <si>
    <t>GT</t>
  </si>
  <si>
    <t>JAM</t>
  </si>
  <si>
    <t>TARIF</t>
  </si>
  <si>
    <t>RUPIAH</t>
  </si>
  <si>
    <t>Tongkang</t>
  </si>
  <si>
    <t>4010301010102010000</t>
  </si>
  <si>
    <t/>
  </si>
  <si>
    <t>4010301010102020000</t>
  </si>
  <si>
    <t>4010301010102030000</t>
  </si>
  <si>
    <t>4010301010102040000</t>
  </si>
  <si>
    <t>4010301010102050000</t>
  </si>
  <si>
    <t>4010301010102060000</t>
  </si>
  <si>
    <t>4010301010102070000</t>
  </si>
  <si>
    <t>4010301010102080000</t>
  </si>
  <si>
    <t>4010301040109010000</t>
  </si>
  <si>
    <t>4010301040109020000</t>
  </si>
  <si>
    <t>4010301040109030000</t>
  </si>
  <si>
    <t>4010301040109040000</t>
  </si>
  <si>
    <t>4010301040109050000</t>
  </si>
  <si>
    <t>4010301040109060000</t>
  </si>
  <si>
    <t>4010301040109070000</t>
  </si>
  <si>
    <t>4010301040109080000</t>
  </si>
  <si>
    <t>Gt Kapal s/d 3.500 Gt</t>
  </si>
  <si>
    <t>Gt Kapal 3.501 s/d 8.000 Gt</t>
  </si>
  <si>
    <t>Gt Kapal 8.001 s/d 14.000 Gt</t>
  </si>
  <si>
    <t>Gt Kapal 14.001 s/d 18.000 Gt</t>
  </si>
  <si>
    <t>Gt Kapal 18.001 s/d 26.000 Gt</t>
  </si>
  <si>
    <t>Gt Kapal 26.001 s/d 40.000 Gt</t>
  </si>
  <si>
    <t>Gt Kapal 40.001 s/d 75.000 Gt</t>
  </si>
  <si>
    <t>Gt Kapal 75.000 Gt keatas</t>
  </si>
  <si>
    <t>Tarif LN</t>
  </si>
  <si>
    <t>JUMLAH</t>
  </si>
  <si>
    <t>e</t>
  </si>
  <si>
    <t>Pendapatan Tunda</t>
  </si>
  <si>
    <t>Pemanduan</t>
  </si>
  <si>
    <t>Pemanduan BPC</t>
  </si>
  <si>
    <t>Produksi</t>
  </si>
  <si>
    <t>PANDU</t>
  </si>
  <si>
    <t>TUNDA</t>
  </si>
  <si>
    <t>PELUM</t>
  </si>
  <si>
    <t>PELSUS</t>
  </si>
  <si>
    <t>Call</t>
  </si>
  <si>
    <t>RKAP 2025</t>
  </si>
  <si>
    <t>RKAP 2026</t>
  </si>
  <si>
    <t>RKAP 2027</t>
  </si>
  <si>
    <t>RKAP 2028</t>
  </si>
  <si>
    <t>RKAP 2029</t>
  </si>
  <si>
    <t>f</t>
  </si>
  <si>
    <t>g</t>
  </si>
  <si>
    <t>h</t>
  </si>
  <si>
    <t>i</t>
  </si>
  <si>
    <t>j=e/d</t>
  </si>
  <si>
    <t>k=f/e</t>
  </si>
  <si>
    <t>l=g/f</t>
  </si>
  <si>
    <t>m=h/g</t>
  </si>
  <si>
    <t>n=i/h</t>
  </si>
  <si>
    <t>KONSOLIDASI</t>
  </si>
  <si>
    <t>PROGNOSA 2024</t>
  </si>
  <si>
    <t>Prognosa 2024</t>
  </si>
  <si>
    <t>CALL</t>
  </si>
  <si>
    <t>Internasional</t>
  </si>
  <si>
    <t>Domestik</t>
  </si>
  <si>
    <t>Kapal Internatinal</t>
  </si>
  <si>
    <t>Kapal Domestik</t>
  </si>
  <si>
    <t>No</t>
  </si>
  <si>
    <t>Uraian</t>
  </si>
  <si>
    <t>TOTAL</t>
  </si>
  <si>
    <t>Dermaga Umum</t>
  </si>
  <si>
    <t>Non Dermaga Umum</t>
  </si>
  <si>
    <t>Realisasi sd Mei 24</t>
  </si>
  <si>
    <t>Penundaan</t>
  </si>
  <si>
    <t>internasional</t>
  </si>
  <si>
    <t>domestik</t>
  </si>
  <si>
    <t>Realisasi sd Juni 24</t>
  </si>
  <si>
    <t>Kenaikan Trafik Kapal Sudah Selaras dengan Kenaikan PTP sebesar 25% dari Semester 1</t>
  </si>
  <si>
    <t>Trafik GT pada semester 1 sebesar 3,4 Jt GT , sudah termasuk GT Angleb Sebesar 1,2 Jt</t>
  </si>
  <si>
    <t>Kontribusi GT Angleb Pada Semester 1 Sebesar 37%</t>
  </si>
  <si>
    <t>Memori</t>
  </si>
  <si>
    <t>Semester 2</t>
  </si>
  <si>
    <t>Grk</t>
  </si>
  <si>
    <t>Gt Grk</t>
  </si>
  <si>
    <t>GT Grk</t>
  </si>
  <si>
    <t>Kpl.Jam</t>
  </si>
  <si>
    <t>GT Kpl.Jam</t>
  </si>
  <si>
    <t>Produksi Pemanduan 2025</t>
  </si>
  <si>
    <t>Produksi Penundaan 2025</t>
  </si>
  <si>
    <t>Prognosa 2025</t>
  </si>
  <si>
    <t>TAKSASI 2025</t>
  </si>
  <si>
    <t>Realisasi sd Juni 25</t>
  </si>
  <si>
    <t>Produksi RKAP Penundaan 2026</t>
  </si>
  <si>
    <t>Realisasi 2024</t>
  </si>
  <si>
    <t>PROGNOSA 2025</t>
  </si>
  <si>
    <t>REALISASI 2024</t>
  </si>
  <si>
    <t>Kapal International</t>
  </si>
  <si>
    <t>Prog Cabang</t>
  </si>
  <si>
    <t>USULAN Cab BTN</t>
  </si>
  <si>
    <t>Usulan Cab Banten</t>
  </si>
  <si>
    <t>Prognosa 2025 SPJM</t>
  </si>
  <si>
    <t>Produksi RKAP Pemanduan 2026</t>
  </si>
  <si>
    <t>Selisih</t>
  </si>
  <si>
    <t>GT Kpl.Grk</t>
  </si>
  <si>
    <t>angleb</t>
  </si>
  <si>
    <t>Real smster 1</t>
  </si>
  <si>
    <t>realisasi smt 2</t>
  </si>
  <si>
    <t>prog 2025</t>
  </si>
  <si>
    <t>RKAP 2026 SPJM</t>
  </si>
  <si>
    <t>call</t>
  </si>
  <si>
    <t>gt</t>
  </si>
  <si>
    <t>PROGNOSA 2026</t>
  </si>
  <si>
    <t>Januari</t>
  </si>
  <si>
    <t>Februari</t>
  </si>
  <si>
    <t>Maret</t>
  </si>
  <si>
    <t>April</t>
  </si>
  <si>
    <t>Juni</t>
  </si>
  <si>
    <t>Juli</t>
  </si>
  <si>
    <t>Agustus</t>
  </si>
  <si>
    <t>September</t>
  </si>
  <si>
    <t>Oktober</t>
  </si>
  <si>
    <t>November</t>
  </si>
  <si>
    <t>Desember</t>
  </si>
  <si>
    <t>LUAR NEGERI</t>
  </si>
  <si>
    <t>GC VESSEL LN</t>
  </si>
  <si>
    <t>GT ETMAL</t>
  </si>
  <si>
    <t>CC VESSEL LN</t>
  </si>
  <si>
    <t>CK VESSEL LN</t>
  </si>
  <si>
    <t>RORO LN</t>
  </si>
  <si>
    <t>RORO</t>
  </si>
  <si>
    <t>CK TONGKANG LN</t>
  </si>
  <si>
    <t>TONGKANG CK</t>
  </si>
  <si>
    <t>GC TONGKANG LN</t>
  </si>
  <si>
    <t>TONGKANG GC</t>
  </si>
  <si>
    <t>DALAM NEGERI</t>
  </si>
  <si>
    <t>GC VESSEL DN</t>
  </si>
  <si>
    <t>CC VESSEL DN</t>
  </si>
  <si>
    <t>CK VESSEL DN</t>
  </si>
  <si>
    <t>RORO DN</t>
  </si>
  <si>
    <t>CK TONGKANG DN</t>
  </si>
  <si>
    <t>GC TONGKANG DN</t>
  </si>
  <si>
    <t>Tambat</t>
  </si>
  <si>
    <t>GT Etmal</t>
  </si>
  <si>
    <t>Pendapatan Pelayanan Kapal IKPP</t>
  </si>
  <si>
    <t>Derum IKPP</t>
  </si>
  <si>
    <t>Derum BTN</t>
  </si>
  <si>
    <t>Jumlah</t>
  </si>
  <si>
    <t>Tongkang CK</t>
  </si>
  <si>
    <t>Pendapatan Pelayanan Kapal Bojonegara</t>
  </si>
  <si>
    <t>Pendapatan Pelayanan Kapal Ciwandan</t>
  </si>
  <si>
    <t>Derum BJN</t>
  </si>
  <si>
    <t>Gas</t>
  </si>
  <si>
    <t>CC BBM</t>
  </si>
  <si>
    <t>GAS</t>
  </si>
  <si>
    <t>CC NON BBM</t>
  </si>
  <si>
    <t>PETIKEMAS</t>
  </si>
  <si>
    <t>TONGKANG</t>
  </si>
  <si>
    <t>KAPAL LAIN-LAIN</t>
  </si>
  <si>
    <t>BOJONEGARA</t>
  </si>
  <si>
    <t>bpc</t>
  </si>
  <si>
    <t>produksi</t>
  </si>
  <si>
    <t>4010301040109010000 - Gt Kapal s/d 3.500 Gt</t>
  </si>
  <si>
    <t>Bojonegara</t>
  </si>
  <si>
    <t>4010301040109030000 - Gt Kapal 8.001 s/d 14.000 Gt</t>
  </si>
  <si>
    <t>4010301040109060000 - Gt Kapal 26.001 s/d 40.000 Gt</t>
  </si>
  <si>
    <t>4010301040109080000 - Gt Kapal 75.000 Gt keatas</t>
  </si>
  <si>
    <t>4010301040109070000 - Gt Kapal 40.001 s/d 75.000 Gt</t>
  </si>
  <si>
    <t>4010301040109050000 - Gt Kapal 18.001 s/d 26.000 Gt</t>
  </si>
  <si>
    <t>4010301040109040000 - Gt Kapal 14.001 s/d 18.000 Gt</t>
  </si>
  <si>
    <t>4010301040109020000 - Gt Kapal 3.501 s/d 8.000 Gt</t>
  </si>
  <si>
    <t>4010301010102080000 - Gt Kapal 75.000 Gt keatas</t>
  </si>
  <si>
    <t>4010301010102070000 - Gt Kapal 40.001 s/d 75.000 Gt</t>
  </si>
  <si>
    <t>4010301010102060000 - Gt Kapal 26.001 s/d 40.000 Gt</t>
  </si>
  <si>
    <t>4010301010102050000 - Gt Kapal 18.001 s/d 26.000 Gt</t>
  </si>
  <si>
    <t>4010301010102040000 - Gt Kapal 14.001 s/d 18.000 Gt</t>
  </si>
  <si>
    <t>4010301010102030000 - Gt Kapal 8.001 s/d 14.000 Gt</t>
  </si>
  <si>
    <t>4010301010102020000 - Gt Kapal 3.501 s/d 8.000 Gt</t>
  </si>
  <si>
    <t>4010301010102010000 - Gt Kapal s/d 3.500 Gt</t>
  </si>
  <si>
    <t>TAKSASI 2024</t>
  </si>
  <si>
    <t>Pendapatan Pelayanan Kapal PELSUS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</si>
</sst>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#,##0_ ;\-#,##0\ "/>
    <numFmt numFmtId="168" formatCode="_-* #,##0_-;\-* #,##0_-;_-* &quot;-&quot;??_-;_-@_-"/>
    <numFmt numFmtId="169" formatCode="0.000"/>
    <numFmt numFmtId="170" formatCode="_-* #,##0.00_-;\-* #,##0.00_-;_-* &quot;-&quot;_-;_-@_-"/>
    <numFmt numFmtId="171" formatCode="#,##0.000"/>
    <numFmt numFmtId="172" formatCode="#,##0.0000000000"/>
    <numFmt numFmtId="173" formatCode="0.0000"/>
    <numFmt numFmtId="175" formatCode="#,##0;\(#,##0\)"/>
  </numFmts>
  <fonts count="3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8"/>
      <color theme="1"/>
      <name val="Pragmatica Book"/>
      <family val="2"/>
    </font>
    <font>
      <b/>
      <sz val="8"/>
      <color theme="1"/>
      <name val="Pragmatica Book"/>
      <family val="2"/>
    </font>
    <font>
      <sz val="9"/>
      <color theme="1"/>
      <name val="Pragmatica Book"/>
      <family val="2"/>
    </font>
    <font>
      <b/>
      <sz val="9"/>
      <color theme="1"/>
      <name val="Pragmatica Book"/>
      <family val="2"/>
    </font>
    <font>
      <sz val="11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sz val="10"/>
      <color theme="1"/>
      <name val="Pragmatica Book"/>
      <family val="2"/>
    </font>
    <font>
      <b/>
      <sz val="10"/>
      <color theme="1"/>
      <name val="Pragmatica Book"/>
      <family val="2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rial"/>
    </font>
    <font>
      <b/>
      <i/>
      <sz val="11"/>
      <color rgb="FFFFFFFF"/>
      <name val="Tahoma"/>
    </font>
    <font>
      <b/>
      <sz val="11"/>
      <color rgb="FFFFFFFF"/>
      <name val="Arial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</font>
    <font>
      <sz val="11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b/>
      <i/>
      <sz val="11"/>
      <color rgb="FFFFFFFF"/>
      <name val="Tahoma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C2D69B"/>
      </patternFill>
    </fill>
    <fill>
      <patternFill patternType="solid">
        <fgColor rgb="FFFF0000"/>
        <bgColor rgb="FFC2D69B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C2D69B"/>
      </patternFill>
    </fill>
    <fill>
      <patternFill patternType="solid">
        <fgColor rgb="FF92D050"/>
        <bgColor rgb="FFC2D69B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0000FF"/>
        <bgColor rgb="FF0000FF"/>
      </patternFill>
    </fill>
    <fill>
      <patternFill patternType="solid">
        <fgColor rgb="FF38761D"/>
        <bgColor rgb="FF38761D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C4587"/>
        <bgColor rgb="FF1C4587"/>
      </patternFill>
    </fill>
    <fill>
      <patternFill patternType="solid">
        <fgColor rgb="FF7F6000"/>
        <bgColor rgb="FF7F6000"/>
      </patternFill>
    </fill>
    <fill>
      <patternFill patternType="solid">
        <fgColor rgb="FF0C343D"/>
        <bgColor rgb="FF0C343D"/>
      </patternFill>
    </fill>
    <fill>
      <patternFill patternType="solid">
        <fgColor rgb="FFFFFF00"/>
        <bgColor rgb="FF38761D"/>
      </patternFill>
    </fill>
    <fill>
      <patternFill patternType="solid">
        <fgColor theme="4" tint="0.39997558519241921"/>
        <bgColor rgb="FF1C4587"/>
      </patternFill>
    </fill>
    <fill>
      <patternFill patternType="solid">
        <fgColor theme="4" tint="0.39997558519241921"/>
        <bgColor rgb="FF38761D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C2D69B"/>
      </patternFill>
    </fill>
    <fill>
      <patternFill patternType="solid">
        <fgColor theme="6" tint="0.79998168889431442"/>
        <bgColor rgb="FFC2D69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rgb="FFC2D69B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5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164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21" fillId="0" borderId="0"/>
    <xf numFmtId="43" fontId="21" fillId="0" borderId="0" applyFont="0" applyFill="0" applyBorder="0" applyAlignment="0" applyProtection="0"/>
    <xf numFmtId="0" fontId="30" fillId="0" borderId="0"/>
    <xf numFmtId="43" fontId="3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44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3" fontId="6" fillId="0" borderId="1" xfId="3" applyNumberFormat="1" applyFont="1" applyBorder="1"/>
    <xf numFmtId="9" fontId="0" fillId="0" borderId="1" xfId="2" applyFont="1" applyFill="1" applyBorder="1" applyAlignment="1">
      <alignment horizontal="center"/>
    </xf>
    <xf numFmtId="0" fontId="0" fillId="0" borderId="2" xfId="0" applyBorder="1"/>
    <xf numFmtId="0" fontId="3" fillId="3" borderId="1" xfId="0" applyFont="1" applyFill="1" applyBorder="1"/>
    <xf numFmtId="3" fontId="3" fillId="3" borderId="1" xfId="0" applyNumberFormat="1" applyFont="1" applyFill="1" applyBorder="1"/>
    <xf numFmtId="9" fontId="3" fillId="3" borderId="1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166" fontId="0" fillId="0" borderId="1" xfId="1" applyNumberFormat="1" applyFont="1" applyBorder="1" applyAlignment="1">
      <alignment horizontal="right" vertical="center"/>
    </xf>
    <xf numFmtId="9" fontId="0" fillId="0" borderId="1" xfId="2" applyFont="1" applyFill="1" applyBorder="1" applyAlignment="1">
      <alignment horizontal="center" vertical="center"/>
    </xf>
    <xf numFmtId="166" fontId="0" fillId="0" borderId="1" xfId="1" applyNumberFormat="1" applyFont="1" applyBorder="1"/>
    <xf numFmtId="166" fontId="0" fillId="0" borderId="2" xfId="1" applyNumberFormat="1" applyFont="1" applyBorder="1"/>
    <xf numFmtId="166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5" fontId="0" fillId="0" borderId="0" xfId="1" applyFont="1"/>
    <xf numFmtId="9" fontId="0" fillId="4" borderId="0" xfId="0" applyNumberFormat="1" applyFill="1"/>
    <xf numFmtId="0" fontId="0" fillId="5" borderId="0" xfId="0" applyFill="1"/>
    <xf numFmtId="3" fontId="9" fillId="2" borderId="5" xfId="0" applyNumberFormat="1" applyFont="1" applyFill="1" applyBorder="1" applyAlignment="1" applyProtection="1">
      <alignment vertical="center" wrapText="1"/>
      <protection locked="0"/>
    </xf>
    <xf numFmtId="3" fontId="9" fillId="6" borderId="5" xfId="0" applyNumberFormat="1" applyFont="1" applyFill="1" applyBorder="1" applyAlignment="1" applyProtection="1">
      <alignment vertical="center" wrapText="1"/>
      <protection locked="0"/>
    </xf>
    <xf numFmtId="164" fontId="0" fillId="0" borderId="0" xfId="0" applyNumberFormat="1"/>
    <xf numFmtId="164" fontId="0" fillId="7" borderId="0" xfId="0" applyNumberFormat="1" applyFill="1"/>
    <xf numFmtId="0" fontId="0" fillId="8" borderId="0" xfId="0" applyFill="1"/>
    <xf numFmtId="164" fontId="0" fillId="8" borderId="0" xfId="0" applyNumberFormat="1" applyFill="1"/>
    <xf numFmtId="3" fontId="0" fillId="9" borderId="1" xfId="4" applyNumberFormat="1" applyFont="1" applyFill="1" applyBorder="1" applyProtection="1">
      <protection locked="0"/>
    </xf>
    <xf numFmtId="3" fontId="0" fillId="7" borderId="0" xfId="4" applyNumberFormat="1" applyFont="1" applyFill="1" applyBorder="1" applyProtection="1">
      <protection locked="0"/>
    </xf>
    <xf numFmtId="164" fontId="0" fillId="10" borderId="1" xfId="0" applyNumberFormat="1" applyFill="1" applyBorder="1"/>
    <xf numFmtId="164" fontId="0" fillId="11" borderId="0" xfId="0" applyNumberFormat="1" applyFill="1"/>
    <xf numFmtId="3" fontId="0" fillId="0" borderId="0" xfId="0" applyNumberFormat="1"/>
    <xf numFmtId="0" fontId="3" fillId="0" borderId="7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3" fontId="9" fillId="7" borderId="5" xfId="0" applyNumberFormat="1" applyFont="1" applyFill="1" applyBorder="1" applyAlignment="1" applyProtection="1">
      <alignment vertical="center" wrapText="1"/>
      <protection locked="0"/>
    </xf>
    <xf numFmtId="3" fontId="9" fillId="12" borderId="5" xfId="0" applyNumberFormat="1" applyFont="1" applyFill="1" applyBorder="1" applyAlignment="1" applyProtection="1">
      <alignment vertical="center" wrapText="1"/>
      <protection locked="0"/>
    </xf>
    <xf numFmtId="0" fontId="0" fillId="4" borderId="0" xfId="0" applyFill="1"/>
    <xf numFmtId="3" fontId="9" fillId="4" borderId="5" xfId="0" applyNumberFormat="1" applyFont="1" applyFill="1" applyBorder="1" applyAlignment="1" applyProtection="1">
      <alignment vertical="center" wrapText="1"/>
      <protection locked="0"/>
    </xf>
    <xf numFmtId="3" fontId="9" fillId="13" borderId="5" xfId="0" applyNumberFormat="1" applyFont="1" applyFill="1" applyBorder="1" applyAlignment="1" applyProtection="1">
      <alignment vertical="center" wrapText="1"/>
      <protection locked="0"/>
    </xf>
    <xf numFmtId="0" fontId="3" fillId="4" borderId="0" xfId="0" applyFont="1" applyFill="1" applyAlignment="1" applyProtection="1">
      <alignment horizontal="left" vertical="center"/>
      <protection locked="0"/>
    </xf>
    <xf numFmtId="3" fontId="0" fillId="4" borderId="0" xfId="0" applyNumberFormat="1" applyFill="1"/>
    <xf numFmtId="165" fontId="3" fillId="0" borderId="7" xfId="1" applyFont="1" applyFill="1" applyBorder="1" applyAlignment="1" applyProtection="1">
      <alignment horizontal="right" vertical="center"/>
      <protection locked="0"/>
    </xf>
    <xf numFmtId="3" fontId="0" fillId="4" borderId="1" xfId="4" applyNumberFormat="1" applyFont="1" applyFill="1" applyBorder="1" applyProtection="1">
      <protection locked="0"/>
    </xf>
    <xf numFmtId="165" fontId="3" fillId="0" borderId="0" xfId="1" applyFont="1" applyFill="1" applyBorder="1" applyAlignment="1" applyProtection="1">
      <alignment horizontal="right" vertical="center"/>
      <protection locked="0"/>
    </xf>
    <xf numFmtId="3" fontId="0" fillId="9" borderId="0" xfId="4" applyNumberFormat="1" applyFont="1" applyFill="1" applyBorder="1" applyProtection="1">
      <protection locked="0"/>
    </xf>
    <xf numFmtId="3" fontId="9" fillId="6" borderId="0" xfId="0" applyNumberFormat="1" applyFont="1" applyFill="1" applyAlignment="1" applyProtection="1">
      <alignment vertical="center" wrapText="1"/>
      <protection locked="0"/>
    </xf>
    <xf numFmtId="9" fontId="0" fillId="0" borderId="0" xfId="2" applyFont="1"/>
    <xf numFmtId="9" fontId="0" fillId="0" borderId="0" xfId="0" applyNumberFormat="1"/>
    <xf numFmtId="0" fontId="0" fillId="14" borderId="1" xfId="0" applyFill="1" applyBorder="1"/>
    <xf numFmtId="165" fontId="0" fillId="14" borderId="1" xfId="1" applyFont="1" applyFill="1" applyBorder="1"/>
    <xf numFmtId="164" fontId="3" fillId="0" borderId="0" xfId="0" applyNumberFormat="1" applyFont="1"/>
    <xf numFmtId="3" fontId="3" fillId="7" borderId="1" xfId="0" applyNumberFormat="1" applyFont="1" applyFill="1" applyBorder="1"/>
    <xf numFmtId="164" fontId="3" fillId="7" borderId="1" xfId="0" applyNumberFormat="1" applyFont="1" applyFill="1" applyBorder="1"/>
    <xf numFmtId="3" fontId="3" fillId="15" borderId="1" xfId="0" applyNumberFormat="1" applyFont="1" applyFill="1" applyBorder="1"/>
    <xf numFmtId="164" fontId="3" fillId="15" borderId="1" xfId="0" applyNumberFormat="1" applyFont="1" applyFill="1" applyBorder="1"/>
    <xf numFmtId="164" fontId="3" fillId="7" borderId="2" xfId="0" applyNumberFormat="1" applyFont="1" applyFill="1" applyBorder="1"/>
    <xf numFmtId="164" fontId="3" fillId="15" borderId="3" xfId="0" applyNumberFormat="1" applyFont="1" applyFill="1" applyBorder="1"/>
    <xf numFmtId="164" fontId="3" fillId="0" borderId="8" xfId="0" applyNumberFormat="1" applyFont="1" applyBorder="1"/>
    <xf numFmtId="3" fontId="0" fillId="0" borderId="0" xfId="2" applyNumberFormat="1" applyFont="1"/>
    <xf numFmtId="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center"/>
    </xf>
    <xf numFmtId="164" fontId="3" fillId="7" borderId="0" xfId="0" applyNumberFormat="1" applyFont="1" applyFill="1"/>
    <xf numFmtId="166" fontId="7" fillId="0" borderId="7" xfId="6" applyNumberFormat="1" applyFont="1" applyFill="1" applyBorder="1" applyAlignment="1" applyProtection="1">
      <alignment horizontal="right" vertical="center"/>
      <protection locked="0"/>
    </xf>
    <xf numFmtId="168" fontId="0" fillId="0" borderId="0" xfId="1" applyNumberFormat="1" applyFont="1"/>
    <xf numFmtId="166" fontId="0" fillId="0" borderId="1" xfId="1" applyNumberFormat="1" applyFont="1" applyFill="1" applyBorder="1"/>
    <xf numFmtId="166" fontId="0" fillId="0" borderId="2" xfId="1" applyNumberFormat="1" applyFont="1" applyFill="1" applyBorder="1"/>
    <xf numFmtId="166" fontId="3" fillId="3" borderId="1" xfId="1" applyNumberFormat="1" applyFont="1" applyFill="1" applyBorder="1"/>
    <xf numFmtId="9" fontId="3" fillId="3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16" borderId="1" xfId="0" applyFont="1" applyFill="1" applyBorder="1" applyAlignment="1">
      <alignment horizontal="center" vertical="center"/>
    </xf>
    <xf numFmtId="3" fontId="11" fillId="0" borderId="1" xfId="0" applyNumberFormat="1" applyFont="1" applyBorder="1"/>
    <xf numFmtId="0" fontId="7" fillId="0" borderId="0" xfId="7"/>
    <xf numFmtId="3" fontId="7" fillId="0" borderId="0" xfId="1" applyNumberFormat="1" applyFont="1"/>
    <xf numFmtId="3" fontId="0" fillId="8" borderId="0" xfId="0" applyNumberFormat="1" applyFill="1"/>
    <xf numFmtId="165" fontId="3" fillId="17" borderId="10" xfId="1" applyFont="1" applyFill="1" applyBorder="1" applyAlignment="1" applyProtection="1">
      <alignment horizontal="right" vertical="center"/>
    </xf>
    <xf numFmtId="3" fontId="3" fillId="17" borderId="7" xfId="1" applyNumberFormat="1" applyFont="1" applyFill="1" applyBorder="1" applyAlignment="1" applyProtection="1">
      <alignment horizontal="right" vertical="center"/>
    </xf>
    <xf numFmtId="3" fontId="7" fillId="0" borderId="0" xfId="7" applyNumberFormat="1"/>
    <xf numFmtId="168" fontId="7" fillId="0" borderId="0" xfId="1" applyNumberFormat="1" applyFont="1"/>
    <xf numFmtId="0" fontId="14" fillId="0" borderId="1" xfId="0" applyFont="1" applyBorder="1"/>
    <xf numFmtId="0" fontId="14" fillId="0" borderId="1" xfId="0" applyFont="1" applyBorder="1" applyAlignment="1" applyProtection="1">
      <alignment horizontal="left" vertical="center"/>
      <protection locked="0"/>
    </xf>
    <xf numFmtId="3" fontId="12" fillId="0" borderId="1" xfId="0" applyNumberFormat="1" applyFont="1" applyBorder="1"/>
    <xf numFmtId="3" fontId="14" fillId="0" borderId="1" xfId="0" applyNumberFormat="1" applyFont="1" applyBorder="1"/>
    <xf numFmtId="3" fontId="13" fillId="0" borderId="1" xfId="0" applyNumberFormat="1" applyFont="1" applyBorder="1"/>
    <xf numFmtId="9" fontId="15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3" fillId="0" borderId="0" xfId="0" applyNumberFormat="1" applyFont="1"/>
    <xf numFmtId="3" fontId="9" fillId="11" borderId="5" xfId="0" applyNumberFormat="1" applyFont="1" applyFill="1" applyBorder="1" applyAlignment="1" applyProtection="1">
      <alignment vertical="center" wrapText="1"/>
      <protection locked="0"/>
    </xf>
    <xf numFmtId="3" fontId="9" fillId="18" borderId="5" xfId="0" applyNumberFormat="1" applyFont="1" applyFill="1" applyBorder="1" applyAlignment="1" applyProtection="1">
      <alignment vertical="center" wrapText="1"/>
      <protection locked="0"/>
    </xf>
    <xf numFmtId="3" fontId="9" fillId="19" borderId="5" xfId="0" applyNumberFormat="1" applyFont="1" applyFill="1" applyBorder="1" applyAlignment="1" applyProtection="1">
      <alignment vertical="center" wrapText="1"/>
      <protection locked="0"/>
    </xf>
    <xf numFmtId="3" fontId="9" fillId="20" borderId="5" xfId="0" applyNumberFormat="1" applyFont="1" applyFill="1" applyBorder="1" applyAlignment="1" applyProtection="1">
      <alignment vertical="center" wrapText="1"/>
      <protection locked="0"/>
    </xf>
    <xf numFmtId="3" fontId="0" fillId="11" borderId="1" xfId="4" applyNumberFormat="1" applyFont="1" applyFill="1" applyBorder="1" applyProtection="1">
      <protection locked="0"/>
    </xf>
    <xf numFmtId="164" fontId="0" fillId="11" borderId="1" xfId="0" applyNumberFormat="1" applyFill="1" applyBorder="1"/>
    <xf numFmtId="0" fontId="0" fillId="11" borderId="1" xfId="0" applyFill="1" applyBorder="1"/>
    <xf numFmtId="3" fontId="0" fillId="18" borderId="1" xfId="4" applyNumberFormat="1" applyFont="1" applyFill="1" applyBorder="1" applyProtection="1">
      <protection locked="0"/>
    </xf>
    <xf numFmtId="2" fontId="3" fillId="0" borderId="0" xfId="0" applyNumberFormat="1" applyFont="1" applyAlignment="1" applyProtection="1">
      <alignment horizontal="left" vertical="center"/>
      <protection locked="0"/>
    </xf>
    <xf numFmtId="169" fontId="3" fillId="0" borderId="0" xfId="0" applyNumberFormat="1" applyFont="1" applyAlignment="1" applyProtection="1">
      <alignment horizontal="left" vertical="center"/>
      <protection locked="0"/>
    </xf>
    <xf numFmtId="166" fontId="0" fillId="0" borderId="1" xfId="1" applyNumberFormat="1" applyFont="1" applyFill="1" applyBorder="1" applyAlignment="1">
      <alignment horizontal="right" vertical="center"/>
    </xf>
    <xf numFmtId="43" fontId="0" fillId="0" borderId="0" xfId="0" applyNumberFormat="1"/>
    <xf numFmtId="3" fontId="0" fillId="11" borderId="1" xfId="0" applyNumberFormat="1" applyFill="1" applyBorder="1"/>
    <xf numFmtId="164" fontId="0" fillId="15" borderId="0" xfId="0" applyNumberFormat="1" applyFill="1"/>
    <xf numFmtId="164" fontId="3" fillId="15" borderId="0" xfId="0" applyNumberFormat="1" applyFont="1" applyFill="1"/>
    <xf numFmtId="164" fontId="0" fillId="22" borderId="0" xfId="0" applyNumberFormat="1" applyFill="1"/>
    <xf numFmtId="164" fontId="3" fillId="22" borderId="0" xfId="0" applyNumberFormat="1" applyFont="1" applyFill="1"/>
    <xf numFmtId="164" fontId="0" fillId="5" borderId="0" xfId="0" applyNumberFormat="1" applyFill="1"/>
    <xf numFmtId="164" fontId="3" fillId="5" borderId="0" xfId="0" applyNumberFormat="1" applyFont="1" applyFill="1"/>
    <xf numFmtId="0" fontId="14" fillId="3" borderId="1" xfId="0" applyFont="1" applyFill="1" applyBorder="1"/>
    <xf numFmtId="3" fontId="13" fillId="3" borderId="1" xfId="0" applyNumberFormat="1" applyFont="1" applyFill="1" applyBorder="1"/>
    <xf numFmtId="3" fontId="12" fillId="3" borderId="1" xfId="0" applyNumberFormat="1" applyFont="1" applyFill="1" applyBorder="1"/>
    <xf numFmtId="0" fontId="14" fillId="3" borderId="1" xfId="0" applyFont="1" applyFill="1" applyBorder="1" applyAlignment="1" applyProtection="1">
      <alignment horizontal="left" vertical="center"/>
      <protection locked="0"/>
    </xf>
    <xf numFmtId="0" fontId="3" fillId="0" borderId="12" xfId="0" applyFont="1" applyBorder="1" applyAlignment="1" applyProtection="1">
      <alignment horizontal="left" vertical="center"/>
      <protection locked="0"/>
    </xf>
    <xf numFmtId="9" fontId="0" fillId="0" borderId="0" xfId="2" applyFont="1" applyFill="1" applyBorder="1"/>
    <xf numFmtId="10" fontId="0" fillId="0" borderId="0" xfId="2" applyNumberFormat="1" applyFont="1" applyFill="1" applyBorder="1"/>
    <xf numFmtId="3" fontId="0" fillId="0" borderId="0" xfId="2" applyNumberFormat="1" applyFont="1" applyFill="1" applyBorder="1"/>
    <xf numFmtId="167" fontId="0" fillId="0" borderId="0" xfId="0" applyNumberFormat="1"/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8" xfId="0" applyFont="1" applyBorder="1"/>
    <xf numFmtId="0" fontId="17" fillId="0" borderId="0" xfId="0" applyFont="1"/>
    <xf numFmtId="17" fontId="18" fillId="16" borderId="1" xfId="0" applyNumberFormat="1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3" fontId="18" fillId="0" borderId="2" xfId="0" applyNumberFormat="1" applyFont="1" applyBorder="1"/>
    <xf numFmtId="0" fontId="18" fillId="0" borderId="3" xfId="0" applyFont="1" applyBorder="1" applyAlignment="1">
      <alignment horizontal="center" vertical="center"/>
    </xf>
    <xf numFmtId="3" fontId="18" fillId="0" borderId="3" xfId="0" applyNumberFormat="1" applyFont="1" applyBorder="1"/>
    <xf numFmtId="0" fontId="18" fillId="0" borderId="13" xfId="0" applyFont="1" applyBorder="1" applyAlignment="1">
      <alignment horizontal="center" vertical="center"/>
    </xf>
    <xf numFmtId="3" fontId="17" fillId="0" borderId="2" xfId="0" applyNumberFormat="1" applyFont="1" applyBorder="1"/>
    <xf numFmtId="0" fontId="18" fillId="0" borderId="14" xfId="0" applyFont="1" applyBorder="1" applyAlignment="1">
      <alignment horizontal="center" vertical="center"/>
    </xf>
    <xf numFmtId="3" fontId="17" fillId="0" borderId="3" xfId="0" applyNumberFormat="1" applyFont="1" applyBorder="1"/>
    <xf numFmtId="0" fontId="18" fillId="3" borderId="13" xfId="0" applyFont="1" applyFill="1" applyBorder="1" applyAlignment="1">
      <alignment horizontal="center" vertical="center"/>
    </xf>
    <xf numFmtId="3" fontId="18" fillId="3" borderId="2" xfId="0" applyNumberFormat="1" applyFont="1" applyFill="1" applyBorder="1"/>
    <xf numFmtId="0" fontId="18" fillId="3" borderId="14" xfId="0" applyFont="1" applyFill="1" applyBorder="1" applyAlignment="1">
      <alignment horizontal="center" vertical="center"/>
    </xf>
    <xf numFmtId="3" fontId="18" fillId="3" borderId="3" xfId="0" applyNumberFormat="1" applyFont="1" applyFill="1" applyBorder="1"/>
    <xf numFmtId="0" fontId="18" fillId="16" borderId="1" xfId="0" applyFont="1" applyFill="1" applyBorder="1" applyAlignment="1">
      <alignment horizontal="center" vertical="center"/>
    </xf>
    <xf numFmtId="0" fontId="18" fillId="16" borderId="9" xfId="0" applyFont="1" applyFill="1" applyBorder="1" applyAlignment="1">
      <alignment horizontal="center" vertical="center"/>
    </xf>
    <xf numFmtId="17" fontId="18" fillId="16" borderId="1" xfId="0" applyNumberFormat="1" applyFont="1" applyFill="1" applyBorder="1" applyAlignment="1">
      <alignment horizontal="center" vertical="center" wrapText="1"/>
    </xf>
    <xf numFmtId="3" fontId="17" fillId="0" borderId="0" xfId="0" applyNumberFormat="1" applyFont="1"/>
    <xf numFmtId="168" fontId="0" fillId="0" borderId="0" xfId="0" applyNumberFormat="1"/>
    <xf numFmtId="2" fontId="0" fillId="0" borderId="0" xfId="0" applyNumberFormat="1"/>
    <xf numFmtId="10" fontId="0" fillId="0" borderId="0" xfId="0" applyNumberFormat="1"/>
    <xf numFmtId="3" fontId="17" fillId="0" borderId="4" xfId="0" applyNumberFormat="1" applyFont="1" applyBorder="1"/>
    <xf numFmtId="3" fontId="17" fillId="0" borderId="15" xfId="0" applyNumberFormat="1" applyFont="1" applyBorder="1"/>
    <xf numFmtId="3" fontId="17" fillId="0" borderId="11" xfId="0" applyNumberFormat="1" applyFont="1" applyBorder="1"/>
    <xf numFmtId="3" fontId="17" fillId="0" borderId="13" xfId="0" applyNumberFormat="1" applyFont="1" applyBorder="1"/>
    <xf numFmtId="3" fontId="17" fillId="0" borderId="14" xfId="0" applyNumberFormat="1" applyFont="1" applyBorder="1"/>
    <xf numFmtId="3" fontId="18" fillId="0" borderId="4" xfId="0" applyNumberFormat="1" applyFont="1" applyBorder="1"/>
    <xf numFmtId="9" fontId="17" fillId="0" borderId="0" xfId="2" applyFont="1"/>
    <xf numFmtId="10" fontId="17" fillId="0" borderId="0" xfId="2" applyNumberFormat="1" applyFont="1"/>
    <xf numFmtId="0" fontId="18" fillId="0" borderId="0" xfId="0" applyFont="1" applyAlignment="1">
      <alignment horizontal="center"/>
    </xf>
    <xf numFmtId="0" fontId="18" fillId="16" borderId="0" xfId="0" applyFont="1" applyFill="1" applyAlignment="1">
      <alignment horizontal="center" vertical="center" wrapText="1"/>
    </xf>
    <xf numFmtId="3" fontId="18" fillId="0" borderId="0" xfId="0" applyNumberFormat="1" applyFont="1"/>
    <xf numFmtId="3" fontId="18" fillId="3" borderId="0" xfId="0" applyNumberFormat="1" applyFont="1" applyFill="1"/>
    <xf numFmtId="0" fontId="17" fillId="0" borderId="0" xfId="0" applyFont="1" applyAlignment="1">
      <alignment horizontal="right" vertical="center"/>
    </xf>
    <xf numFmtId="17" fontId="18" fillId="16" borderId="6" xfId="0" applyNumberFormat="1" applyFont="1" applyFill="1" applyBorder="1" applyAlignment="1">
      <alignment horizontal="center" vertical="center"/>
    </xf>
    <xf numFmtId="3" fontId="18" fillId="0" borderId="15" xfId="0" applyNumberFormat="1" applyFont="1" applyBorder="1"/>
    <xf numFmtId="3" fontId="18" fillId="0" borderId="11" xfId="0" applyNumberFormat="1" applyFont="1" applyBorder="1"/>
    <xf numFmtId="3" fontId="18" fillId="3" borderId="15" xfId="0" applyNumberFormat="1" applyFont="1" applyFill="1" applyBorder="1"/>
    <xf numFmtId="3" fontId="18" fillId="3" borderId="11" xfId="0" applyNumberFormat="1" applyFont="1" applyFill="1" applyBorder="1"/>
    <xf numFmtId="17" fontId="18" fillId="16" borderId="9" xfId="0" applyNumberFormat="1" applyFont="1" applyFill="1" applyBorder="1" applyAlignment="1">
      <alignment horizontal="center" vertical="center"/>
    </xf>
    <xf numFmtId="3" fontId="18" fillId="0" borderId="13" xfId="0" applyNumberFormat="1" applyFont="1" applyBorder="1"/>
    <xf numFmtId="3" fontId="18" fillId="0" borderId="14" xfId="0" applyNumberFormat="1" applyFont="1" applyBorder="1"/>
    <xf numFmtId="3" fontId="18" fillId="3" borderId="13" xfId="0" applyNumberFormat="1" applyFont="1" applyFill="1" applyBorder="1"/>
    <xf numFmtId="3" fontId="18" fillId="3" borderId="14" xfId="0" applyNumberFormat="1" applyFont="1" applyFill="1" applyBorder="1"/>
    <xf numFmtId="0" fontId="18" fillId="0" borderId="0" xfId="0" applyFont="1"/>
    <xf numFmtId="10" fontId="17" fillId="0" borderId="0" xfId="2" applyNumberFormat="1" applyFont="1" applyFill="1" applyBorder="1"/>
    <xf numFmtId="9" fontId="17" fillId="0" borderId="0" xfId="2" applyFont="1" applyFill="1" applyBorder="1"/>
    <xf numFmtId="17" fontId="18" fillId="0" borderId="4" xfId="0" applyNumberFormat="1" applyFont="1" applyBorder="1" applyAlignment="1">
      <alignment horizontal="center" vertical="center"/>
    </xf>
    <xf numFmtId="3" fontId="9" fillId="4" borderId="0" xfId="0" applyNumberFormat="1" applyFont="1" applyFill="1" applyAlignment="1" applyProtection="1">
      <alignment vertical="center" wrapText="1"/>
      <protection locked="0"/>
    </xf>
    <xf numFmtId="166" fontId="7" fillId="0" borderId="0" xfId="6" applyNumberFormat="1" applyFont="1" applyFill="1" applyBorder="1" applyAlignment="1" applyProtection="1">
      <alignment horizontal="right" vertical="center"/>
      <protection locked="0"/>
    </xf>
    <xf numFmtId="9" fontId="7" fillId="0" borderId="0" xfId="2" applyFont="1" applyFill="1" applyBorder="1" applyAlignment="1" applyProtection="1">
      <alignment horizontal="right" vertical="center"/>
      <protection locked="0"/>
    </xf>
    <xf numFmtId="3" fontId="0" fillId="18" borderId="0" xfId="0" applyNumberFormat="1" applyFill="1"/>
    <xf numFmtId="166" fontId="7" fillId="18" borderId="7" xfId="6" applyNumberFormat="1" applyFont="1" applyFill="1" applyBorder="1" applyAlignment="1" applyProtection="1">
      <alignment horizontal="right" vertical="center"/>
      <protection locked="0"/>
    </xf>
    <xf numFmtId="170" fontId="0" fillId="7" borderId="0" xfId="0" applyNumberFormat="1" applyFill="1"/>
    <xf numFmtId="0" fontId="3" fillId="2" borderId="11" xfId="0" applyFont="1" applyFill="1" applyBorder="1" applyAlignment="1">
      <alignment horizontal="center" vertical="center"/>
    </xf>
    <xf numFmtId="0" fontId="18" fillId="16" borderId="6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7" fontId="18" fillId="21" borderId="9" xfId="0" applyNumberFormat="1" applyFont="1" applyFill="1" applyBorder="1" applyAlignment="1">
      <alignment horizontal="center" vertical="center"/>
    </xf>
    <xf numFmtId="17" fontId="18" fillId="21" borderId="1" xfId="0" applyNumberFormat="1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vertical="center"/>
    </xf>
    <xf numFmtId="0" fontId="18" fillId="21" borderId="9" xfId="0" applyFont="1" applyFill="1" applyBorder="1" applyAlignment="1">
      <alignment horizontal="center" vertical="center"/>
    </xf>
    <xf numFmtId="0" fontId="18" fillId="21" borderId="6" xfId="0" applyFont="1" applyFill="1" applyBorder="1" applyAlignment="1">
      <alignment horizontal="center" vertical="center" wrapText="1"/>
    </xf>
    <xf numFmtId="168" fontId="17" fillId="0" borderId="0" xfId="1" applyNumberFormat="1" applyFont="1"/>
    <xf numFmtId="4" fontId="3" fillId="15" borderId="1" xfId="0" applyNumberFormat="1" applyFont="1" applyFill="1" applyBorder="1"/>
    <xf numFmtId="10" fontId="20" fillId="0" borderId="0" xfId="0" applyNumberFormat="1" applyFont="1"/>
    <xf numFmtId="0" fontId="18" fillId="0" borderId="1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6" fontId="0" fillId="24" borderId="1" xfId="1" applyNumberFormat="1" applyFont="1" applyFill="1" applyBorder="1" applyAlignment="1">
      <alignment horizontal="right" vertical="center"/>
    </xf>
    <xf numFmtId="166" fontId="0" fillId="24" borderId="1" xfId="1" applyNumberFormat="1" applyFont="1" applyFill="1" applyBorder="1"/>
    <xf numFmtId="0" fontId="18" fillId="7" borderId="4" xfId="0" applyFont="1" applyFill="1" applyBorder="1" applyAlignment="1">
      <alignment horizontal="center" vertical="center" wrapText="1"/>
    </xf>
    <xf numFmtId="0" fontId="18" fillId="16" borderId="2" xfId="0" applyFont="1" applyFill="1" applyBorder="1" applyAlignment="1">
      <alignment horizontal="center" vertical="center" wrapText="1"/>
    </xf>
    <xf numFmtId="3" fontId="18" fillId="7" borderId="4" xfId="0" applyNumberFormat="1" applyFont="1" applyFill="1" applyBorder="1"/>
    <xf numFmtId="3" fontId="18" fillId="18" borderId="2" xfId="0" applyNumberFormat="1" applyFont="1" applyFill="1" applyBorder="1"/>
    <xf numFmtId="3" fontId="18" fillId="18" borderId="3" xfId="0" applyNumberFormat="1" applyFont="1" applyFill="1" applyBorder="1"/>
    <xf numFmtId="171" fontId="0" fillId="0" borderId="0" xfId="2" applyNumberFormat="1" applyFont="1"/>
    <xf numFmtId="172" fontId="0" fillId="0" borderId="0" xfId="2" applyNumberFormat="1" applyFont="1"/>
    <xf numFmtId="3" fontId="18" fillId="0" borderId="13" xfId="0" applyNumberFormat="1" applyFont="1" applyBorder="1" applyAlignment="1">
      <alignment horizontal="right" vertical="center"/>
    </xf>
    <xf numFmtId="3" fontId="18" fillId="0" borderId="14" xfId="0" applyNumberFormat="1" applyFont="1" applyBorder="1" applyAlignment="1">
      <alignment horizontal="right" vertical="center"/>
    </xf>
    <xf numFmtId="3" fontId="18" fillId="0" borderId="2" xfId="0" applyNumberFormat="1" applyFont="1" applyBorder="1" applyAlignment="1">
      <alignment horizontal="right"/>
    </xf>
    <xf numFmtId="3" fontId="18" fillId="0" borderId="3" xfId="0" applyNumberFormat="1" applyFont="1" applyBorder="1" applyAlignment="1">
      <alignment horizontal="right"/>
    </xf>
    <xf numFmtId="3" fontId="18" fillId="0" borderId="17" xfId="0" applyNumberFormat="1" applyFont="1" applyBorder="1" applyAlignment="1">
      <alignment horizontal="right" vertical="center"/>
    </xf>
    <xf numFmtId="3" fontId="17" fillId="0" borderId="0" xfId="2" applyNumberFormat="1" applyFont="1"/>
    <xf numFmtId="3" fontId="17" fillId="7" borderId="0" xfId="0" applyNumberFormat="1" applyFont="1" applyFill="1"/>
    <xf numFmtId="1" fontId="17" fillId="0" borderId="0" xfId="0" applyNumberFormat="1" applyFont="1"/>
    <xf numFmtId="0" fontId="18" fillId="0" borderId="0" xfId="0" applyFont="1" applyBorder="1" applyAlignment="1">
      <alignment horizontal="center"/>
    </xf>
    <xf numFmtId="0" fontId="18" fillId="16" borderId="4" xfId="0" applyFont="1" applyFill="1" applyBorder="1" applyAlignment="1">
      <alignment horizontal="center" vertical="center" wrapText="1"/>
    </xf>
    <xf numFmtId="0" fontId="18" fillId="16" borderId="9" xfId="0" applyFont="1" applyFill="1" applyBorder="1" applyAlignment="1">
      <alignment horizontal="center" vertical="center" wrapText="1"/>
    </xf>
    <xf numFmtId="4" fontId="0" fillId="0" borderId="0" xfId="2" applyNumberFormat="1" applyFont="1"/>
    <xf numFmtId="9" fontId="18" fillId="0" borderId="0" xfId="2" applyFont="1"/>
    <xf numFmtId="4" fontId="17" fillId="0" borderId="0" xfId="0" applyNumberFormat="1" applyFont="1"/>
    <xf numFmtId="169" fontId="0" fillId="0" borderId="0" xfId="0" applyNumberFormat="1"/>
    <xf numFmtId="173" fontId="3" fillId="0" borderId="0" xfId="0" applyNumberFormat="1" applyFont="1" applyAlignment="1" applyProtection="1">
      <alignment horizontal="left" vertical="center"/>
      <protection locked="0"/>
    </xf>
    <xf numFmtId="9" fontId="0" fillId="0" borderId="0" xfId="2" applyNumberFormat="1" applyFont="1"/>
    <xf numFmtId="0" fontId="18" fillId="7" borderId="1" xfId="0" applyFont="1" applyFill="1" applyBorder="1" applyAlignment="1">
      <alignment horizontal="center" vertical="center" wrapText="1"/>
    </xf>
    <xf numFmtId="0" fontId="22" fillId="0" borderId="0" xfId="8" applyFont="1"/>
    <xf numFmtId="0" fontId="22" fillId="0" borderId="0" xfId="8" applyFont="1" applyAlignment="1">
      <alignment horizontal="center"/>
    </xf>
    <xf numFmtId="0" fontId="21" fillId="0" borderId="0" xfId="8"/>
    <xf numFmtId="43" fontId="22" fillId="0" borderId="0" xfId="9" applyFont="1"/>
    <xf numFmtId="0" fontId="22" fillId="25" borderId="0" xfId="8" applyFont="1" applyFill="1"/>
    <xf numFmtId="0" fontId="23" fillId="25" borderId="0" xfId="8" applyFont="1" applyFill="1"/>
    <xf numFmtId="0" fontId="22" fillId="25" borderId="0" xfId="8" applyFont="1" applyFill="1" applyAlignment="1">
      <alignment horizontal="center"/>
    </xf>
    <xf numFmtId="0" fontId="24" fillId="26" borderId="0" xfId="8" applyFont="1" applyFill="1" applyAlignment="1">
      <alignment horizontal="center"/>
    </xf>
    <xf numFmtId="0" fontId="25" fillId="5" borderId="0" xfId="8" applyFont="1" applyFill="1" applyAlignment="1">
      <alignment horizontal="center"/>
    </xf>
    <xf numFmtId="9" fontId="21" fillId="0" borderId="0" xfId="8" applyNumberFormat="1"/>
    <xf numFmtId="0" fontId="24" fillId="27" borderId="18" xfId="8" applyFont="1" applyFill="1" applyBorder="1"/>
    <xf numFmtId="0" fontId="22" fillId="27" borderId="18" xfId="8" applyFont="1" applyFill="1" applyBorder="1"/>
    <xf numFmtId="0" fontId="22" fillId="0" borderId="18" xfId="8" applyFont="1" applyBorder="1"/>
    <xf numFmtId="0" fontId="22" fillId="0" borderId="18" xfId="8" applyFont="1" applyBorder="1" applyAlignment="1">
      <alignment horizontal="center"/>
    </xf>
    <xf numFmtId="0" fontId="26" fillId="28" borderId="18" xfId="8" applyFont="1" applyFill="1" applyBorder="1" applyAlignment="1">
      <alignment horizontal="center"/>
    </xf>
    <xf numFmtId="166" fontId="27" fillId="0" borderId="18" xfId="9" applyNumberFormat="1" applyFont="1" applyBorder="1" applyAlignment="1">
      <alignment horizontal="right"/>
    </xf>
    <xf numFmtId="166" fontId="22" fillId="0" borderId="18" xfId="9" applyNumberFormat="1" applyFont="1" applyBorder="1" applyAlignment="1">
      <alignment horizontal="center"/>
    </xf>
    <xf numFmtId="43" fontId="21" fillId="0" borderId="0" xfId="8" applyNumberFormat="1"/>
    <xf numFmtId="166" fontId="10" fillId="0" borderId="18" xfId="9" applyNumberFormat="1" applyFont="1" applyBorder="1" applyAlignment="1">
      <alignment horizontal="right"/>
    </xf>
    <xf numFmtId="166" fontId="26" fillId="28" borderId="18" xfId="9" applyNumberFormat="1" applyFont="1" applyFill="1" applyBorder="1" applyAlignment="1">
      <alignment horizontal="center"/>
    </xf>
    <xf numFmtId="166" fontId="22" fillId="0" borderId="18" xfId="9" applyNumberFormat="1" applyFont="1" applyBorder="1"/>
    <xf numFmtId="166" fontId="10" fillId="0" borderId="18" xfId="9" applyNumberFormat="1" applyFont="1" applyBorder="1"/>
    <xf numFmtId="0" fontId="24" fillId="29" borderId="18" xfId="8" applyFont="1" applyFill="1" applyBorder="1"/>
    <xf numFmtId="0" fontId="22" fillId="29" borderId="18" xfId="8" applyFont="1" applyFill="1" applyBorder="1"/>
    <xf numFmtId="0" fontId="27" fillId="0" borderId="18" xfId="8" applyFont="1" applyBorder="1" applyAlignment="1">
      <alignment horizontal="right"/>
    </xf>
    <xf numFmtId="0" fontId="10" fillId="0" borderId="18" xfId="8" applyFont="1" applyBorder="1" applyAlignment="1">
      <alignment horizontal="right"/>
    </xf>
    <xf numFmtId="0" fontId="21" fillId="0" borderId="0" xfId="8" applyAlignment="1">
      <alignment horizontal="center"/>
    </xf>
    <xf numFmtId="0" fontId="3" fillId="28" borderId="0" xfId="8" applyFont="1" applyFill="1" applyAlignment="1">
      <alignment horizontal="center"/>
    </xf>
    <xf numFmtId="0" fontId="27" fillId="0" borderId="18" xfId="8" applyFont="1" applyBorder="1"/>
    <xf numFmtId="0" fontId="24" fillId="30" borderId="18" xfId="8" applyFont="1" applyFill="1" applyBorder="1"/>
    <xf numFmtId="0" fontId="24" fillId="31" borderId="18" xfId="8" applyFont="1" applyFill="1" applyBorder="1"/>
    <xf numFmtId="0" fontId="10" fillId="0" borderId="18" xfId="8" applyFont="1" applyBorder="1"/>
    <xf numFmtId="166" fontId="19" fillId="0" borderId="18" xfId="1" applyNumberFormat="1" applyFont="1" applyBorder="1"/>
    <xf numFmtId="0" fontId="22" fillId="29" borderId="0" xfId="8" applyFont="1" applyFill="1" applyBorder="1"/>
    <xf numFmtId="166" fontId="26" fillId="0" borderId="18" xfId="9" applyNumberFormat="1" applyFont="1" applyBorder="1" applyAlignment="1">
      <alignment horizontal="center"/>
    </xf>
    <xf numFmtId="0" fontId="3" fillId="0" borderId="0" xfId="8" applyFont="1"/>
    <xf numFmtId="0" fontId="3" fillId="0" borderId="0" xfId="8" applyFont="1" applyAlignment="1">
      <alignment horizontal="center"/>
    </xf>
    <xf numFmtId="0" fontId="26" fillId="0" borderId="18" xfId="8" applyFont="1" applyBorder="1"/>
    <xf numFmtId="0" fontId="22" fillId="32" borderId="18" xfId="8" applyFont="1" applyFill="1" applyBorder="1"/>
    <xf numFmtId="166" fontId="10" fillId="7" borderId="18" xfId="9" applyNumberFormat="1" applyFont="1" applyFill="1" applyBorder="1" applyAlignment="1">
      <alignment horizontal="right"/>
    </xf>
    <xf numFmtId="166" fontId="22" fillId="7" borderId="18" xfId="9" applyNumberFormat="1" applyFont="1" applyFill="1" applyBorder="1" applyAlignment="1">
      <alignment horizontal="center"/>
    </xf>
    <xf numFmtId="0" fontId="26" fillId="32" borderId="18" xfId="8" applyFont="1" applyFill="1" applyBorder="1"/>
    <xf numFmtId="166" fontId="27" fillId="7" borderId="18" xfId="9" applyNumberFormat="1" applyFont="1" applyFill="1" applyBorder="1" applyAlignment="1">
      <alignment horizontal="right"/>
    </xf>
    <xf numFmtId="0" fontId="10" fillId="32" borderId="18" xfId="8" applyFont="1" applyFill="1" applyBorder="1"/>
    <xf numFmtId="166" fontId="26" fillId="7" borderId="18" xfId="9" applyNumberFormat="1" applyFont="1" applyFill="1" applyBorder="1" applyAlignment="1">
      <alignment horizontal="right"/>
    </xf>
    <xf numFmtId="166" fontId="10" fillId="7" borderId="18" xfId="9" applyNumberFormat="1" applyFont="1" applyFill="1" applyBorder="1" applyAlignment="1">
      <alignment horizontal="center"/>
    </xf>
    <xf numFmtId="0" fontId="10" fillId="7" borderId="18" xfId="8" applyFont="1" applyFill="1" applyBorder="1" applyAlignment="1">
      <alignment horizontal="center"/>
    </xf>
    <xf numFmtId="0" fontId="22" fillId="33" borderId="18" xfId="8" applyFont="1" applyFill="1" applyBorder="1"/>
    <xf numFmtId="0" fontId="26" fillId="34" borderId="18" xfId="8" applyFont="1" applyFill="1" applyBorder="1"/>
    <xf numFmtId="166" fontId="26" fillId="35" borderId="18" xfId="1" applyNumberFormat="1" applyFont="1" applyFill="1" applyBorder="1"/>
    <xf numFmtId="0" fontId="21" fillId="36" borderId="0" xfId="8" applyFill="1"/>
    <xf numFmtId="0" fontId="26" fillId="36" borderId="0" xfId="8" applyFont="1" applyFill="1"/>
    <xf numFmtId="166" fontId="26" fillId="36" borderId="18" xfId="9" applyNumberFormat="1" applyFont="1" applyFill="1" applyBorder="1" applyAlignment="1">
      <alignment horizontal="right"/>
    </xf>
    <xf numFmtId="166" fontId="10" fillId="15" borderId="1" xfId="9" applyNumberFormat="1" applyFont="1" applyFill="1" applyBorder="1" applyAlignment="1">
      <alignment horizontal="right"/>
    </xf>
    <xf numFmtId="166" fontId="27" fillId="15" borderId="1" xfId="9" applyNumberFormat="1" applyFont="1" applyFill="1" applyBorder="1" applyAlignment="1">
      <alignment horizontal="right"/>
    </xf>
    <xf numFmtId="0" fontId="10" fillId="29" borderId="18" xfId="8" applyFont="1" applyFill="1" applyBorder="1"/>
    <xf numFmtId="0" fontId="10" fillId="33" borderId="18" xfId="8" applyFont="1" applyFill="1" applyBorder="1"/>
    <xf numFmtId="0" fontId="10" fillId="33" borderId="0" xfId="8" applyFont="1" applyFill="1" applyBorder="1"/>
    <xf numFmtId="0" fontId="28" fillId="29" borderId="18" xfId="8" applyFont="1" applyFill="1" applyBorder="1"/>
    <xf numFmtId="0" fontId="10" fillId="0" borderId="18" xfId="8" applyFont="1" applyBorder="1" applyAlignment="1">
      <alignment horizontal="center"/>
    </xf>
    <xf numFmtId="166" fontId="10" fillId="0" borderId="18" xfId="9" applyNumberFormat="1" applyFont="1" applyBorder="1" applyAlignment="1">
      <alignment horizontal="center"/>
    </xf>
    <xf numFmtId="0" fontId="10" fillId="34" borderId="18" xfId="8" applyFont="1" applyFill="1" applyBorder="1"/>
    <xf numFmtId="166" fontId="10" fillId="35" borderId="18" xfId="1" applyNumberFormat="1" applyFont="1" applyFill="1" applyBorder="1"/>
    <xf numFmtId="0" fontId="10" fillId="35" borderId="18" xfId="8" applyFont="1" applyFill="1" applyBorder="1" applyAlignment="1">
      <alignment horizontal="right"/>
    </xf>
    <xf numFmtId="0" fontId="10" fillId="35" borderId="18" xfId="8" applyFont="1" applyFill="1" applyBorder="1" applyAlignment="1">
      <alignment horizontal="center"/>
    </xf>
    <xf numFmtId="166" fontId="29" fillId="35" borderId="18" xfId="1" applyNumberFormat="1" applyFont="1" applyFill="1" applyBorder="1"/>
    <xf numFmtId="166" fontId="10" fillId="35" borderId="18" xfId="9" applyNumberFormat="1" applyFont="1" applyFill="1" applyBorder="1" applyAlignment="1">
      <alignment horizontal="center"/>
    </xf>
    <xf numFmtId="0" fontId="10" fillId="35" borderId="0" xfId="8" applyFont="1" applyFill="1" applyBorder="1" applyAlignment="1">
      <alignment horizontal="right"/>
    </xf>
    <xf numFmtId="0" fontId="10" fillId="35" borderId="0" xfId="8" applyFont="1" applyFill="1" applyBorder="1" applyAlignment="1">
      <alignment horizontal="center"/>
    </xf>
    <xf numFmtId="166" fontId="10" fillId="36" borderId="18" xfId="9" applyNumberFormat="1" applyFont="1" applyFill="1" applyBorder="1" applyAlignment="1">
      <alignment horizontal="right"/>
    </xf>
    <xf numFmtId="3" fontId="0" fillId="2" borderId="1" xfId="4" applyNumberFormat="1" applyFont="1" applyFill="1" applyBorder="1" applyProtection="1">
      <protection locked="0"/>
    </xf>
    <xf numFmtId="0" fontId="22" fillId="7" borderId="18" xfId="8" applyFont="1" applyFill="1" applyBorder="1"/>
    <xf numFmtId="0" fontId="22" fillId="35" borderId="18" xfId="8" applyFont="1" applyFill="1" applyBorder="1"/>
    <xf numFmtId="166" fontId="26" fillId="7" borderId="18" xfId="9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8" fillId="23" borderId="2" xfId="0" applyFont="1" applyFill="1" applyBorder="1" applyAlignment="1">
      <alignment horizontal="center" vertical="center"/>
    </xf>
    <xf numFmtId="0" fontId="18" fillId="23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8" fillId="0" borderId="8" xfId="0" applyFont="1" applyBorder="1" applyAlignment="1">
      <alignment horizontal="center"/>
    </xf>
    <xf numFmtId="0" fontId="18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3" fillId="2" borderId="11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0" fillId="0" borderId="0" xfId="10"/>
    <xf numFmtId="166" fontId="0" fillId="0" borderId="0" xfId="11" applyNumberFormat="1" applyFont="1" applyAlignment="1"/>
    <xf numFmtId="0" fontId="32" fillId="25" borderId="0" xfId="10" applyFont="1" applyFill="1"/>
    <xf numFmtId="0" fontId="29" fillId="25" borderId="0" xfId="10" applyFont="1" applyFill="1"/>
    <xf numFmtId="0" fontId="29" fillId="0" borderId="0" xfId="10" applyFont="1"/>
    <xf numFmtId="0" fontId="33" fillId="26" borderId="0" xfId="10" applyFont="1" applyFill="1" applyAlignment="1">
      <alignment horizontal="center"/>
    </xf>
    <xf numFmtId="0" fontId="34" fillId="0" borderId="0" xfId="10" applyFont="1" applyAlignment="1">
      <alignment horizontal="center"/>
    </xf>
    <xf numFmtId="0" fontId="34" fillId="28" borderId="0" xfId="10" applyFont="1" applyFill="1" applyAlignment="1">
      <alignment horizontal="center"/>
    </xf>
    <xf numFmtId="0" fontId="33" fillId="27" borderId="18" xfId="10" applyFont="1" applyFill="1" applyBorder="1"/>
    <xf numFmtId="0" fontId="29" fillId="27" borderId="18" xfId="10" applyFont="1" applyFill="1" applyBorder="1"/>
    <xf numFmtId="0" fontId="29" fillId="0" borderId="18" xfId="10" applyFont="1" applyBorder="1"/>
    <xf numFmtId="0" fontId="33" fillId="27" borderId="0" xfId="10" applyFont="1" applyFill="1"/>
    <xf numFmtId="0" fontId="29" fillId="27" borderId="0" xfId="10" applyFont="1" applyFill="1"/>
    <xf numFmtId="0" fontId="29" fillId="37" borderId="0" xfId="10" applyFont="1" applyFill="1"/>
    <xf numFmtId="166" fontId="29" fillId="0" borderId="18" xfId="11" applyNumberFormat="1" applyFont="1" applyBorder="1" applyAlignment="1">
      <alignment horizontal="right"/>
    </xf>
    <xf numFmtId="166" fontId="29" fillId="0" borderId="18" xfId="11" applyNumberFormat="1" applyFont="1" applyBorder="1"/>
    <xf numFmtId="166" fontId="34" fillId="0" borderId="18" xfId="10" applyNumberFormat="1" applyFont="1" applyBorder="1"/>
    <xf numFmtId="166" fontId="29" fillId="0" borderId="0" xfId="11" applyNumberFormat="1" applyFont="1" applyBorder="1" applyAlignment="1">
      <alignment horizontal="right"/>
    </xf>
    <xf numFmtId="166" fontId="29" fillId="0" borderId="0" xfId="11" applyNumberFormat="1" applyFont="1" applyBorder="1"/>
    <xf numFmtId="166" fontId="34" fillId="37" borderId="0" xfId="10" applyNumberFormat="1" applyFont="1" applyFill="1"/>
    <xf numFmtId="0" fontId="33" fillId="29" borderId="18" xfId="10" applyFont="1" applyFill="1" applyBorder="1"/>
    <xf numFmtId="0" fontId="29" fillId="29" borderId="18" xfId="10" applyFont="1" applyFill="1" applyBorder="1"/>
    <xf numFmtId="0" fontId="33" fillId="29" borderId="0" xfId="10" applyFont="1" applyFill="1"/>
    <xf numFmtId="0" fontId="29" fillId="29" borderId="0" xfId="10" applyFont="1" applyFill="1"/>
    <xf numFmtId="0" fontId="26" fillId="0" borderId="18" xfId="10" applyFont="1" applyBorder="1"/>
    <xf numFmtId="0" fontId="33" fillId="30" borderId="18" xfId="10" applyFont="1" applyFill="1" applyBorder="1"/>
    <xf numFmtId="166" fontId="34" fillId="0" borderId="18" xfId="11" applyNumberFormat="1" applyFont="1" applyBorder="1" applyAlignment="1">
      <alignment horizontal="right"/>
    </xf>
    <xf numFmtId="0" fontId="26" fillId="0" borderId="0" xfId="10" applyFont="1"/>
    <xf numFmtId="0" fontId="33" fillId="30" borderId="0" xfId="10" applyFont="1" applyFill="1"/>
    <xf numFmtId="166" fontId="34" fillId="0" borderId="0" xfId="11" applyNumberFormat="1" applyFont="1" applyBorder="1" applyAlignment="1">
      <alignment horizontal="right"/>
    </xf>
    <xf numFmtId="0" fontId="34" fillId="0" borderId="18" xfId="10" applyFont="1" applyBorder="1"/>
    <xf numFmtId="0" fontId="33" fillId="31" borderId="18" xfId="10" applyFont="1" applyFill="1" applyBorder="1"/>
    <xf numFmtId="0" fontId="34" fillId="0" borderId="0" xfId="10" applyFont="1"/>
    <xf numFmtId="0" fontId="33" fillId="31" borderId="0" xfId="10" applyFont="1" applyFill="1"/>
    <xf numFmtId="166" fontId="30" fillId="0" borderId="0" xfId="10" applyNumberFormat="1"/>
    <xf numFmtId="168" fontId="30" fillId="0" borderId="0" xfId="1" applyNumberFormat="1" applyFont="1"/>
    <xf numFmtId="0" fontId="3" fillId="35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0" fillId="35" borderId="1" xfId="0" applyFill="1" applyBorder="1"/>
    <xf numFmtId="0" fontId="3" fillId="38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 wrapText="1"/>
    </xf>
    <xf numFmtId="0" fontId="3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0" fillId="38" borderId="1" xfId="0" applyFill="1" applyBorder="1"/>
    <xf numFmtId="168" fontId="0" fillId="0" borderId="0" xfId="1" applyNumberFormat="1" applyFont="1" applyFill="1"/>
    <xf numFmtId="168" fontId="3" fillId="0" borderId="0" xfId="1" applyNumberFormat="1" applyFont="1"/>
    <xf numFmtId="175" fontId="19" fillId="0" borderId="0" xfId="0" applyNumberFormat="1" applyFont="1"/>
    <xf numFmtId="0" fontId="35" fillId="4" borderId="0" xfId="0" applyFont="1" applyFill="1"/>
    <xf numFmtId="3" fontId="0" fillId="21" borderId="1" xfId="12" applyNumberFormat="1" applyFont="1" applyFill="1" applyBorder="1" applyProtection="1">
      <protection locked="0"/>
    </xf>
    <xf numFmtId="3" fontId="9" fillId="39" borderId="5" xfId="0" applyNumberFormat="1" applyFont="1" applyFill="1" applyBorder="1" applyAlignment="1" applyProtection="1">
      <alignment vertical="center" wrapText="1"/>
      <protection locked="0"/>
    </xf>
    <xf numFmtId="3" fontId="0" fillId="9" borderId="1" xfId="12" applyNumberFormat="1" applyFont="1" applyFill="1" applyBorder="1" applyProtection="1">
      <protection locked="0"/>
    </xf>
    <xf numFmtId="170" fontId="3" fillId="15" borderId="1" xfId="0" applyNumberFormat="1" applyFont="1" applyFill="1" applyBorder="1"/>
    <xf numFmtId="0" fontId="1" fillId="9" borderId="19" xfId="0" applyFont="1" applyFill="1" applyBorder="1" applyAlignment="1">
      <alignment horizontal="right" wrapText="1"/>
    </xf>
    <xf numFmtId="3" fontId="9" fillId="40" borderId="1" xfId="0" applyNumberFormat="1" applyFont="1" applyFill="1" applyBorder="1" applyAlignment="1" applyProtection="1">
      <alignment vertical="center" wrapText="1"/>
      <protection locked="0"/>
    </xf>
    <xf numFmtId="0" fontId="1" fillId="37" borderId="1" xfId="0" applyFont="1" applyFill="1" applyBorder="1" applyAlignment="1">
      <alignment horizontal="right" wrapText="1"/>
    </xf>
    <xf numFmtId="4" fontId="1" fillId="9" borderId="20" xfId="0" applyNumberFormat="1" applyFont="1" applyFill="1" applyBorder="1" applyAlignment="1">
      <alignment horizontal="right" wrapText="1"/>
    </xf>
    <xf numFmtId="3" fontId="0" fillId="37" borderId="1" xfId="12" applyNumberFormat="1" applyFont="1" applyFill="1" applyBorder="1" applyProtection="1">
      <protection locked="0"/>
    </xf>
    <xf numFmtId="4" fontId="1" fillId="37" borderId="1" xfId="0" applyNumberFormat="1" applyFont="1" applyFill="1" applyBorder="1" applyAlignment="1">
      <alignment horizontal="right" wrapText="1"/>
    </xf>
    <xf numFmtId="164" fontId="0" fillId="4" borderId="0" xfId="0" applyNumberFormat="1" applyFill="1"/>
    <xf numFmtId="3" fontId="1" fillId="0" borderId="0" xfId="13" applyNumberFormat="1"/>
    <xf numFmtId="0" fontId="3" fillId="7" borderId="0" xfId="0" applyFont="1" applyFill="1"/>
    <xf numFmtId="3" fontId="0" fillId="21" borderId="1" xfId="4" applyNumberFormat="1" applyFont="1" applyFill="1" applyBorder="1" applyProtection="1">
      <protection locked="0"/>
    </xf>
    <xf numFmtId="1" fontId="0" fillId="0" borderId="0" xfId="0" applyNumberFormat="1"/>
    <xf numFmtId="3" fontId="0" fillId="10" borderId="1" xfId="0" applyNumberFormat="1" applyFill="1" applyBorder="1"/>
    <xf numFmtId="0" fontId="3" fillId="7" borderId="1" xfId="0" applyFont="1" applyFill="1" applyBorder="1"/>
    <xf numFmtId="3" fontId="0" fillId="0" borderId="0" xfId="4" applyNumberFormat="1" applyFont="1" applyFill="1" applyBorder="1" applyProtection="1">
      <protection locked="0"/>
    </xf>
    <xf numFmtId="0" fontId="1" fillId="0" borderId="0" xfId="13"/>
    <xf numFmtId="9" fontId="0" fillId="0" borderId="0" xfId="2" applyFont="1" applyFill="1"/>
    <xf numFmtId="166" fontId="1" fillId="0" borderId="7" xfId="14" applyNumberFormat="1" applyFont="1" applyFill="1" applyBorder="1" applyAlignment="1" applyProtection="1">
      <alignment horizontal="right" vertical="center"/>
      <protection locked="0"/>
    </xf>
    <xf numFmtId="3" fontId="0" fillId="15" borderId="1" xfId="0" applyNumberFormat="1" applyFill="1" applyBorder="1"/>
    <xf numFmtId="3" fontId="0" fillId="7" borderId="1" xfId="0" applyNumberFormat="1" applyFill="1" applyBorder="1"/>
    <xf numFmtId="3" fontId="3" fillId="11" borderId="1" xfId="0" applyNumberFormat="1" applyFont="1" applyFill="1" applyBorder="1"/>
    <xf numFmtId="3" fontId="0" fillId="22" borderId="1" xfId="0" applyNumberFormat="1" applyFill="1" applyBorder="1"/>
    <xf numFmtId="3" fontId="3" fillId="22" borderId="1" xfId="0" applyNumberFormat="1" applyFont="1" applyFill="1" applyBorder="1"/>
    <xf numFmtId="3" fontId="3" fillId="15" borderId="0" xfId="0" applyNumberFormat="1" applyFont="1" applyFill="1"/>
    <xf numFmtId="0" fontId="36" fillId="0" borderId="0" xfId="0" applyFont="1"/>
    <xf numFmtId="3" fontId="3" fillId="7" borderId="0" xfId="0" applyNumberFormat="1" applyFont="1" applyFill="1"/>
    <xf numFmtId="3" fontId="3" fillId="22" borderId="0" xfId="0" applyNumberFormat="1" applyFont="1" applyFill="1"/>
    <xf numFmtId="3" fontId="0" fillId="22" borderId="0" xfId="0" applyNumberFormat="1" applyFill="1"/>
    <xf numFmtId="3" fontId="3" fillId="5" borderId="0" xfId="0" applyNumberFormat="1" applyFont="1" applyFill="1"/>
    <xf numFmtId="3" fontId="0" fillId="5" borderId="0" xfId="0" applyNumberFormat="1" applyFill="1"/>
    <xf numFmtId="3" fontId="0" fillId="7" borderId="0" xfId="0" applyNumberFormat="1" applyFill="1"/>
    <xf numFmtId="3" fontId="0" fillId="15" borderId="0" xfId="0" applyNumberFormat="1" applyFill="1"/>
    <xf numFmtId="166" fontId="36" fillId="0" borderId="0" xfId="1" applyNumberFormat="1" applyFont="1" applyFill="1"/>
    <xf numFmtId="9" fontId="36" fillId="0" borderId="0" xfId="2" applyFont="1" applyFill="1"/>
    <xf numFmtId="165" fontId="1" fillId="0" borderId="0" xfId="1" applyFont="1" applyFill="1" applyBorder="1" applyAlignment="1" applyProtection="1">
      <alignment horizontal="right" vertical="center"/>
      <protection locked="0"/>
    </xf>
    <xf numFmtId="165" fontId="1" fillId="0" borderId="7" xfId="1" applyFont="1" applyFill="1" applyBorder="1" applyAlignment="1" applyProtection="1">
      <alignment horizontal="right" vertical="center"/>
      <protection locked="0"/>
    </xf>
    <xf numFmtId="10" fontId="36" fillId="0" borderId="0" xfId="0" applyNumberFormat="1" applyFont="1"/>
    <xf numFmtId="10" fontId="36" fillId="0" borderId="0" xfId="2" applyNumberFormat="1" applyFont="1" applyFill="1"/>
    <xf numFmtId="165" fontId="3" fillId="17" borderId="0" xfId="1" applyFont="1" applyFill="1" applyBorder="1" applyAlignment="1" applyProtection="1">
      <alignment horizontal="right" vertical="center"/>
    </xf>
    <xf numFmtId="0" fontId="3" fillId="0" borderId="0" xfId="0" applyFont="1" applyAlignment="1" applyProtection="1">
      <alignment horizontal="left" vertical="center" indent="5"/>
      <protection locked="0"/>
    </xf>
    <xf numFmtId="0" fontId="3" fillId="0" borderId="7" xfId="0" applyFont="1" applyBorder="1" applyAlignment="1" applyProtection="1">
      <alignment horizontal="left" vertical="center" indent="5"/>
      <protection locked="0"/>
    </xf>
    <xf numFmtId="3" fontId="9" fillId="41" borderId="5" xfId="0" applyNumberFormat="1" applyFont="1" applyFill="1" applyBorder="1" applyAlignment="1" applyProtection="1">
      <alignment vertical="center" wrapText="1"/>
      <protection locked="0"/>
    </xf>
    <xf numFmtId="3" fontId="0" fillId="41" borderId="1" xfId="4" applyNumberFormat="1" applyFont="1" applyFill="1" applyBorder="1" applyProtection="1">
      <protection locked="0"/>
    </xf>
    <xf numFmtId="166" fontId="36" fillId="0" borderId="0" xfId="0" applyNumberFormat="1" applyFont="1"/>
    <xf numFmtId="165" fontId="3" fillId="17" borderId="7" xfId="1" applyFont="1" applyFill="1" applyBorder="1" applyAlignment="1" applyProtection="1">
      <alignment horizontal="right" vertical="center"/>
    </xf>
    <xf numFmtId="3" fontId="0" fillId="42" borderId="1" xfId="4" applyNumberFormat="1" applyFont="1" applyFill="1" applyBorder="1" applyProtection="1">
      <protection locked="0"/>
    </xf>
    <xf numFmtId="164" fontId="0" fillId="41" borderId="1" xfId="0" applyNumberFormat="1" applyFill="1" applyBorder="1"/>
    <xf numFmtId="3" fontId="0" fillId="4" borderId="0" xfId="4" applyNumberFormat="1" applyFont="1" applyFill="1" applyBorder="1" applyProtection="1">
      <protection locked="0"/>
    </xf>
    <xf numFmtId="0" fontId="3" fillId="4" borderId="0" xfId="0" applyFont="1" applyFill="1" applyAlignment="1" applyProtection="1">
      <alignment horizontal="left" vertical="center" indent="5"/>
      <protection locked="0"/>
    </xf>
    <xf numFmtId="3" fontId="9" fillId="43" borderId="5" xfId="0" applyNumberFormat="1" applyFont="1" applyFill="1" applyBorder="1" applyAlignment="1" applyProtection="1">
      <alignment vertical="center" wrapText="1"/>
      <protection locked="0"/>
    </xf>
    <xf numFmtId="3" fontId="9" fillId="7" borderId="21" xfId="0" applyNumberFormat="1" applyFont="1" applyFill="1" applyBorder="1" applyAlignment="1" applyProtection="1">
      <alignment vertical="center" wrapText="1"/>
      <protection locked="0"/>
    </xf>
    <xf numFmtId="168" fontId="0" fillId="7" borderId="0" xfId="0" applyNumberFormat="1" applyFill="1"/>
    <xf numFmtId="168" fontId="3" fillId="0" borderId="0" xfId="0" applyNumberFormat="1" applyFont="1"/>
    <xf numFmtId="166" fontId="3" fillId="0" borderId="0" xfId="0" applyNumberFormat="1" applyFont="1"/>
    <xf numFmtId="166" fontId="3" fillId="0" borderId="0" xfId="1" applyNumberFormat="1" applyFont="1"/>
  </cellXfs>
  <cellStyles count="15">
    <cellStyle name="Comma" xfId="1" builtinId="3"/>
    <cellStyle name="Comma [0] 2" xfId="4" xr:uid="{00000000-0005-0000-0000-000001000000}"/>
    <cellStyle name="Comma [0] 2 6" xfId="5" xr:uid="{00000000-0005-0000-0000-000002000000}"/>
    <cellStyle name="Comma [0] 2 6 2" xfId="12" xr:uid="{8366C61B-7889-4D32-A04B-D415A227A51C}"/>
    <cellStyle name="Comma 2" xfId="6" xr:uid="{00000000-0005-0000-0000-000003000000}"/>
    <cellStyle name="Comma 2 2" xfId="14" xr:uid="{6E6D21C2-0660-4A04-8ACA-44597E561916}"/>
    <cellStyle name="Comma 3" xfId="9" xr:uid="{B2EE8E8E-1DE4-4B78-8277-2A4CEA5E94A1}"/>
    <cellStyle name="Comma 4" xfId="11" xr:uid="{8F16EF71-C940-4148-83BE-6D7DEF187CBF}"/>
    <cellStyle name="EPMLargeKeyFigure" xfId="7" xr:uid="{00000000-0005-0000-0000-000004000000}"/>
    <cellStyle name="EPMLargeKeyFigure 2" xfId="13" xr:uid="{0E43F51C-8475-40A0-940C-407905A625D3}"/>
    <cellStyle name="Normal" xfId="0" builtinId="0"/>
    <cellStyle name="Normal 2" xfId="8" xr:uid="{68EE3A4D-B0C6-4A34-AD9C-E494A87D0277}"/>
    <cellStyle name="Normal 21" xfId="3" xr:uid="{00000000-0005-0000-0000-000006000000}"/>
    <cellStyle name="Normal 3" xfId="10" xr:uid="{07882952-95F9-4A35-9B6E-4240AA7DE99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508000</xdr:colOff>
      <xdr:row>33</xdr:row>
      <xdr:rowOff>158750</xdr:rowOff>
    </xdr:from>
    <xdr:to>
      <xdr:col>14</xdr:col>
      <xdr:colOff>410152</xdr:colOff>
      <xdr:row>43</xdr:row>
      <xdr:rowOff>149225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108575" y="5334000"/>
          <a:ext cx="7274502" cy="1673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>
              <a:latin typeface="Arial" panose="020B0604020202020204" pitchFamily="34" charset="0"/>
              <a:cs typeface="Arial" panose="020B0604020202020204" pitchFamily="34" charset="0"/>
            </a:rPr>
            <a:t>Mengetahui,</a:t>
          </a:r>
        </a:p>
        <a:p>
          <a:pPr algn="ctr"/>
          <a:r>
            <a:rPr lang="en-US" sz="1050">
              <a:latin typeface="Arial" panose="020B0604020202020204" pitchFamily="34" charset="0"/>
              <a:cs typeface="Arial" panose="020B0604020202020204" pitchFamily="34" charset="0"/>
            </a:rPr>
            <a:t>PT</a:t>
          </a:r>
          <a:r>
            <a:rPr lang="en-US" sz="1050" baseline="0">
              <a:latin typeface="Arial" panose="020B0604020202020204" pitchFamily="34" charset="0"/>
              <a:cs typeface="Arial" panose="020B0604020202020204" pitchFamily="34" charset="0"/>
            </a:rPr>
            <a:t> Pelindo Jasa Maritim Area Sumatera Kalimantan Jawa Unit Banten</a:t>
          </a:r>
        </a:p>
        <a:p>
          <a:pPr algn="ctr"/>
          <a:r>
            <a:rPr lang="en-US" sz="1050" baseline="0">
              <a:latin typeface="Arial" panose="020B0604020202020204" pitchFamily="34" charset="0"/>
              <a:cs typeface="Arial" panose="020B0604020202020204" pitchFamily="34" charset="0"/>
            </a:rPr>
            <a:t>Deputi Manager Unit Banten</a:t>
          </a:r>
        </a:p>
        <a:p>
          <a:pPr algn="ctr"/>
          <a:endParaRPr lang="en-US" sz="10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US" sz="10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US" sz="10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US" sz="10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050" b="1" u="sng" baseline="0">
              <a:latin typeface="Arial" panose="020B0604020202020204" pitchFamily="34" charset="0"/>
              <a:cs typeface="Arial" panose="020B0604020202020204" pitchFamily="34" charset="0"/>
            </a:rPr>
            <a:t>Setya Dwi Wahyudi</a:t>
          </a:r>
        </a:p>
        <a:p>
          <a:pPr algn="ctr"/>
          <a:r>
            <a:rPr lang="en-US" sz="1050" b="1" u="none" baseline="0">
              <a:latin typeface="Arial" panose="020B0604020202020204" pitchFamily="34" charset="0"/>
              <a:cs typeface="Arial" panose="020B0604020202020204" pitchFamily="34" charset="0"/>
            </a:rPr>
            <a:t>NIPP.103266</a:t>
          </a:r>
          <a:endParaRPr lang="en-US" sz="1050" b="1" u="none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1.5%20TRAFIK%20PROGNOSA%202026%20&amp;%20RKAP%202027%20UNIT%20BANT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bln"/>
      <sheetName val="TRAFIK baru"/>
      <sheetName val="USULAN"/>
      <sheetName val="TRAFIK"/>
      <sheetName val="PRODUKSI"/>
      <sheetName val="RJPP"/>
      <sheetName val="PANDU PELUM"/>
      <sheetName val="TUNDA PELUM"/>
      <sheetName val="PANDU PELSUS"/>
    </sheetNames>
    <sheetDataSet>
      <sheetData sheetId="0"/>
      <sheetData sheetId="1"/>
      <sheetData sheetId="2">
        <row r="24">
          <cell r="H24">
            <v>30955639020.494553</v>
          </cell>
          <cell r="J24">
            <v>35323284331.33493</v>
          </cell>
          <cell r="O24">
            <v>2637792576.5454445</v>
          </cell>
          <cell r="P24">
            <v>2449976398.6650696</v>
          </cell>
        </row>
        <row r="25">
          <cell r="G25">
            <v>187722314609.42999</v>
          </cell>
          <cell r="H25">
            <v>201661288508.07016</v>
          </cell>
          <cell r="I25">
            <v>211079475883</v>
          </cell>
          <cell r="J25">
            <v>206274289285.38013</v>
          </cell>
        </row>
      </sheetData>
      <sheetData sheetId="3">
        <row r="9">
          <cell r="U9">
            <v>-694</v>
          </cell>
        </row>
        <row r="10">
          <cell r="U10">
            <v>1833772.8818864003</v>
          </cell>
        </row>
      </sheetData>
      <sheetData sheetId="4"/>
      <sheetData sheetId="5"/>
      <sheetData sheetId="6">
        <row r="1">
          <cell r="C1">
            <v>17500</v>
          </cell>
          <cell r="Z1" t="str">
            <v>Tarif LN</v>
          </cell>
        </row>
      </sheetData>
      <sheetData sheetId="7"/>
      <sheetData sheetId="8">
        <row r="8"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</row>
        <row r="9"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</row>
        <row r="14">
          <cell r="C14">
            <v>11</v>
          </cell>
          <cell r="D14">
            <v>19</v>
          </cell>
          <cell r="E14">
            <v>13</v>
          </cell>
          <cell r="F14">
            <v>11</v>
          </cell>
          <cell r="G14">
            <v>6</v>
          </cell>
          <cell r="H14">
            <v>16</v>
          </cell>
          <cell r="I14">
            <v>14</v>
          </cell>
          <cell r="J14">
            <v>18</v>
          </cell>
          <cell r="K14">
            <v>15</v>
          </cell>
          <cell r="L14">
            <v>16</v>
          </cell>
          <cell r="M14">
            <v>15</v>
          </cell>
          <cell r="N14">
            <v>24</v>
          </cell>
          <cell r="U14">
            <v>11</v>
          </cell>
          <cell r="V14">
            <v>19</v>
          </cell>
          <cell r="W14">
            <v>13</v>
          </cell>
          <cell r="X14">
            <v>11</v>
          </cell>
          <cell r="Y14">
            <v>6</v>
          </cell>
          <cell r="Z14">
            <v>16</v>
          </cell>
          <cell r="AA14">
            <v>14</v>
          </cell>
          <cell r="AB14">
            <v>18</v>
          </cell>
          <cell r="AC14">
            <v>15</v>
          </cell>
          <cell r="AD14">
            <v>16</v>
          </cell>
          <cell r="AE14">
            <v>15</v>
          </cell>
          <cell r="AF14">
            <v>24</v>
          </cell>
        </row>
        <row r="15">
          <cell r="C15">
            <v>287597</v>
          </cell>
          <cell r="D15">
            <v>356298</v>
          </cell>
          <cell r="E15">
            <v>286600</v>
          </cell>
          <cell r="F15">
            <v>258250</v>
          </cell>
          <cell r="G15">
            <v>156871.09090909091</v>
          </cell>
          <cell r="H15">
            <v>300040.42105263157</v>
          </cell>
          <cell r="I15">
            <v>308646.15384615387</v>
          </cell>
          <cell r="J15">
            <v>422590.90909090912</v>
          </cell>
          <cell r="K15">
            <v>392177.72727272729</v>
          </cell>
          <cell r="L15">
            <v>300040.42105263157</v>
          </cell>
          <cell r="M15">
            <v>330692.30769230769</v>
          </cell>
          <cell r="N15">
            <v>563454.54545454541</v>
          </cell>
          <cell r="U15">
            <v>301977</v>
          </cell>
          <cell r="V15">
            <v>374113</v>
          </cell>
          <cell r="W15">
            <v>300930</v>
          </cell>
          <cell r="X15">
            <v>271163</v>
          </cell>
          <cell r="Y15">
            <v>164715</v>
          </cell>
          <cell r="Z15">
            <v>315043</v>
          </cell>
          <cell r="AA15">
            <v>324079</v>
          </cell>
          <cell r="AB15">
            <v>443721</v>
          </cell>
          <cell r="AC15">
            <v>411787</v>
          </cell>
          <cell r="AD15">
            <v>315043</v>
          </cell>
          <cell r="AE15">
            <v>347227</v>
          </cell>
          <cell r="AF15">
            <v>591628</v>
          </cell>
        </row>
        <row r="20">
          <cell r="C20">
            <v>15</v>
          </cell>
          <cell r="D20">
            <v>12</v>
          </cell>
          <cell r="E20">
            <v>20</v>
          </cell>
          <cell r="F20">
            <v>11</v>
          </cell>
          <cell r="G20">
            <v>10</v>
          </cell>
          <cell r="H20">
            <v>13</v>
          </cell>
          <cell r="I20">
            <v>15</v>
          </cell>
          <cell r="J20">
            <v>14</v>
          </cell>
          <cell r="K20">
            <v>14</v>
          </cell>
          <cell r="L20">
            <v>16</v>
          </cell>
          <cell r="M20">
            <v>12</v>
          </cell>
          <cell r="N20">
            <v>14</v>
          </cell>
          <cell r="U20">
            <v>15</v>
          </cell>
          <cell r="V20">
            <v>12</v>
          </cell>
          <cell r="W20">
            <v>20</v>
          </cell>
          <cell r="X20">
            <v>11</v>
          </cell>
          <cell r="Y20">
            <v>10</v>
          </cell>
          <cell r="Z20">
            <v>13</v>
          </cell>
          <cell r="AA20">
            <v>15</v>
          </cell>
          <cell r="AB20">
            <v>14</v>
          </cell>
          <cell r="AC20">
            <v>14</v>
          </cell>
          <cell r="AD20">
            <v>16</v>
          </cell>
          <cell r="AE20">
            <v>12</v>
          </cell>
          <cell r="AF20">
            <v>14</v>
          </cell>
        </row>
        <row r="21">
          <cell r="C21">
            <v>358895</v>
          </cell>
          <cell r="D21">
            <v>343586</v>
          </cell>
          <cell r="E21">
            <v>433765</v>
          </cell>
          <cell r="F21">
            <v>323756</v>
          </cell>
          <cell r="G21">
            <v>239263.33333333331</v>
          </cell>
          <cell r="H21">
            <v>372218.16666666669</v>
          </cell>
          <cell r="I21">
            <v>325323.75</v>
          </cell>
          <cell r="J21">
            <v>412053.09090909088</v>
          </cell>
          <cell r="K21">
            <v>334968.66666666663</v>
          </cell>
          <cell r="L21">
            <v>458114.66666666669</v>
          </cell>
          <cell r="M21">
            <v>260259</v>
          </cell>
          <cell r="N21">
            <v>412053.09090909088</v>
          </cell>
          <cell r="U21">
            <v>376840</v>
          </cell>
          <cell r="V21">
            <v>360766</v>
          </cell>
          <cell r="W21">
            <v>455454</v>
          </cell>
          <cell r="X21">
            <v>339944</v>
          </cell>
          <cell r="Y21">
            <v>251227</v>
          </cell>
          <cell r="Z21">
            <v>390830</v>
          </cell>
          <cell r="AA21">
            <v>341590</v>
          </cell>
          <cell r="AB21">
            <v>432656</v>
          </cell>
          <cell r="AC21">
            <v>351718</v>
          </cell>
          <cell r="AD21">
            <v>481021</v>
          </cell>
          <cell r="AE21">
            <v>273272</v>
          </cell>
          <cell r="AF21">
            <v>432656</v>
          </cell>
        </row>
        <row r="26">
          <cell r="C26">
            <v>16</v>
          </cell>
          <cell r="D26">
            <v>23</v>
          </cell>
          <cell r="E26">
            <v>22</v>
          </cell>
          <cell r="F26">
            <v>17</v>
          </cell>
          <cell r="G26">
            <v>12</v>
          </cell>
          <cell r="H26">
            <v>16</v>
          </cell>
          <cell r="I26">
            <v>18</v>
          </cell>
          <cell r="J26">
            <v>23</v>
          </cell>
          <cell r="K26">
            <v>18</v>
          </cell>
          <cell r="L26">
            <v>16</v>
          </cell>
          <cell r="M26">
            <v>21</v>
          </cell>
          <cell r="N26">
            <v>23</v>
          </cell>
          <cell r="U26">
            <v>16</v>
          </cell>
          <cell r="V26">
            <v>23</v>
          </cell>
          <cell r="W26">
            <v>22</v>
          </cell>
          <cell r="X26">
            <v>17</v>
          </cell>
          <cell r="Y26">
            <v>12</v>
          </cell>
          <cell r="Z26">
            <v>16</v>
          </cell>
          <cell r="AA26">
            <v>18</v>
          </cell>
          <cell r="AB26">
            <v>23</v>
          </cell>
          <cell r="AC26">
            <v>18</v>
          </cell>
          <cell r="AD26">
            <v>16</v>
          </cell>
          <cell r="AE26">
            <v>21</v>
          </cell>
          <cell r="AF26">
            <v>23</v>
          </cell>
        </row>
        <row r="27">
          <cell r="C27">
            <v>128975</v>
          </cell>
          <cell r="D27">
            <v>198191</v>
          </cell>
          <cell r="E27">
            <v>177563</v>
          </cell>
          <cell r="F27">
            <v>90344</v>
          </cell>
          <cell r="G27">
            <v>96731.25</v>
          </cell>
          <cell r="H27">
            <v>137872</v>
          </cell>
          <cell r="I27">
            <v>145278.81818181818</v>
          </cell>
          <cell r="J27">
            <v>122230.11764705881</v>
          </cell>
          <cell r="K27">
            <v>145096.875</v>
          </cell>
          <cell r="L27">
            <v>137872</v>
          </cell>
          <cell r="M27">
            <v>169491.95454545456</v>
          </cell>
          <cell r="N27">
            <v>122230.11764705881</v>
          </cell>
          <cell r="U27">
            <v>135424</v>
          </cell>
          <cell r="V27">
            <v>208101</v>
          </cell>
          <cell r="W27">
            <v>186442</v>
          </cell>
          <cell r="X27">
            <v>94862</v>
          </cell>
          <cell r="Y27">
            <v>101568</v>
          </cell>
          <cell r="Z27">
            <v>144766</v>
          </cell>
          <cell r="AA27">
            <v>152543</v>
          </cell>
          <cell r="AB27">
            <v>128342</v>
          </cell>
          <cell r="AC27">
            <v>152352</v>
          </cell>
          <cell r="AD27">
            <v>144766</v>
          </cell>
          <cell r="AE27">
            <v>177967</v>
          </cell>
          <cell r="AF27">
            <v>128342</v>
          </cell>
        </row>
        <row r="32">
          <cell r="F32">
            <v>1</v>
          </cell>
          <cell r="J32">
            <v>1</v>
          </cell>
          <cell r="N32">
            <v>1</v>
          </cell>
          <cell r="U32">
            <v>0</v>
          </cell>
          <cell r="V32">
            <v>0</v>
          </cell>
          <cell r="W32">
            <v>0</v>
          </cell>
          <cell r="X32">
            <v>1</v>
          </cell>
          <cell r="Y32">
            <v>0</v>
          </cell>
          <cell r="Z32">
            <v>0</v>
          </cell>
          <cell r="AA32">
            <v>0</v>
          </cell>
          <cell r="AB32">
            <v>1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</row>
        <row r="33">
          <cell r="F33">
            <v>34986</v>
          </cell>
          <cell r="J33">
            <v>34986</v>
          </cell>
          <cell r="N33">
            <v>34986</v>
          </cell>
          <cell r="U33">
            <v>0</v>
          </cell>
          <cell r="V33">
            <v>0</v>
          </cell>
          <cell r="W33">
            <v>0</v>
          </cell>
          <cell r="X33">
            <v>36736</v>
          </cell>
          <cell r="Y33">
            <v>0</v>
          </cell>
          <cell r="Z33">
            <v>0</v>
          </cell>
          <cell r="AA33">
            <v>0</v>
          </cell>
          <cell r="AB33">
            <v>36736</v>
          </cell>
          <cell r="AC33">
            <v>0</v>
          </cell>
          <cell r="AD33">
            <v>0</v>
          </cell>
          <cell r="AE33">
            <v>0</v>
          </cell>
          <cell r="AF33">
            <v>36736</v>
          </cell>
        </row>
        <row r="41">
          <cell r="F41">
            <v>1</v>
          </cell>
          <cell r="J41">
            <v>1</v>
          </cell>
          <cell r="N41">
            <v>1</v>
          </cell>
          <cell r="U41">
            <v>0</v>
          </cell>
          <cell r="V41">
            <v>0</v>
          </cell>
          <cell r="W41">
            <v>0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  <cell r="AB41">
            <v>1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</row>
        <row r="42">
          <cell r="F42">
            <v>39737</v>
          </cell>
          <cell r="J42">
            <v>39737</v>
          </cell>
          <cell r="N42">
            <v>39737</v>
          </cell>
          <cell r="U42">
            <v>0</v>
          </cell>
          <cell r="V42">
            <v>0</v>
          </cell>
          <cell r="W42">
            <v>0</v>
          </cell>
          <cell r="X42">
            <v>41724</v>
          </cell>
          <cell r="Y42">
            <v>0</v>
          </cell>
          <cell r="Z42">
            <v>0</v>
          </cell>
          <cell r="AA42">
            <v>0</v>
          </cell>
          <cell r="AB42">
            <v>41724</v>
          </cell>
          <cell r="AC42">
            <v>0</v>
          </cell>
          <cell r="AD42">
            <v>0</v>
          </cell>
          <cell r="AE42">
            <v>0</v>
          </cell>
          <cell r="AF42">
            <v>41724</v>
          </cell>
        </row>
        <row r="47">
          <cell r="C47">
            <v>55</v>
          </cell>
          <cell r="D47">
            <v>42</v>
          </cell>
          <cell r="E47">
            <v>57</v>
          </cell>
          <cell r="F47">
            <v>61</v>
          </cell>
          <cell r="G47">
            <v>50</v>
          </cell>
          <cell r="H47">
            <v>48</v>
          </cell>
          <cell r="I47">
            <v>50</v>
          </cell>
          <cell r="J47">
            <v>52</v>
          </cell>
          <cell r="K47">
            <v>52</v>
          </cell>
          <cell r="L47">
            <v>48</v>
          </cell>
          <cell r="M47">
            <v>51</v>
          </cell>
          <cell r="N47">
            <v>73</v>
          </cell>
          <cell r="U47">
            <v>55</v>
          </cell>
          <cell r="V47">
            <v>42</v>
          </cell>
          <cell r="W47">
            <v>57</v>
          </cell>
          <cell r="X47">
            <v>61</v>
          </cell>
          <cell r="Y47">
            <v>50</v>
          </cell>
          <cell r="Z47">
            <v>48</v>
          </cell>
          <cell r="AA47">
            <v>50</v>
          </cell>
          <cell r="AB47">
            <v>52</v>
          </cell>
          <cell r="AC47">
            <v>52</v>
          </cell>
          <cell r="AD47">
            <v>48</v>
          </cell>
          <cell r="AE47">
            <v>51</v>
          </cell>
          <cell r="AF47">
            <v>73</v>
          </cell>
        </row>
        <row r="48">
          <cell r="C48">
            <v>443900</v>
          </cell>
          <cell r="D48">
            <v>316905</v>
          </cell>
          <cell r="E48">
            <v>483500</v>
          </cell>
          <cell r="F48">
            <v>479884</v>
          </cell>
          <cell r="G48">
            <v>403545.45454545453</v>
          </cell>
          <cell r="H48">
            <v>362177.14285714284</v>
          </cell>
          <cell r="I48">
            <v>424122.80701754388</v>
          </cell>
          <cell r="J48">
            <v>409081.44262295082</v>
          </cell>
          <cell r="K48">
            <v>419687.27272727271</v>
          </cell>
          <cell r="L48">
            <v>362177.14285714284</v>
          </cell>
          <cell r="M48">
            <v>432605.26315789478</v>
          </cell>
          <cell r="N48">
            <v>574287.40983606561</v>
          </cell>
          <cell r="U48">
            <v>466095</v>
          </cell>
          <cell r="V48">
            <v>332751</v>
          </cell>
          <cell r="W48">
            <v>507675</v>
          </cell>
          <cell r="X48">
            <v>503879</v>
          </cell>
          <cell r="Y48">
            <v>423723</v>
          </cell>
          <cell r="Z48">
            <v>380286</v>
          </cell>
          <cell r="AA48">
            <v>445329</v>
          </cell>
          <cell r="AB48">
            <v>429536</v>
          </cell>
          <cell r="AC48">
            <v>440672</v>
          </cell>
          <cell r="AD48">
            <v>380286</v>
          </cell>
          <cell r="AE48">
            <v>454236</v>
          </cell>
          <cell r="AF48">
            <v>603002</v>
          </cell>
        </row>
        <row r="53">
          <cell r="C53">
            <v>46</v>
          </cell>
          <cell r="D53">
            <v>53</v>
          </cell>
          <cell r="E53">
            <v>56</v>
          </cell>
          <cell r="F53">
            <v>47</v>
          </cell>
          <cell r="G53">
            <v>46</v>
          </cell>
          <cell r="H53">
            <v>57</v>
          </cell>
          <cell r="I53">
            <v>58</v>
          </cell>
          <cell r="J53">
            <v>70</v>
          </cell>
          <cell r="K53">
            <v>69</v>
          </cell>
          <cell r="L53">
            <v>74</v>
          </cell>
          <cell r="M53">
            <v>58</v>
          </cell>
          <cell r="N53">
            <v>72</v>
          </cell>
          <cell r="U53">
            <v>46</v>
          </cell>
          <cell r="V53">
            <v>53</v>
          </cell>
          <cell r="W53">
            <v>56</v>
          </cell>
          <cell r="X53">
            <v>47</v>
          </cell>
          <cell r="Y53">
            <v>46</v>
          </cell>
          <cell r="Z53">
            <v>57</v>
          </cell>
          <cell r="AA53">
            <v>58</v>
          </cell>
          <cell r="AB53">
            <v>70</v>
          </cell>
          <cell r="AC53">
            <v>69</v>
          </cell>
          <cell r="AD53">
            <v>74</v>
          </cell>
          <cell r="AE53">
            <v>58</v>
          </cell>
          <cell r="AF53">
            <v>72</v>
          </cell>
        </row>
        <row r="54">
          <cell r="C54">
            <v>313486</v>
          </cell>
          <cell r="D54">
            <v>392102</v>
          </cell>
          <cell r="E54">
            <v>433192</v>
          </cell>
          <cell r="F54">
            <v>336031</v>
          </cell>
          <cell r="G54">
            <v>313486</v>
          </cell>
          <cell r="H54">
            <v>421694.60377358488</v>
          </cell>
          <cell r="I54">
            <v>448663.14285714284</v>
          </cell>
          <cell r="J54">
            <v>500471.70212765952</v>
          </cell>
          <cell r="K54">
            <v>470229</v>
          </cell>
          <cell r="L54">
            <v>547463.16981132072</v>
          </cell>
          <cell r="M54">
            <v>448663.14285714284</v>
          </cell>
          <cell r="N54">
            <v>514770.89361702127</v>
          </cell>
          <cell r="U54">
            <v>329161</v>
          </cell>
          <cell r="V54">
            <v>411708</v>
          </cell>
          <cell r="W54">
            <v>454852</v>
          </cell>
          <cell r="X54">
            <v>352833</v>
          </cell>
          <cell r="Y54">
            <v>329161</v>
          </cell>
          <cell r="Z54">
            <v>442780</v>
          </cell>
          <cell r="AA54">
            <v>471097</v>
          </cell>
          <cell r="AB54">
            <v>525496</v>
          </cell>
          <cell r="AC54">
            <v>493741</v>
          </cell>
          <cell r="AD54">
            <v>574837</v>
          </cell>
          <cell r="AE54">
            <v>471097</v>
          </cell>
          <cell r="AF54">
            <v>540510</v>
          </cell>
        </row>
        <row r="59">
          <cell r="C59">
            <v>13</v>
          </cell>
          <cell r="D59">
            <v>11</v>
          </cell>
          <cell r="E59">
            <v>13</v>
          </cell>
          <cell r="F59">
            <v>13</v>
          </cell>
          <cell r="G59">
            <v>15</v>
          </cell>
          <cell r="H59">
            <v>12</v>
          </cell>
          <cell r="I59">
            <v>8</v>
          </cell>
          <cell r="J59">
            <v>12</v>
          </cell>
          <cell r="K59">
            <v>10</v>
          </cell>
          <cell r="L59">
            <v>9</v>
          </cell>
          <cell r="M59">
            <v>8</v>
          </cell>
          <cell r="N59">
            <v>20</v>
          </cell>
          <cell r="U59">
            <v>13</v>
          </cell>
          <cell r="V59">
            <v>11</v>
          </cell>
          <cell r="W59">
            <v>13</v>
          </cell>
          <cell r="X59">
            <v>13</v>
          </cell>
          <cell r="Y59">
            <v>15</v>
          </cell>
          <cell r="Z59">
            <v>12</v>
          </cell>
          <cell r="AA59">
            <v>8</v>
          </cell>
          <cell r="AB59">
            <v>12</v>
          </cell>
          <cell r="AC59">
            <v>10</v>
          </cell>
          <cell r="AD59">
            <v>9</v>
          </cell>
          <cell r="AE59">
            <v>8</v>
          </cell>
          <cell r="AF59">
            <v>20</v>
          </cell>
        </row>
        <row r="60">
          <cell r="C60">
            <v>56800</v>
          </cell>
          <cell r="D60">
            <v>50700</v>
          </cell>
          <cell r="E60">
            <v>56700</v>
          </cell>
          <cell r="F60">
            <v>53092</v>
          </cell>
          <cell r="G60">
            <v>65538.461538461546</v>
          </cell>
          <cell r="H60">
            <v>55309.090909090912</v>
          </cell>
          <cell r="I60">
            <v>34892.307692307695</v>
          </cell>
          <cell r="J60">
            <v>49008</v>
          </cell>
          <cell r="K60">
            <v>43692.307692307695</v>
          </cell>
          <cell r="L60">
            <v>41481.818181818184</v>
          </cell>
          <cell r="M60">
            <v>34892.307692307695</v>
          </cell>
          <cell r="N60">
            <v>81680</v>
          </cell>
          <cell r="U60">
            <v>59640</v>
          </cell>
          <cell r="V60">
            <v>53235</v>
          </cell>
          <cell r="W60">
            <v>59535</v>
          </cell>
          <cell r="X60">
            <v>55747</v>
          </cell>
          <cell r="Y60">
            <v>68816</v>
          </cell>
          <cell r="Z60">
            <v>58075</v>
          </cell>
          <cell r="AA60">
            <v>36637</v>
          </cell>
          <cell r="AB60">
            <v>51459</v>
          </cell>
          <cell r="AC60">
            <v>45877</v>
          </cell>
          <cell r="AD60">
            <v>43556</v>
          </cell>
          <cell r="AE60">
            <v>36637</v>
          </cell>
          <cell r="AF60">
            <v>85764</v>
          </cell>
        </row>
        <row r="65">
          <cell r="C65">
            <v>33</v>
          </cell>
          <cell r="D65">
            <v>34</v>
          </cell>
          <cell r="E65">
            <v>26</v>
          </cell>
          <cell r="F65">
            <v>27</v>
          </cell>
          <cell r="G65">
            <v>32</v>
          </cell>
          <cell r="H65">
            <v>34</v>
          </cell>
          <cell r="I65">
            <v>33</v>
          </cell>
          <cell r="J65">
            <v>30</v>
          </cell>
          <cell r="K65">
            <v>29</v>
          </cell>
          <cell r="L65">
            <v>28</v>
          </cell>
          <cell r="M65">
            <v>25</v>
          </cell>
          <cell r="N65">
            <v>16</v>
          </cell>
          <cell r="U65">
            <v>33</v>
          </cell>
          <cell r="V65">
            <v>34</v>
          </cell>
          <cell r="W65">
            <v>26</v>
          </cell>
          <cell r="X65">
            <v>27</v>
          </cell>
          <cell r="Y65">
            <v>32</v>
          </cell>
          <cell r="Z65">
            <v>34</v>
          </cell>
          <cell r="AA65">
            <v>33</v>
          </cell>
          <cell r="AB65">
            <v>30</v>
          </cell>
          <cell r="AC65">
            <v>29</v>
          </cell>
          <cell r="AD65">
            <v>28</v>
          </cell>
          <cell r="AE65">
            <v>25</v>
          </cell>
          <cell r="AF65">
            <v>16</v>
          </cell>
        </row>
        <row r="66">
          <cell r="C66">
            <v>1934606</v>
          </cell>
          <cell r="D66">
            <v>911059</v>
          </cell>
          <cell r="E66">
            <v>564855</v>
          </cell>
          <cell r="F66">
            <v>673395</v>
          </cell>
          <cell r="G66">
            <v>1875981.5757575757</v>
          </cell>
          <cell r="H66">
            <v>911059</v>
          </cell>
          <cell r="I66">
            <v>716931.34615384613</v>
          </cell>
          <cell r="J66">
            <v>748216.66666666663</v>
          </cell>
          <cell r="K66">
            <v>1700108.303030303</v>
          </cell>
          <cell r="L66">
            <v>750283.8823529412</v>
          </cell>
          <cell r="M66">
            <v>543129.80769230775</v>
          </cell>
          <cell r="N66">
            <v>399048.88888888888</v>
          </cell>
          <cell r="U66">
            <v>2031337</v>
          </cell>
          <cell r="V66">
            <v>956612</v>
          </cell>
          <cell r="W66">
            <v>593098</v>
          </cell>
          <cell r="X66">
            <v>707065</v>
          </cell>
          <cell r="Y66">
            <v>1969781</v>
          </cell>
          <cell r="Z66">
            <v>956612</v>
          </cell>
          <cell r="AA66">
            <v>752778</v>
          </cell>
          <cell r="AB66">
            <v>785628</v>
          </cell>
          <cell r="AC66">
            <v>1785114</v>
          </cell>
          <cell r="AD66">
            <v>787799</v>
          </cell>
          <cell r="AE66">
            <v>570287</v>
          </cell>
          <cell r="AF66">
            <v>419002</v>
          </cell>
        </row>
        <row r="71"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7"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83">
          <cell r="C83">
            <v>67</v>
          </cell>
          <cell r="D83">
            <v>72</v>
          </cell>
          <cell r="E83">
            <v>80</v>
          </cell>
          <cell r="F83">
            <v>84</v>
          </cell>
          <cell r="G83">
            <v>84</v>
          </cell>
          <cell r="H83">
            <v>80</v>
          </cell>
          <cell r="I83">
            <v>74</v>
          </cell>
          <cell r="J83">
            <v>72</v>
          </cell>
          <cell r="K83">
            <v>84</v>
          </cell>
          <cell r="L83">
            <v>68</v>
          </cell>
          <cell r="M83">
            <v>70</v>
          </cell>
          <cell r="N83">
            <v>74</v>
          </cell>
          <cell r="U83">
            <v>67</v>
          </cell>
          <cell r="V83">
            <v>72</v>
          </cell>
          <cell r="W83">
            <v>80</v>
          </cell>
          <cell r="X83">
            <v>84</v>
          </cell>
          <cell r="Y83">
            <v>84</v>
          </cell>
          <cell r="Z83">
            <v>80</v>
          </cell>
          <cell r="AA83">
            <v>74</v>
          </cell>
          <cell r="AB83">
            <v>72</v>
          </cell>
          <cell r="AC83">
            <v>84</v>
          </cell>
          <cell r="AD83">
            <v>68</v>
          </cell>
          <cell r="AE83">
            <v>70</v>
          </cell>
          <cell r="AF83">
            <v>74</v>
          </cell>
        </row>
        <row r="84">
          <cell r="C84">
            <v>170669</v>
          </cell>
          <cell r="D84">
            <v>138361</v>
          </cell>
          <cell r="E84">
            <v>168021</v>
          </cell>
          <cell r="F84">
            <v>148690</v>
          </cell>
          <cell r="G84">
            <v>213973.07462686568</v>
          </cell>
          <cell r="H84">
            <v>153734.44444444444</v>
          </cell>
          <cell r="I84">
            <v>155419.42499999999</v>
          </cell>
          <cell r="J84">
            <v>127448.57142857143</v>
          </cell>
          <cell r="K84">
            <v>213973.07462686568</v>
          </cell>
          <cell r="L84">
            <v>130674.27777777778</v>
          </cell>
          <cell r="M84">
            <v>147018.375</v>
          </cell>
          <cell r="N84">
            <v>130988.80952380953</v>
          </cell>
          <cell r="U84">
            <v>179203</v>
          </cell>
          <cell r="V84">
            <v>145280</v>
          </cell>
          <cell r="W84">
            <v>176423</v>
          </cell>
          <cell r="X84">
            <v>156125</v>
          </cell>
          <cell r="Y84">
            <v>224672</v>
          </cell>
          <cell r="Z84">
            <v>161422</v>
          </cell>
          <cell r="AA84">
            <v>163191</v>
          </cell>
          <cell r="AB84">
            <v>133821</v>
          </cell>
          <cell r="AC84">
            <v>224672</v>
          </cell>
          <cell r="AD84">
            <v>137208</v>
          </cell>
          <cell r="AE84">
            <v>154370</v>
          </cell>
          <cell r="AF84">
            <v>137539</v>
          </cell>
        </row>
        <row r="89"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</row>
        <row r="90"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2:Q35"/>
  <sheetViews>
    <sheetView showGridLines="0" zoomScale="110" zoomScaleNormal="110" zoomScaleSheetLayoutView="90" workbookViewId="0">
      <selection activeCell="E3" sqref="E3"/>
    </sheetView>
  </sheetViews>
  <sheetFormatPr defaultRowHeight="14.4"/>
  <cols>
    <col min="1" max="1" width="9.109375" customWidth="1"/>
    <col min="2" max="2" width="7.33203125" bestFit="1" customWidth="1"/>
    <col min="3" max="3" width="6.5546875" bestFit="1" customWidth="1"/>
    <col min="4" max="4" width="9.6640625" bestFit="1" customWidth="1"/>
    <col min="5" max="16" width="12.33203125" bestFit="1" customWidth="1"/>
    <col min="17" max="17" width="13.44140625" bestFit="1" customWidth="1"/>
  </cols>
  <sheetData>
    <row r="2" spans="2:17">
      <c r="B2" s="300" t="s">
        <v>100</v>
      </c>
      <c r="C2" s="300"/>
      <c r="D2" s="300"/>
      <c r="E2" s="79" t="s">
        <v>38</v>
      </c>
      <c r="F2" s="79" t="s">
        <v>39</v>
      </c>
      <c r="G2" s="79" t="s">
        <v>40</v>
      </c>
      <c r="H2" s="79" t="s">
        <v>41</v>
      </c>
      <c r="I2" s="79" t="s">
        <v>42</v>
      </c>
      <c r="J2" s="79" t="s">
        <v>43</v>
      </c>
      <c r="K2" s="79" t="s">
        <v>44</v>
      </c>
      <c r="L2" s="79" t="s">
        <v>45</v>
      </c>
      <c r="M2" s="79" t="s">
        <v>46</v>
      </c>
      <c r="N2" s="79" t="s">
        <v>47</v>
      </c>
      <c r="O2" s="79" t="s">
        <v>48</v>
      </c>
      <c r="P2" s="79" t="s">
        <v>49</v>
      </c>
      <c r="Q2" s="79" t="s">
        <v>95</v>
      </c>
    </row>
    <row r="3" spans="2:17">
      <c r="B3" s="298" t="s">
        <v>103</v>
      </c>
      <c r="C3" s="299" t="s">
        <v>101</v>
      </c>
      <c r="D3" s="88" t="s">
        <v>105</v>
      </c>
      <c r="E3" s="80">
        <f>'PANDU IKPP'!C7+'PANDU IKPP'!C13+'PANDU IKPP'!C19+'PANDU IKPP'!C34+'PANDU IKPP'!C40+'PANDU IKPP'!C46+'PANDU IKPP'!C52+'PANDU IKPP'!C58+'PANDU IKPP'!C64</f>
        <v>32</v>
      </c>
      <c r="F3" s="80">
        <f>'PANDU IKPP'!D7+'PANDU IKPP'!D13+'PANDU IKPP'!D19+'PANDU IKPP'!D34+'PANDU IKPP'!D40+'PANDU IKPP'!D46+'PANDU IKPP'!D52+'PANDU IKPP'!D58+'PANDU IKPP'!D64</f>
        <v>37</v>
      </c>
      <c r="G3" s="80">
        <f>'PANDU IKPP'!E7+'PANDU IKPP'!E13+'PANDU IKPP'!E19+'PANDU IKPP'!E34+'PANDU IKPP'!E40+'PANDU IKPP'!E46+'PANDU IKPP'!E52+'PANDU IKPP'!E58+'PANDU IKPP'!E64</f>
        <v>159</v>
      </c>
      <c r="H3" s="80">
        <f>'PANDU IKPP'!F7+'PANDU IKPP'!F13+'PANDU IKPP'!F19+'PANDU IKPP'!F34+'PANDU IKPP'!F40+'PANDU IKPP'!F46+'PANDU IKPP'!F52+'PANDU IKPP'!F58+'PANDU IKPP'!F64</f>
        <v>39</v>
      </c>
      <c r="I3" s="80">
        <f>'PANDU IKPP'!G7+'PANDU IKPP'!G13+'PANDU IKPP'!G19+'PANDU IKPP'!G34+'PANDU IKPP'!G40+'PANDU IKPP'!G46+'PANDU IKPP'!G52+'PANDU IKPP'!G58+'PANDU IKPP'!G64</f>
        <v>34</v>
      </c>
      <c r="J3" s="80">
        <f>'PANDU IKPP'!H7+'PANDU IKPP'!H13+'PANDU IKPP'!H19+'PANDU IKPP'!H34+'PANDU IKPP'!H40+'PANDU IKPP'!H46+'PANDU IKPP'!H52+'PANDU IKPP'!H58+'PANDU IKPP'!H64</f>
        <v>37</v>
      </c>
      <c r="K3" s="80">
        <f>'PANDU IKPP'!I7+'PANDU IKPP'!I13+'PANDU IKPP'!I19+'PANDU IKPP'!I34+'PANDU IKPP'!I40+'PANDU IKPP'!I46+'PANDU IKPP'!I52+'PANDU IKPP'!I58+'PANDU IKPP'!I64</f>
        <v>35</v>
      </c>
      <c r="L3" s="80">
        <f>'PANDU IKPP'!J7+'PANDU IKPP'!J13+'PANDU IKPP'!J19+'PANDU IKPP'!J34+'PANDU IKPP'!J40+'PANDU IKPP'!J46+'PANDU IKPP'!J52+'PANDU IKPP'!J58+'PANDU IKPP'!J64</f>
        <v>34</v>
      </c>
      <c r="M3" s="80">
        <f>'PANDU IKPP'!K7+'PANDU IKPP'!K13+'PANDU IKPP'!K19+'PANDU IKPP'!K34+'PANDU IKPP'!K40+'PANDU IKPP'!K46+'PANDU IKPP'!K52+'PANDU IKPP'!K58+'PANDU IKPP'!K64</f>
        <v>37</v>
      </c>
      <c r="N3" s="80">
        <f>'PANDU IKPP'!L7+'PANDU IKPP'!L13+'PANDU IKPP'!L19+'PANDU IKPP'!L34+'PANDU IKPP'!L40+'PANDU IKPP'!L46+'PANDU IKPP'!L52+'PANDU IKPP'!L58+'PANDU IKPP'!L64</f>
        <v>43</v>
      </c>
      <c r="O3" s="80">
        <f>'PANDU IKPP'!M7+'PANDU IKPP'!M13+'PANDU IKPP'!M19+'PANDU IKPP'!M34+'PANDU IKPP'!M40+'PANDU IKPP'!M46+'PANDU IKPP'!M52+'PANDU IKPP'!M58+'PANDU IKPP'!M64</f>
        <v>37</v>
      </c>
      <c r="P3" s="80">
        <f>'PANDU IKPP'!N7+'PANDU IKPP'!N13+'PANDU IKPP'!N19+'PANDU IKPP'!N34+'PANDU IKPP'!N40+'PANDU IKPP'!N46+'PANDU IKPP'!N52+'PANDU IKPP'!N58+'PANDU IKPP'!N64</f>
        <v>32</v>
      </c>
      <c r="Q3" s="90">
        <f>SUM(E3:P3)</f>
        <v>556</v>
      </c>
    </row>
    <row r="4" spans="2:17">
      <c r="B4" s="298"/>
      <c r="C4" s="299"/>
      <c r="D4" s="88" t="s">
        <v>64</v>
      </c>
      <c r="E4" s="80">
        <f>'PANDU IKPP'!C8+'PANDU IKPP'!C14+'PANDU IKPP'!C20+'PANDU IKPP'!C35+'PANDU IKPP'!C41+'PANDU IKPP'!C47+'PANDU IKPP'!C53+'PANDU IKPP'!C59+'PANDU IKPP'!C65</f>
        <v>263773</v>
      </c>
      <c r="F4" s="80">
        <f>'PANDU IKPP'!D8+'PANDU IKPP'!D14+'PANDU IKPP'!D20+'PANDU IKPP'!D35+'PANDU IKPP'!D41+'PANDU IKPP'!D47+'PANDU IKPP'!D53+'PANDU IKPP'!D59+'PANDU IKPP'!D65</f>
        <v>203390</v>
      </c>
      <c r="G4" s="80">
        <f>'PANDU IKPP'!E8+'PANDU IKPP'!E14+'PANDU IKPP'!E20+'PANDU IKPP'!E35+'PANDU IKPP'!E41+'PANDU IKPP'!E47+'PANDU IKPP'!E53+'PANDU IKPP'!E59+'PANDU IKPP'!E65</f>
        <v>1340528</v>
      </c>
      <c r="H4" s="80">
        <f>'PANDU IKPP'!F8+'PANDU IKPP'!F14+'PANDU IKPP'!F20+'PANDU IKPP'!F35+'PANDU IKPP'!F41+'PANDU IKPP'!F47+'PANDU IKPP'!F53+'PANDU IKPP'!F59+'PANDU IKPP'!F65</f>
        <v>352434.48571428569</v>
      </c>
      <c r="I4" s="80">
        <f>'PANDU IKPP'!G8+'PANDU IKPP'!G14+'PANDU IKPP'!G20+'PANDU IKPP'!G35+'PANDU IKPP'!G41+'PANDU IKPP'!G47+'PANDU IKPP'!G53+'PANDU IKPP'!G59+'PANDU IKPP'!G65</f>
        <v>153376.20000000001</v>
      </c>
      <c r="J4" s="80">
        <f>'PANDU IKPP'!H8+'PANDU IKPP'!H14+'PANDU IKPP'!H20+'PANDU IKPP'!H35+'PANDU IKPP'!H41+'PANDU IKPP'!H47+'PANDU IKPP'!H53+'PANDU IKPP'!H59+'PANDU IKPP'!H65</f>
        <v>331503.44444444444</v>
      </c>
      <c r="K4" s="80">
        <f>'PANDU IKPP'!I8+'PANDU IKPP'!I14+'PANDU IKPP'!I20+'PANDU IKPP'!I35+'PANDU IKPP'!I41+'PANDU IKPP'!I47+'PANDU IKPP'!I53+'PANDU IKPP'!I59+'PANDU IKPP'!I65</f>
        <v>170593.35</v>
      </c>
      <c r="L4" s="80">
        <f>'PANDU IKPP'!J8+'PANDU IKPP'!J14+'PANDU IKPP'!J20+'PANDU IKPP'!J35+'PANDU IKPP'!J41+'PANDU IKPP'!J47+'PANDU IKPP'!J53+'PANDU IKPP'!J59+'PANDU IKPP'!J65</f>
        <v>258839.47222222222</v>
      </c>
      <c r="M4" s="80">
        <f>'PANDU IKPP'!K8+'PANDU IKPP'!K14+'PANDU IKPP'!K20+'PANDU IKPP'!K35+'PANDU IKPP'!K41+'PANDU IKPP'!K47+'PANDU IKPP'!K53+'PANDU IKPP'!K59+'PANDU IKPP'!K65</f>
        <v>185360</v>
      </c>
      <c r="N4" s="80">
        <f>'PANDU IKPP'!L8+'PANDU IKPP'!L14+'PANDU IKPP'!L20+'PANDU IKPP'!L35+'PANDU IKPP'!L41+'PANDU IKPP'!L47+'PANDU IKPP'!L53+'PANDU IKPP'!L59+'PANDU IKPP'!L65</f>
        <v>366087.6333333333</v>
      </c>
      <c r="O4" s="80">
        <f>'PANDU IKPP'!M8+'PANDU IKPP'!M14+'PANDU IKPP'!M20+'PANDU IKPP'!M35+'PANDU IKPP'!M41+'PANDU IKPP'!M47+'PANDU IKPP'!M53+'PANDU IKPP'!M59+'PANDU IKPP'!M65</f>
        <v>172938.65</v>
      </c>
      <c r="P4" s="80">
        <f>'PANDU IKPP'!N8+'PANDU IKPP'!N14+'PANDU IKPP'!N20+'PANDU IKPP'!N35+'PANDU IKPP'!N41+'PANDU IKPP'!N47+'PANDU IKPP'!N53+'PANDU IKPP'!N59+'PANDU IKPP'!N65</f>
        <v>274917.8</v>
      </c>
      <c r="Q4" s="90">
        <f>SUM(E4:P4)</f>
        <v>4073742.0357142854</v>
      </c>
    </row>
    <row r="5" spans="2:17">
      <c r="B5" s="298"/>
      <c r="C5" s="299"/>
      <c r="D5" s="88" t="s">
        <v>52</v>
      </c>
      <c r="E5" s="80">
        <f>'PANDU IKPP'!C79</f>
        <v>32</v>
      </c>
      <c r="F5" s="80">
        <f>'PANDU IKPP'!D79</f>
        <v>37</v>
      </c>
      <c r="G5" s="80">
        <f>'PANDU IKPP'!E79</f>
        <v>159</v>
      </c>
      <c r="H5" s="80">
        <f>'PANDU IKPP'!F79</f>
        <v>39</v>
      </c>
      <c r="I5" s="80">
        <f>'PANDU IKPP'!G79</f>
        <v>34</v>
      </c>
      <c r="J5" s="80">
        <f>'PANDU IKPP'!H79</f>
        <v>37</v>
      </c>
      <c r="K5" s="80">
        <f>'PANDU IKPP'!I79</f>
        <v>35</v>
      </c>
      <c r="L5" s="80">
        <f>'PANDU IKPP'!J79</f>
        <v>34</v>
      </c>
      <c r="M5" s="80">
        <f>'PANDU IKPP'!K79</f>
        <v>37</v>
      </c>
      <c r="N5" s="80">
        <f>'PANDU IKPP'!L79</f>
        <v>43</v>
      </c>
      <c r="O5" s="80">
        <f>'PANDU IKPP'!M79</f>
        <v>37</v>
      </c>
      <c r="P5" s="80">
        <f>'PANDU IKPP'!N79</f>
        <v>32</v>
      </c>
      <c r="Q5" s="90">
        <f>SUM(E5:P5)</f>
        <v>556</v>
      </c>
    </row>
    <row r="6" spans="2:17">
      <c r="B6" s="298"/>
      <c r="C6" s="299"/>
      <c r="D6" s="88" t="s">
        <v>53</v>
      </c>
      <c r="E6" s="80">
        <f>'PANDU IKPP'!C80</f>
        <v>263773</v>
      </c>
      <c r="F6" s="80">
        <f>'PANDU IKPP'!D80</f>
        <v>203390</v>
      </c>
      <c r="G6" s="80">
        <f>'PANDU IKPP'!E80</f>
        <v>1340528</v>
      </c>
      <c r="H6" s="80">
        <f>'PANDU IKPP'!F80</f>
        <v>352434.48571428569</v>
      </c>
      <c r="I6" s="80">
        <f>'PANDU IKPP'!G80</f>
        <v>153376.20000000001</v>
      </c>
      <c r="J6" s="80">
        <f>'PANDU IKPP'!H80</f>
        <v>331503.44444444444</v>
      </c>
      <c r="K6" s="80">
        <f>'PANDU IKPP'!I80</f>
        <v>170593.35</v>
      </c>
      <c r="L6" s="80">
        <f>'PANDU IKPP'!J80</f>
        <v>258839.47222222222</v>
      </c>
      <c r="M6" s="80">
        <f>'PANDU IKPP'!K80</f>
        <v>185360</v>
      </c>
      <c r="N6" s="80">
        <f>'PANDU IKPP'!L80</f>
        <v>366087.6333333333</v>
      </c>
      <c r="O6" s="80">
        <f>'PANDU IKPP'!M80</f>
        <v>172938.65</v>
      </c>
      <c r="P6" s="80">
        <f>'PANDU IKPP'!N80</f>
        <v>274917.8</v>
      </c>
      <c r="Q6" s="90">
        <f>SUM(E6:P6)</f>
        <v>4073742.0357142854</v>
      </c>
    </row>
    <row r="7" spans="2:17">
      <c r="B7" s="298"/>
      <c r="C7" s="299" t="s">
        <v>102</v>
      </c>
      <c r="D7" s="88" t="s">
        <v>105</v>
      </c>
      <c r="E7" s="92">
        <f>'TUNDA IKPP'!E8+'TUNDA IKPP'!E30+'TUNDA IKPP'!E52+'TUNDA IKPP'!E98+'TUNDA IKPP'!E120+'TUNDA IKPP'!E142+'TUNDA IKPP'!E164+'TUNDA IKPP'!E172+'TUNDA IKPP'!E180</f>
        <v>32</v>
      </c>
      <c r="F7" s="92">
        <f>'TUNDA IKPP'!F8+'TUNDA IKPP'!F30+'TUNDA IKPP'!F52+'TUNDA IKPP'!F98+'TUNDA IKPP'!F120+'TUNDA IKPP'!F142+'TUNDA IKPP'!F164+'TUNDA IKPP'!F172+'TUNDA IKPP'!F180</f>
        <v>37</v>
      </c>
      <c r="G7" s="92">
        <f>'TUNDA IKPP'!G8+'TUNDA IKPP'!G30+'TUNDA IKPP'!G52+'TUNDA IKPP'!G98+'TUNDA IKPP'!G120+'TUNDA IKPP'!G142+'TUNDA IKPP'!G164+'TUNDA IKPP'!G172+'TUNDA IKPP'!G180</f>
        <v>159</v>
      </c>
      <c r="H7" s="92">
        <f>'TUNDA IKPP'!H8+'TUNDA IKPP'!H30+'TUNDA IKPP'!H52+'TUNDA IKPP'!H98+'TUNDA IKPP'!H120+'TUNDA IKPP'!H142+'TUNDA IKPP'!H164+'TUNDA IKPP'!H172+'TUNDA IKPP'!H180</f>
        <v>39</v>
      </c>
      <c r="I7" s="92">
        <f>'TUNDA IKPP'!I8+'TUNDA IKPP'!I30+'TUNDA IKPP'!I52+'TUNDA IKPP'!I98+'TUNDA IKPP'!I120+'TUNDA IKPP'!I142+'TUNDA IKPP'!I164+'TUNDA IKPP'!I172+'TUNDA IKPP'!I180</f>
        <v>34</v>
      </c>
      <c r="J7" s="92">
        <f>'TUNDA IKPP'!J8+'TUNDA IKPP'!J30+'TUNDA IKPP'!J52+'TUNDA IKPP'!J98+'TUNDA IKPP'!J120+'TUNDA IKPP'!J142+'TUNDA IKPP'!J164+'TUNDA IKPP'!J172+'TUNDA IKPP'!J180</f>
        <v>37</v>
      </c>
      <c r="K7" s="92">
        <f>'TUNDA IKPP'!K8+'TUNDA IKPP'!K30+'TUNDA IKPP'!K52+'TUNDA IKPP'!K98+'TUNDA IKPP'!K120+'TUNDA IKPP'!K142+'TUNDA IKPP'!K164+'TUNDA IKPP'!K172+'TUNDA IKPP'!K180</f>
        <v>35</v>
      </c>
      <c r="L7" s="92">
        <f>'TUNDA IKPP'!L8+'TUNDA IKPP'!L30+'TUNDA IKPP'!L52+'TUNDA IKPP'!L98+'TUNDA IKPP'!L120+'TUNDA IKPP'!L142+'TUNDA IKPP'!L164+'TUNDA IKPP'!L172+'TUNDA IKPP'!L180</f>
        <v>34</v>
      </c>
      <c r="M7" s="92">
        <f>'TUNDA IKPP'!M8+'TUNDA IKPP'!M30+'TUNDA IKPP'!M52+'TUNDA IKPP'!M98+'TUNDA IKPP'!M120+'TUNDA IKPP'!M142+'TUNDA IKPP'!M164+'TUNDA IKPP'!M172+'TUNDA IKPP'!M180</f>
        <v>37</v>
      </c>
      <c r="N7" s="92">
        <f>'TUNDA IKPP'!N8+'TUNDA IKPP'!N30+'TUNDA IKPP'!N52+'TUNDA IKPP'!N98+'TUNDA IKPP'!N120+'TUNDA IKPP'!N142+'TUNDA IKPP'!N164+'TUNDA IKPP'!N172+'TUNDA IKPP'!N180</f>
        <v>43</v>
      </c>
      <c r="O7" s="92">
        <f>'TUNDA IKPP'!O8+'TUNDA IKPP'!O30+'TUNDA IKPP'!O52+'TUNDA IKPP'!O98+'TUNDA IKPP'!O120+'TUNDA IKPP'!O142+'TUNDA IKPP'!O164+'TUNDA IKPP'!O172+'TUNDA IKPP'!O180</f>
        <v>37</v>
      </c>
      <c r="P7" s="92">
        <f>'TUNDA IKPP'!P8+'TUNDA IKPP'!P30+'TUNDA IKPP'!P52+'TUNDA IKPP'!P98+'TUNDA IKPP'!P120+'TUNDA IKPP'!P142+'TUNDA IKPP'!P164+'TUNDA IKPP'!P172+'TUNDA IKPP'!P180</f>
        <v>32</v>
      </c>
      <c r="Q7" s="90">
        <f t="shared" ref="Q7:Q10" si="0">SUM(E7:P7)</f>
        <v>556</v>
      </c>
    </row>
    <row r="8" spans="2:17">
      <c r="B8" s="298"/>
      <c r="C8" s="299"/>
      <c r="D8" s="88" t="s">
        <v>64</v>
      </c>
      <c r="E8" s="92">
        <f>'TUNDA IKPP'!E9+'TUNDA IKPP'!E31+'TUNDA IKPP'!E53+'TUNDA IKPP'!E99+'TUNDA IKPP'!E121+'TUNDA IKPP'!E143+'TUNDA IKPP'!E165+'TUNDA IKPP'!E173+'TUNDA IKPP'!E181</f>
        <v>263773</v>
      </c>
      <c r="F8" s="92">
        <f>'TUNDA IKPP'!F9+'TUNDA IKPP'!F31+'TUNDA IKPP'!F53+'TUNDA IKPP'!F99+'TUNDA IKPP'!F121+'TUNDA IKPP'!F143+'TUNDA IKPP'!F165+'TUNDA IKPP'!F173+'TUNDA IKPP'!F181</f>
        <v>203390</v>
      </c>
      <c r="G8" s="92">
        <f>'TUNDA IKPP'!G9+'TUNDA IKPP'!G31+'TUNDA IKPP'!G53+'TUNDA IKPP'!G99+'TUNDA IKPP'!G121+'TUNDA IKPP'!G143+'TUNDA IKPP'!G165+'TUNDA IKPP'!G173+'TUNDA IKPP'!G181</f>
        <v>1340528</v>
      </c>
      <c r="H8" s="92">
        <f>'TUNDA IKPP'!H9+'TUNDA IKPP'!H31+'TUNDA IKPP'!H53+'TUNDA IKPP'!H99+'TUNDA IKPP'!H121+'TUNDA IKPP'!H143+'TUNDA IKPP'!H165+'TUNDA IKPP'!H173+'TUNDA IKPP'!H181</f>
        <v>352434.48571428569</v>
      </c>
      <c r="I8" s="92">
        <f>'TUNDA IKPP'!I9+'TUNDA IKPP'!I31+'TUNDA IKPP'!I53+'TUNDA IKPP'!I99+'TUNDA IKPP'!I121+'TUNDA IKPP'!I143+'TUNDA IKPP'!I165+'TUNDA IKPP'!I173+'TUNDA IKPP'!I181</f>
        <v>153376.20000000001</v>
      </c>
      <c r="J8" s="92">
        <f>'TUNDA IKPP'!J9+'TUNDA IKPP'!J31+'TUNDA IKPP'!J53+'TUNDA IKPP'!J99+'TUNDA IKPP'!J121+'TUNDA IKPP'!J143+'TUNDA IKPP'!J165+'TUNDA IKPP'!J173+'TUNDA IKPP'!J181</f>
        <v>331503.44444444444</v>
      </c>
      <c r="K8" s="92">
        <f>'TUNDA IKPP'!K9+'TUNDA IKPP'!K31+'TUNDA IKPP'!K53+'TUNDA IKPP'!K99+'TUNDA IKPP'!K121+'TUNDA IKPP'!K143+'TUNDA IKPP'!K165+'TUNDA IKPP'!K173+'TUNDA IKPP'!K181</f>
        <v>170593.35</v>
      </c>
      <c r="L8" s="92">
        <f>'TUNDA IKPP'!L9+'TUNDA IKPP'!L31+'TUNDA IKPP'!L53+'TUNDA IKPP'!L99+'TUNDA IKPP'!L121+'TUNDA IKPP'!L143+'TUNDA IKPP'!L165+'TUNDA IKPP'!L173+'TUNDA IKPP'!L181</f>
        <v>258839.47222222222</v>
      </c>
      <c r="M8" s="92">
        <f>'TUNDA IKPP'!M9+'TUNDA IKPP'!M31+'TUNDA IKPP'!M53+'TUNDA IKPP'!M99+'TUNDA IKPP'!M121+'TUNDA IKPP'!M143+'TUNDA IKPP'!M165+'TUNDA IKPP'!M173+'TUNDA IKPP'!M181</f>
        <v>185360</v>
      </c>
      <c r="N8" s="92">
        <f>'TUNDA IKPP'!N9+'TUNDA IKPP'!N31+'TUNDA IKPP'!N53+'TUNDA IKPP'!N99+'TUNDA IKPP'!N121+'TUNDA IKPP'!N143+'TUNDA IKPP'!N165+'TUNDA IKPP'!N173+'TUNDA IKPP'!N181</f>
        <v>366087.6333333333</v>
      </c>
      <c r="O8" s="92">
        <f>'TUNDA IKPP'!O9+'TUNDA IKPP'!O31+'TUNDA IKPP'!O53+'TUNDA IKPP'!O99+'TUNDA IKPP'!O121+'TUNDA IKPP'!O143+'TUNDA IKPP'!O165+'TUNDA IKPP'!O173+'TUNDA IKPP'!O181</f>
        <v>172938.65</v>
      </c>
      <c r="P8" s="92">
        <f>'TUNDA IKPP'!P9+'TUNDA IKPP'!P31+'TUNDA IKPP'!P53+'TUNDA IKPP'!P99+'TUNDA IKPP'!P121+'TUNDA IKPP'!P143+'TUNDA IKPP'!P165+'TUNDA IKPP'!P173+'TUNDA IKPP'!P181</f>
        <v>274917.8</v>
      </c>
      <c r="Q8" s="90">
        <f t="shared" si="0"/>
        <v>4073742.0357142854</v>
      </c>
    </row>
    <row r="9" spans="2:17">
      <c r="B9" s="298"/>
      <c r="C9" s="299"/>
      <c r="D9" s="89" t="s">
        <v>20</v>
      </c>
      <c r="E9" s="80">
        <f>'TUNDA IKPP'!E201</f>
        <v>154.98560000000001</v>
      </c>
      <c r="F9" s="80">
        <f>'TUNDA IKPP'!F201</f>
        <v>179.2021</v>
      </c>
      <c r="G9" s="80">
        <f>'TUNDA IKPP'!G201</f>
        <v>140.45570000000001</v>
      </c>
      <c r="H9" s="80">
        <f>'TUNDA IKPP'!H201</f>
        <v>188.8887</v>
      </c>
      <c r="I9" s="80">
        <f>'TUNDA IKPP'!I201</f>
        <v>164.6722</v>
      </c>
      <c r="J9" s="80">
        <f>'TUNDA IKPP'!J201</f>
        <v>179.20210000000003</v>
      </c>
      <c r="K9" s="80">
        <f>'TUNDA IKPP'!K201</f>
        <v>169.5155</v>
      </c>
      <c r="L9" s="80">
        <f>'TUNDA IKPP'!L201</f>
        <v>164.6722</v>
      </c>
      <c r="M9" s="80">
        <f>'TUNDA IKPP'!M201</f>
        <v>179.2021</v>
      </c>
      <c r="N9" s="80">
        <f>'TUNDA IKPP'!N201</f>
        <v>208.26190000000003</v>
      </c>
      <c r="O9" s="80">
        <f>'TUNDA IKPP'!O201</f>
        <v>179.2021</v>
      </c>
      <c r="P9" s="80">
        <f>'TUNDA IKPP'!P201</f>
        <v>154.98560000000001</v>
      </c>
      <c r="Q9" s="90">
        <f t="shared" si="0"/>
        <v>2063.2458000000001</v>
      </c>
    </row>
    <row r="10" spans="2:17">
      <c r="B10" s="298"/>
      <c r="C10" s="299"/>
      <c r="D10" s="89" t="s">
        <v>21</v>
      </c>
      <c r="E10" s="80">
        <f>'TUNDA IKPP'!E202</f>
        <v>1277531.7709000001</v>
      </c>
      <c r="F10" s="80">
        <f>'TUNDA IKPP'!F202</f>
        <v>985078.78700000001</v>
      </c>
      <c r="G10" s="80">
        <f>'TUNDA IKPP'!G202</f>
        <v>1319770.1902000001</v>
      </c>
      <c r="H10" s="80">
        <f>'TUNDA IKPP'!H202</f>
        <v>1706945.94466</v>
      </c>
      <c r="I10" s="80">
        <f>'TUNDA IKPP'!I202</f>
        <v>742846.94946000003</v>
      </c>
      <c r="J10" s="80">
        <f>'TUNDA IKPP'!J202</f>
        <v>1605570.6324777778</v>
      </c>
      <c r="K10" s="80">
        <f>'TUNDA IKPP'!K202</f>
        <v>826234.77205500007</v>
      </c>
      <c r="L10" s="80">
        <f>'TUNDA IKPP'!L202</f>
        <v>1253637.2158138889</v>
      </c>
      <c r="M10" s="80">
        <f>'TUNDA IKPP'!M202</f>
        <v>897754.08799999999</v>
      </c>
      <c r="N10" s="80">
        <f>'TUNDA IKPP'!N202</f>
        <v>1773072.2345233334</v>
      </c>
      <c r="O10" s="80">
        <f>'TUNDA IKPP'!O202</f>
        <v>837593.76354499999</v>
      </c>
      <c r="P10" s="80">
        <f>'TUNDA IKPP'!P202</f>
        <v>1331509.3807399999</v>
      </c>
      <c r="Q10" s="90">
        <f t="shared" si="0"/>
        <v>14557545.729374999</v>
      </c>
    </row>
    <row r="11" spans="2:17">
      <c r="B11" s="298" t="s">
        <v>104</v>
      </c>
      <c r="C11" s="299" t="s">
        <v>101</v>
      </c>
      <c r="D11" s="88" t="s">
        <v>105</v>
      </c>
      <c r="E11" s="92" t="e">
        <f>#REF!+#REF!+#REF!+#REF!+#REF!+#REF!+#REF!+#REF!+#REF!+#REF!</f>
        <v>#REF!</v>
      </c>
      <c r="F11" s="92" t="e">
        <f>#REF!+#REF!+#REF!+#REF!+#REF!+#REF!+#REF!+#REF!+#REF!+#REF!</f>
        <v>#REF!</v>
      </c>
      <c r="G11" s="92" t="e">
        <f>#REF!+#REF!+#REF!+#REF!+#REF!+#REF!+#REF!+#REF!+#REF!+#REF!</f>
        <v>#REF!</v>
      </c>
      <c r="H11" s="92" t="e">
        <f>#REF!+#REF!+#REF!+#REF!+#REF!+#REF!+#REF!+#REF!+#REF!+#REF!</f>
        <v>#REF!</v>
      </c>
      <c r="I11" s="92" t="e">
        <f>#REF!+#REF!+#REF!+#REF!+#REF!+#REF!+#REF!+#REF!+#REF!+#REF!</f>
        <v>#REF!</v>
      </c>
      <c r="J11" s="92" t="e">
        <f>#REF!+#REF!+#REF!+#REF!+#REF!+#REF!+#REF!+#REF!+#REF!+#REF!</f>
        <v>#REF!</v>
      </c>
      <c r="K11" s="92" t="e">
        <f>#REF!+#REF!+#REF!+#REF!+#REF!+#REF!+#REF!+#REF!+#REF!+#REF!</f>
        <v>#REF!</v>
      </c>
      <c r="L11" s="92" t="e">
        <f>#REF!+#REF!+#REF!+#REF!+#REF!+#REF!+#REF!+#REF!+#REF!+#REF!</f>
        <v>#REF!</v>
      </c>
      <c r="M11" s="92" t="e">
        <f>#REF!+#REF!+#REF!+#REF!+#REF!+#REF!+#REF!+#REF!+#REF!+#REF!</f>
        <v>#REF!</v>
      </c>
      <c r="N11" s="92" t="e">
        <f>#REF!+#REF!+#REF!+#REF!+#REF!+#REF!+#REF!+#REF!+#REF!+#REF!</f>
        <v>#REF!</v>
      </c>
      <c r="O11" s="92" t="e">
        <f>#REF!+#REF!+#REF!+#REF!+#REF!+#REF!+#REF!+#REF!+#REF!+#REF!</f>
        <v>#REF!</v>
      </c>
      <c r="P11" s="92" t="e">
        <f>#REF!+#REF!+#REF!+#REF!+#REF!+#REF!+#REF!+#REF!+#REF!+#REF!</f>
        <v>#REF!</v>
      </c>
      <c r="Q11" s="91" t="e">
        <f t="shared" ref="Q11:Q16" si="1">SUM(E11:P11)</f>
        <v>#REF!</v>
      </c>
    </row>
    <row r="12" spans="2:17">
      <c r="B12" s="298"/>
      <c r="C12" s="299"/>
      <c r="D12" s="88" t="s">
        <v>64</v>
      </c>
      <c r="E12" s="92" t="e">
        <f>#REF!+#REF!+#REF!+#REF!+#REF!+#REF!+#REF!+#REF!+#REF!+#REF!</f>
        <v>#REF!</v>
      </c>
      <c r="F12" s="92" t="e">
        <f>#REF!+#REF!+#REF!+#REF!+#REF!+#REF!+#REF!+#REF!+#REF!+#REF!</f>
        <v>#REF!</v>
      </c>
      <c r="G12" s="92" t="e">
        <f>#REF!+#REF!+#REF!+#REF!+#REF!+#REF!+#REF!+#REF!+#REF!+#REF!</f>
        <v>#REF!</v>
      </c>
      <c r="H12" s="92" t="e">
        <f>#REF!+#REF!+#REF!+#REF!+#REF!+#REF!+#REF!+#REF!+#REF!+#REF!</f>
        <v>#REF!</v>
      </c>
      <c r="I12" s="92" t="e">
        <f>#REF!+#REF!+#REF!+#REF!+#REF!+#REF!+#REF!+#REF!+#REF!+#REF!</f>
        <v>#REF!</v>
      </c>
      <c r="J12" s="92" t="e">
        <f>#REF!+#REF!+#REF!+#REF!+#REF!+#REF!+#REF!+#REF!+#REF!+#REF!</f>
        <v>#REF!</v>
      </c>
      <c r="K12" s="92" t="e">
        <f>#REF!+#REF!+#REF!+#REF!+#REF!+#REF!+#REF!+#REF!+#REF!+#REF!</f>
        <v>#REF!</v>
      </c>
      <c r="L12" s="92" t="e">
        <f>#REF!+#REF!+#REF!+#REF!+#REF!+#REF!+#REF!+#REF!+#REF!+#REF!</f>
        <v>#REF!</v>
      </c>
      <c r="M12" s="92" t="e">
        <f>#REF!+#REF!+#REF!+#REF!+#REF!+#REF!+#REF!+#REF!+#REF!+#REF!</f>
        <v>#REF!</v>
      </c>
      <c r="N12" s="92" t="e">
        <f>#REF!+#REF!+#REF!+#REF!+#REF!+#REF!+#REF!+#REF!+#REF!+#REF!</f>
        <v>#REF!</v>
      </c>
      <c r="O12" s="92" t="e">
        <f>#REF!+#REF!+#REF!+#REF!+#REF!+#REF!+#REF!+#REF!+#REF!+#REF!</f>
        <v>#REF!</v>
      </c>
      <c r="P12" s="92" t="e">
        <f>#REF!+#REF!+#REF!+#REF!+#REF!+#REF!+#REF!+#REF!+#REF!+#REF!</f>
        <v>#REF!</v>
      </c>
      <c r="Q12" s="91" t="e">
        <f t="shared" si="1"/>
        <v>#REF!</v>
      </c>
    </row>
    <row r="13" spans="2:17">
      <c r="B13" s="298"/>
      <c r="C13" s="299"/>
      <c r="D13" s="88" t="s">
        <v>52</v>
      </c>
      <c r="E13" s="80" t="e">
        <f>#REF!</f>
        <v>#REF!</v>
      </c>
      <c r="F13" s="80" t="e">
        <f>#REF!</f>
        <v>#REF!</v>
      </c>
      <c r="G13" s="80" t="e">
        <f>#REF!</f>
        <v>#REF!</v>
      </c>
      <c r="H13" s="80" t="e">
        <f>#REF!</f>
        <v>#REF!</v>
      </c>
      <c r="I13" s="80" t="e">
        <f>#REF!</f>
        <v>#REF!</v>
      </c>
      <c r="J13" s="80" t="e">
        <f>#REF!</f>
        <v>#REF!</v>
      </c>
      <c r="K13" s="80" t="e">
        <f>#REF!</f>
        <v>#REF!</v>
      </c>
      <c r="L13" s="80" t="e">
        <f>#REF!</f>
        <v>#REF!</v>
      </c>
      <c r="M13" s="80" t="e">
        <f>#REF!</f>
        <v>#REF!</v>
      </c>
      <c r="N13" s="80" t="e">
        <f>#REF!</f>
        <v>#REF!</v>
      </c>
      <c r="O13" s="80" t="e">
        <f>#REF!</f>
        <v>#REF!</v>
      </c>
      <c r="P13" s="80" t="e">
        <f>#REF!</f>
        <v>#REF!</v>
      </c>
      <c r="Q13" s="90" t="e">
        <f t="shared" si="1"/>
        <v>#REF!</v>
      </c>
    </row>
    <row r="14" spans="2:17">
      <c r="B14" s="298"/>
      <c r="C14" s="299"/>
      <c r="D14" s="88" t="s">
        <v>53</v>
      </c>
      <c r="E14" s="80" t="e">
        <f>#REF!</f>
        <v>#REF!</v>
      </c>
      <c r="F14" s="80" t="e">
        <f>#REF!</f>
        <v>#REF!</v>
      </c>
      <c r="G14" s="80" t="e">
        <f>#REF!</f>
        <v>#REF!</v>
      </c>
      <c r="H14" s="80" t="e">
        <f>#REF!</f>
        <v>#REF!</v>
      </c>
      <c r="I14" s="80" t="e">
        <f>#REF!</f>
        <v>#REF!</v>
      </c>
      <c r="J14" s="80" t="e">
        <f>#REF!</f>
        <v>#REF!</v>
      </c>
      <c r="K14" s="80" t="e">
        <f>#REF!</f>
        <v>#REF!</v>
      </c>
      <c r="L14" s="80" t="e">
        <f>#REF!</f>
        <v>#REF!</v>
      </c>
      <c r="M14" s="80" t="e">
        <f>#REF!</f>
        <v>#REF!</v>
      </c>
      <c r="N14" s="80" t="e">
        <f>#REF!</f>
        <v>#REF!</v>
      </c>
      <c r="O14" s="80" t="e">
        <f>#REF!</f>
        <v>#REF!</v>
      </c>
      <c r="P14" s="80" t="e">
        <f>#REF!</f>
        <v>#REF!</v>
      </c>
      <c r="Q14" s="90" t="e">
        <f t="shared" si="1"/>
        <v>#REF!</v>
      </c>
    </row>
    <row r="15" spans="2:17">
      <c r="B15" s="298"/>
      <c r="C15" s="299" t="s">
        <v>102</v>
      </c>
      <c r="D15" s="88" t="s">
        <v>105</v>
      </c>
      <c r="E15" s="92" t="e">
        <f>#REF!+#REF!+#REF!+#REF!+#REF!+#REF!+#REF!+#REF!+#REF!+#REF!+#REF!</f>
        <v>#REF!</v>
      </c>
      <c r="F15" s="92" t="e">
        <f>#REF!+#REF!+#REF!+#REF!+#REF!+#REF!+#REF!+#REF!+#REF!+#REF!+#REF!</f>
        <v>#REF!</v>
      </c>
      <c r="G15" s="92" t="e">
        <f>#REF!+#REF!+#REF!+#REF!+#REF!+#REF!+#REF!+#REF!+#REF!+#REF!+#REF!</f>
        <v>#REF!</v>
      </c>
      <c r="H15" s="92" t="e">
        <f>#REF!+#REF!+#REF!+#REF!+#REF!+#REF!+#REF!+#REF!+#REF!+#REF!+#REF!</f>
        <v>#REF!</v>
      </c>
      <c r="I15" s="92" t="e">
        <f>#REF!+#REF!+#REF!+#REF!+#REF!+#REF!+#REF!+#REF!+#REF!+#REF!+#REF!</f>
        <v>#REF!</v>
      </c>
      <c r="J15" s="92" t="e">
        <f>#REF!+#REF!+#REF!+#REF!+#REF!+#REF!+#REF!+#REF!+#REF!+#REF!+#REF!</f>
        <v>#REF!</v>
      </c>
      <c r="K15" s="92" t="e">
        <f>#REF!+#REF!+#REF!+#REF!+#REF!+#REF!+#REF!+#REF!+#REF!+#REF!+#REF!</f>
        <v>#REF!</v>
      </c>
      <c r="L15" s="92" t="e">
        <f>#REF!+#REF!+#REF!+#REF!+#REF!+#REF!+#REF!+#REF!+#REF!+#REF!+#REF!</f>
        <v>#REF!</v>
      </c>
      <c r="M15" s="92" t="e">
        <f>#REF!+#REF!+#REF!+#REF!+#REF!+#REF!+#REF!+#REF!+#REF!+#REF!+#REF!</f>
        <v>#REF!</v>
      </c>
      <c r="N15" s="92" t="e">
        <f>#REF!+#REF!+#REF!+#REF!+#REF!+#REF!+#REF!+#REF!+#REF!+#REF!+#REF!</f>
        <v>#REF!</v>
      </c>
      <c r="O15" s="92" t="e">
        <f>#REF!+#REF!+#REF!+#REF!+#REF!+#REF!+#REF!+#REF!+#REF!+#REF!+#REF!</f>
        <v>#REF!</v>
      </c>
      <c r="P15" s="92" t="e">
        <f>#REF!+#REF!+#REF!+#REF!+#REF!+#REF!+#REF!+#REF!+#REF!+#REF!+#REF!</f>
        <v>#REF!</v>
      </c>
      <c r="Q15" s="90" t="e">
        <f t="shared" si="1"/>
        <v>#REF!</v>
      </c>
    </row>
    <row r="16" spans="2:17">
      <c r="B16" s="298"/>
      <c r="C16" s="299"/>
      <c r="D16" s="88" t="s">
        <v>64</v>
      </c>
      <c r="E16" s="92" t="e">
        <f>#REF!+#REF!+#REF!+#REF!+#REF!+#REF!+#REF!+#REF!+#REF!+#REF!+#REF!</f>
        <v>#REF!</v>
      </c>
      <c r="F16" s="92" t="e">
        <f>#REF!+#REF!+#REF!+#REF!+#REF!+#REF!+#REF!+#REF!+#REF!+#REF!+#REF!</f>
        <v>#REF!</v>
      </c>
      <c r="G16" s="92" t="e">
        <f>#REF!+#REF!+#REF!+#REF!+#REF!+#REF!+#REF!+#REF!+#REF!+#REF!+#REF!</f>
        <v>#REF!</v>
      </c>
      <c r="H16" s="92" t="e">
        <f>#REF!+#REF!+#REF!+#REF!+#REF!+#REF!+#REF!+#REF!+#REF!+#REF!+#REF!</f>
        <v>#REF!</v>
      </c>
      <c r="I16" s="92" t="e">
        <f>#REF!+#REF!+#REF!+#REF!+#REF!+#REF!+#REF!+#REF!+#REF!+#REF!+#REF!</f>
        <v>#REF!</v>
      </c>
      <c r="J16" s="92" t="e">
        <f>#REF!+#REF!+#REF!+#REF!+#REF!+#REF!+#REF!+#REF!+#REF!+#REF!+#REF!</f>
        <v>#REF!</v>
      </c>
      <c r="K16" s="92" t="e">
        <f>#REF!+#REF!+#REF!+#REF!+#REF!+#REF!+#REF!+#REF!+#REF!+#REF!+#REF!</f>
        <v>#REF!</v>
      </c>
      <c r="L16" s="92" t="e">
        <f>#REF!+#REF!+#REF!+#REF!+#REF!+#REF!+#REF!+#REF!+#REF!+#REF!+#REF!</f>
        <v>#REF!</v>
      </c>
      <c r="M16" s="92" t="e">
        <f>#REF!+#REF!+#REF!+#REF!+#REF!+#REF!+#REF!+#REF!+#REF!+#REF!+#REF!</f>
        <v>#REF!</v>
      </c>
      <c r="N16" s="92" t="e">
        <f>#REF!+#REF!+#REF!+#REF!+#REF!+#REF!+#REF!+#REF!+#REF!+#REF!+#REF!</f>
        <v>#REF!</v>
      </c>
      <c r="O16" s="92" t="e">
        <f>#REF!+#REF!+#REF!+#REF!+#REF!+#REF!+#REF!+#REF!+#REF!+#REF!+#REF!</f>
        <v>#REF!</v>
      </c>
      <c r="P16" s="92" t="e">
        <f>#REF!+#REF!+#REF!+#REF!+#REF!+#REF!+#REF!+#REF!+#REF!+#REF!+#REF!</f>
        <v>#REF!</v>
      </c>
      <c r="Q16" s="90" t="e">
        <f t="shared" si="1"/>
        <v>#REF!</v>
      </c>
    </row>
    <row r="17" spans="2:17">
      <c r="B17" s="298"/>
      <c r="C17" s="299"/>
      <c r="D17" s="89" t="s">
        <v>20</v>
      </c>
      <c r="E17" s="80" t="e">
        <f>#REF!</f>
        <v>#REF!</v>
      </c>
      <c r="F17" s="80" t="e">
        <f>#REF!</f>
        <v>#REF!</v>
      </c>
      <c r="G17" s="80" t="e">
        <f>#REF!</f>
        <v>#REF!</v>
      </c>
      <c r="H17" s="80" t="e">
        <f>#REF!</f>
        <v>#REF!</v>
      </c>
      <c r="I17" s="80" t="e">
        <f>#REF!</f>
        <v>#REF!</v>
      </c>
      <c r="J17" s="80" t="e">
        <f>#REF!</f>
        <v>#REF!</v>
      </c>
      <c r="K17" s="80" t="e">
        <f>#REF!</f>
        <v>#REF!</v>
      </c>
      <c r="L17" s="80" t="e">
        <f>#REF!</f>
        <v>#REF!</v>
      </c>
      <c r="M17" s="80" t="e">
        <f>#REF!</f>
        <v>#REF!</v>
      </c>
      <c r="N17" s="80" t="e">
        <f>#REF!</f>
        <v>#REF!</v>
      </c>
      <c r="O17" s="80" t="e">
        <f>#REF!</f>
        <v>#REF!</v>
      </c>
      <c r="P17" s="80" t="e">
        <f>#REF!</f>
        <v>#REF!</v>
      </c>
      <c r="Q17" s="90" t="e">
        <f>SUM(E17:P17)</f>
        <v>#REF!</v>
      </c>
    </row>
    <row r="18" spans="2:17">
      <c r="B18" s="298"/>
      <c r="C18" s="299"/>
      <c r="D18" s="89" t="s">
        <v>21</v>
      </c>
      <c r="E18" s="80" t="e">
        <f>#REF!</f>
        <v>#REF!</v>
      </c>
      <c r="F18" s="80" t="e">
        <f>#REF!</f>
        <v>#REF!</v>
      </c>
      <c r="G18" s="80" t="e">
        <f>#REF!</f>
        <v>#REF!</v>
      </c>
      <c r="H18" s="80" t="e">
        <f>#REF!</f>
        <v>#REF!</v>
      </c>
      <c r="I18" s="80" t="e">
        <f>#REF!</f>
        <v>#REF!</v>
      </c>
      <c r="J18" s="80" t="e">
        <f>#REF!</f>
        <v>#REF!</v>
      </c>
      <c r="K18" s="80" t="e">
        <f>#REF!</f>
        <v>#REF!</v>
      </c>
      <c r="L18" s="80" t="e">
        <f>#REF!</f>
        <v>#REF!</v>
      </c>
      <c r="M18" s="80" t="e">
        <f>#REF!</f>
        <v>#REF!</v>
      </c>
      <c r="N18" s="80" t="e">
        <f>#REF!</f>
        <v>#REF!</v>
      </c>
      <c r="O18" s="80" t="e">
        <f>#REF!</f>
        <v>#REF!</v>
      </c>
      <c r="P18" s="80" t="e">
        <f>#REF!</f>
        <v>#REF!</v>
      </c>
      <c r="Q18" s="90" t="e">
        <f>SUM(E18:P18)</f>
        <v>#REF!</v>
      </c>
    </row>
    <row r="28" spans="2:17" hidden="1"/>
    <row r="29" spans="2:17" hidden="1"/>
    <row r="30" spans="2:17" hidden="1"/>
    <row r="31" spans="2:17" hidden="1"/>
    <row r="32" spans="2:17" hidden="1"/>
    <row r="33" hidden="1"/>
    <row r="34" hidden="1"/>
    <row r="35" hidden="1"/>
  </sheetData>
  <mergeCells count="7">
    <mergeCell ref="B11:B18"/>
    <mergeCell ref="C11:C14"/>
    <mergeCell ref="C15:C18"/>
    <mergeCell ref="B2:D2"/>
    <mergeCell ref="B3:B10"/>
    <mergeCell ref="C3:C6"/>
    <mergeCell ref="C7:C10"/>
  </mergeCells>
  <pageMargins left="0.51181102362204722" right="0.31496062992125984" top="0.55118110236220474" bottom="0.55118110236220474" header="0.31496062992125984" footer="0.31496062992125984"/>
  <pageSetup paperSize="9" scale="93" orientation="landscape" r:id="rId1"/>
  <colBreaks count="1" manualBreakCount="1">
    <brk id="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L28"/>
  <sheetViews>
    <sheetView showGridLines="0" topLeftCell="X1" zoomScale="90" zoomScaleNormal="90" zoomScaleSheetLayoutView="90" workbookViewId="0">
      <selection activeCell="AQ14" sqref="AQ14"/>
    </sheetView>
  </sheetViews>
  <sheetFormatPr defaultColWidth="9.109375" defaultRowHeight="13.2" outlineLevelCol="1"/>
  <cols>
    <col min="1" max="1" width="6.6640625" style="125" customWidth="1"/>
    <col min="2" max="2" width="20.5546875" style="126" bestFit="1" customWidth="1"/>
    <col min="3" max="3" width="9.6640625" style="128" bestFit="1" customWidth="1"/>
    <col min="4" max="9" width="13.44140625" style="128" customWidth="1" outlineLevel="1"/>
    <col min="10" max="10" width="13.44140625" style="128" customWidth="1"/>
    <col min="11" max="31" width="13.44140625" style="128" customWidth="1" outlineLevel="1"/>
    <col min="32" max="33" width="13.44140625" style="128" customWidth="1"/>
    <col min="34" max="37" width="9.109375" style="128"/>
    <col min="38" max="42" width="0" style="128" hidden="1" customWidth="1" outlineLevel="1"/>
    <col min="43" max="43" width="11.33203125" style="128" bestFit="1" customWidth="1" collapsed="1"/>
    <col min="44" max="50" width="10.109375" style="128" hidden="1" customWidth="1" outlineLevel="1"/>
    <col min="51" max="51" width="11.33203125" style="128" bestFit="1" customWidth="1" collapsed="1"/>
    <col min="52" max="63" width="10.109375" style="128" hidden="1" customWidth="1" outlineLevel="1"/>
    <col min="64" max="64" width="11.33203125" style="128" bestFit="1" customWidth="1" collapsed="1"/>
    <col min="65" max="16384" width="9.109375" style="128"/>
  </cols>
  <sheetData>
    <row r="1" spans="1:64">
      <c r="K1" s="128">
        <v>1.25</v>
      </c>
    </row>
    <row r="2" spans="1:64"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73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11"/>
      <c r="AF2" s="311"/>
      <c r="AG2" s="158"/>
    </row>
    <row r="3" spans="1:64" ht="26.4">
      <c r="A3" s="143" t="s">
        <v>128</v>
      </c>
      <c r="B3" s="143" t="s">
        <v>129</v>
      </c>
      <c r="C3" s="144" t="s">
        <v>26</v>
      </c>
      <c r="D3" s="129">
        <v>45292</v>
      </c>
      <c r="E3" s="129">
        <v>45323</v>
      </c>
      <c r="F3" s="129">
        <v>45352</v>
      </c>
      <c r="G3" s="129">
        <v>45383</v>
      </c>
      <c r="H3" s="129">
        <v>45413</v>
      </c>
      <c r="I3" s="129">
        <v>45444</v>
      </c>
      <c r="J3" s="145" t="s">
        <v>137</v>
      </c>
      <c r="K3" s="129">
        <v>45474</v>
      </c>
      <c r="L3" s="129">
        <v>45505</v>
      </c>
      <c r="M3" s="129">
        <v>45536</v>
      </c>
      <c r="N3" s="129">
        <v>45566</v>
      </c>
      <c r="O3" s="129">
        <v>45597</v>
      </c>
      <c r="P3" s="129">
        <v>45627</v>
      </c>
      <c r="Q3" s="145" t="s">
        <v>122</v>
      </c>
      <c r="R3" s="163" t="s">
        <v>142</v>
      </c>
      <c r="S3" s="176"/>
      <c r="T3" s="168">
        <v>45658</v>
      </c>
      <c r="U3" s="129">
        <v>45689</v>
      </c>
      <c r="V3" s="129">
        <v>45717</v>
      </c>
      <c r="W3" s="129">
        <v>45748</v>
      </c>
      <c r="X3" s="129">
        <v>45778</v>
      </c>
      <c r="Y3" s="129">
        <v>45809</v>
      </c>
      <c r="Z3" s="129">
        <v>45839</v>
      </c>
      <c r="AA3" s="129">
        <v>45870</v>
      </c>
      <c r="AB3" s="129">
        <v>45901</v>
      </c>
      <c r="AC3" s="129">
        <v>45931</v>
      </c>
      <c r="AD3" s="129">
        <v>45962</v>
      </c>
      <c r="AE3" s="129">
        <v>45992</v>
      </c>
      <c r="AF3" s="130" t="s">
        <v>106</v>
      </c>
      <c r="AG3" s="159"/>
      <c r="AI3" s="143" t="s">
        <v>128</v>
      </c>
      <c r="AJ3" s="143" t="s">
        <v>129</v>
      </c>
      <c r="AK3" s="144" t="s">
        <v>26</v>
      </c>
      <c r="AL3" s="129">
        <v>45292</v>
      </c>
      <c r="AM3" s="129">
        <v>45323</v>
      </c>
      <c r="AN3" s="129">
        <v>45352</v>
      </c>
      <c r="AO3" s="129">
        <v>45383</v>
      </c>
      <c r="AP3" s="129">
        <v>45413</v>
      </c>
      <c r="AQ3" s="145" t="s">
        <v>133</v>
      </c>
      <c r="AR3" s="129">
        <v>45444</v>
      </c>
      <c r="AS3" s="129">
        <v>45474</v>
      </c>
      <c r="AT3" s="129">
        <v>45505</v>
      </c>
      <c r="AU3" s="129">
        <v>45536</v>
      </c>
      <c r="AV3" s="129">
        <v>45566</v>
      </c>
      <c r="AW3" s="129">
        <v>45597</v>
      </c>
      <c r="AX3" s="129">
        <v>45627</v>
      </c>
      <c r="AY3" s="130" t="s">
        <v>122</v>
      </c>
      <c r="AZ3" s="129">
        <v>45658</v>
      </c>
      <c r="BA3" s="129">
        <v>45689</v>
      </c>
      <c r="BB3" s="129">
        <v>45717</v>
      </c>
      <c r="BC3" s="129">
        <v>45748</v>
      </c>
      <c r="BD3" s="129">
        <v>45778</v>
      </c>
      <c r="BE3" s="129">
        <v>45809</v>
      </c>
      <c r="BF3" s="129">
        <v>45839</v>
      </c>
      <c r="BG3" s="129">
        <v>45870</v>
      </c>
      <c r="BH3" s="129">
        <v>45901</v>
      </c>
      <c r="BI3" s="129">
        <v>45931</v>
      </c>
      <c r="BJ3" s="129">
        <v>45962</v>
      </c>
      <c r="BK3" s="129">
        <v>45992</v>
      </c>
      <c r="BL3" s="130" t="s">
        <v>106</v>
      </c>
    </row>
    <row r="4" spans="1:64">
      <c r="A4" s="304">
        <v>1</v>
      </c>
      <c r="B4" s="312" t="s">
        <v>131</v>
      </c>
      <c r="C4" s="131" t="s">
        <v>105</v>
      </c>
      <c r="D4" s="132">
        <f>D6+D8</f>
        <v>72</v>
      </c>
      <c r="E4" s="132">
        <f t="shared" ref="E4:P5" si="0">E6+E8</f>
        <v>58</v>
      </c>
      <c r="F4" s="132">
        <f t="shared" si="0"/>
        <v>63</v>
      </c>
      <c r="G4" s="132">
        <f t="shared" si="0"/>
        <v>182</v>
      </c>
      <c r="H4" s="132">
        <f t="shared" si="0"/>
        <v>63</v>
      </c>
      <c r="I4" s="132">
        <f t="shared" si="0"/>
        <v>37</v>
      </c>
      <c r="J4" s="132">
        <f>SUM(D4:I4)</f>
        <v>475</v>
      </c>
      <c r="K4" s="132">
        <f t="shared" si="0"/>
        <v>35</v>
      </c>
      <c r="L4" s="132">
        <f t="shared" si="0"/>
        <v>34</v>
      </c>
      <c r="M4" s="132">
        <f t="shared" si="0"/>
        <v>37</v>
      </c>
      <c r="N4" s="132">
        <f t="shared" si="0"/>
        <v>43</v>
      </c>
      <c r="O4" s="132">
        <f t="shared" si="0"/>
        <v>37</v>
      </c>
      <c r="P4" s="132">
        <f t="shared" si="0"/>
        <v>32</v>
      </c>
      <c r="Q4" s="132">
        <f>SUM(J4:P4)</f>
        <v>693</v>
      </c>
      <c r="R4" s="164">
        <f>Q4-J4</f>
        <v>218</v>
      </c>
      <c r="S4" s="155"/>
      <c r="T4" s="169">
        <f>T6+T8</f>
        <v>38</v>
      </c>
      <c r="U4" s="132">
        <f t="shared" ref="U4:AE5" si="1">U6+U8</f>
        <v>37</v>
      </c>
      <c r="V4" s="132">
        <f t="shared" si="1"/>
        <v>177</v>
      </c>
      <c r="W4" s="132">
        <f t="shared" si="1"/>
        <v>36</v>
      </c>
      <c r="X4" s="132">
        <f t="shared" si="1"/>
        <v>36</v>
      </c>
      <c r="Y4" s="132">
        <f t="shared" si="1"/>
        <v>33</v>
      </c>
      <c r="Z4" s="132">
        <f t="shared" si="1"/>
        <v>52</v>
      </c>
      <c r="AA4" s="132">
        <f t="shared" si="1"/>
        <v>60</v>
      </c>
      <c r="AB4" s="132">
        <f t="shared" si="1"/>
        <v>52</v>
      </c>
      <c r="AC4" s="132">
        <f t="shared" si="1"/>
        <v>57</v>
      </c>
      <c r="AD4" s="132">
        <f t="shared" si="1"/>
        <v>52</v>
      </c>
      <c r="AE4" s="132">
        <f t="shared" si="1"/>
        <v>50</v>
      </c>
      <c r="AF4" s="132">
        <f>SUM(T4:AE4)</f>
        <v>680</v>
      </c>
      <c r="AG4" s="160"/>
      <c r="AI4" s="304">
        <v>1</v>
      </c>
      <c r="AJ4" s="312" t="s">
        <v>131</v>
      </c>
      <c r="AK4" s="131" t="s">
        <v>105</v>
      </c>
      <c r="AL4" s="132">
        <v>72</v>
      </c>
      <c r="AM4" s="132">
        <v>58</v>
      </c>
      <c r="AN4" s="132">
        <v>63</v>
      </c>
      <c r="AO4" s="132">
        <v>182</v>
      </c>
      <c r="AP4" s="132">
        <v>63</v>
      </c>
      <c r="AQ4" s="132">
        <v>438</v>
      </c>
      <c r="AR4" s="132">
        <v>45.136024314562803</v>
      </c>
      <c r="AS4" s="132">
        <v>85.540232556081804</v>
      </c>
      <c r="AT4" s="132">
        <v>103.67100901656093</v>
      </c>
      <c r="AU4" s="132">
        <v>93.099202696682241</v>
      </c>
      <c r="AV4" s="132">
        <v>86.170068143792605</v>
      </c>
      <c r="AW4" s="132">
        <v>102.64038732615626</v>
      </c>
      <c r="AX4" s="132">
        <v>85.387310594398372</v>
      </c>
      <c r="AY4" s="132">
        <v>1039.6442346482349</v>
      </c>
      <c r="AZ4" s="132">
        <v>73.44</v>
      </c>
      <c r="BA4" s="132">
        <v>57.120000000000005</v>
      </c>
      <c r="BB4" s="132">
        <v>64.259999999999991</v>
      </c>
      <c r="BC4" s="132">
        <v>183.6</v>
      </c>
      <c r="BD4" s="132">
        <v>64.259999999999991</v>
      </c>
      <c r="BE4" s="132">
        <v>46.038744800854062</v>
      </c>
      <c r="BF4" s="132">
        <v>87.251037207203439</v>
      </c>
      <c r="BG4" s="132">
        <v>105.74442919689214</v>
      </c>
      <c r="BH4" s="132">
        <v>94.961186750615894</v>
      </c>
      <c r="BI4" s="132">
        <v>87.893469506668453</v>
      </c>
      <c r="BJ4" s="132">
        <v>104.69319507267939</v>
      </c>
      <c r="BK4" s="132">
        <v>87.095056806286351</v>
      </c>
      <c r="BL4" s="132">
        <v>1056.3571193411997</v>
      </c>
    </row>
    <row r="5" spans="1:64">
      <c r="A5" s="305"/>
      <c r="B5" s="312"/>
      <c r="C5" s="133" t="s">
        <v>64</v>
      </c>
      <c r="D5" s="134">
        <f>D7+D9</f>
        <v>465142</v>
      </c>
      <c r="E5" s="134">
        <f t="shared" si="0"/>
        <v>434175</v>
      </c>
      <c r="F5" s="134">
        <f t="shared" si="0"/>
        <v>526613</v>
      </c>
      <c r="G5" s="134">
        <f t="shared" si="0"/>
        <v>1383182</v>
      </c>
      <c r="H5" s="134">
        <f t="shared" si="0"/>
        <v>454798</v>
      </c>
      <c r="I5" s="134">
        <f t="shared" si="0"/>
        <v>331503.44444444444</v>
      </c>
      <c r="J5" s="134">
        <f>SUM(D5:I5)</f>
        <v>3595413.4444444445</v>
      </c>
      <c r="K5" s="134">
        <f t="shared" si="0"/>
        <v>673915.7</v>
      </c>
      <c r="L5" s="134">
        <f t="shared" si="0"/>
        <v>609201.25</v>
      </c>
      <c r="M5" s="134">
        <f t="shared" si="0"/>
        <v>675550</v>
      </c>
      <c r="N5" s="134">
        <f t="shared" si="0"/>
        <v>265463.75</v>
      </c>
      <c r="O5" s="134">
        <f t="shared" si="0"/>
        <v>517410</v>
      </c>
      <c r="P5" s="134">
        <f t="shared" si="0"/>
        <v>431443.05555555556</v>
      </c>
      <c r="Q5" s="134">
        <f t="shared" ref="Q5:Q15" si="2">SUM(J5:P5)</f>
        <v>6768397.2000000002</v>
      </c>
      <c r="R5" s="165">
        <f>Q5-J5</f>
        <v>3172983.7555555557</v>
      </c>
      <c r="S5" s="155"/>
      <c r="T5" s="170">
        <f>T7+T9</f>
        <v>228260</v>
      </c>
      <c r="U5" s="134">
        <f t="shared" si="1"/>
        <v>164061</v>
      </c>
      <c r="V5" s="134">
        <f t="shared" si="1"/>
        <v>1393196.2307692308</v>
      </c>
      <c r="W5" s="134">
        <f t="shared" si="1"/>
        <v>318287</v>
      </c>
      <c r="X5" s="134">
        <f t="shared" si="1"/>
        <v>126855</v>
      </c>
      <c r="Y5" s="134">
        <f t="shared" si="1"/>
        <v>305794</v>
      </c>
      <c r="Z5" s="134">
        <f t="shared" si="1"/>
        <v>185268</v>
      </c>
      <c r="AA5" s="134">
        <f t="shared" si="1"/>
        <v>285324</v>
      </c>
      <c r="AB5" s="134">
        <f t="shared" si="1"/>
        <v>188020</v>
      </c>
      <c r="AC5" s="134">
        <f t="shared" si="1"/>
        <v>373230</v>
      </c>
      <c r="AD5" s="134">
        <f t="shared" si="1"/>
        <v>178369</v>
      </c>
      <c r="AE5" s="134">
        <f t="shared" si="1"/>
        <v>288530</v>
      </c>
      <c r="AF5" s="134">
        <f>SUM(T5:AE5)</f>
        <v>4035194.230769231</v>
      </c>
      <c r="AG5" s="160"/>
      <c r="AI5" s="305"/>
      <c r="AJ5" s="312"/>
      <c r="AK5" s="133" t="s">
        <v>64</v>
      </c>
      <c r="AL5" s="134">
        <v>465142</v>
      </c>
      <c r="AM5" s="134">
        <v>434175</v>
      </c>
      <c r="AN5" s="134">
        <v>526613</v>
      </c>
      <c r="AO5" s="134">
        <v>1383182</v>
      </c>
      <c r="AP5" s="134">
        <v>454798</v>
      </c>
      <c r="AQ5" s="134">
        <v>3263910</v>
      </c>
      <c r="AR5" s="134">
        <v>148982.76905405259</v>
      </c>
      <c r="AS5" s="134">
        <v>400537.70533358218</v>
      </c>
      <c r="AT5" s="134">
        <v>491866.0836187228</v>
      </c>
      <c r="AU5" s="134">
        <v>433835.62746004679</v>
      </c>
      <c r="AV5" s="134">
        <v>442268.55920260679</v>
      </c>
      <c r="AW5" s="134">
        <v>473836.65116287558</v>
      </c>
      <c r="AX5" s="134">
        <v>381978.4505688108</v>
      </c>
      <c r="AY5" s="134">
        <v>6037215.8464006977</v>
      </c>
      <c r="AZ5" s="134">
        <v>474444.84</v>
      </c>
      <c r="BA5" s="134">
        <v>439417.02</v>
      </c>
      <c r="BB5" s="134">
        <v>537145.26</v>
      </c>
      <c r="BC5" s="134">
        <v>1409889.9000000001</v>
      </c>
      <c r="BD5" s="134">
        <v>463893.96</v>
      </c>
      <c r="BE5" s="134">
        <v>151962.42443513364</v>
      </c>
      <c r="BF5" s="134">
        <v>408548.45944025379</v>
      </c>
      <c r="BG5" s="134">
        <v>501703.40529109724</v>
      </c>
      <c r="BH5" s="134">
        <v>442512.34000924777</v>
      </c>
      <c r="BI5" s="134">
        <v>451113.93038665893</v>
      </c>
      <c r="BJ5" s="134">
        <v>483313.38418613304</v>
      </c>
      <c r="BK5" s="134">
        <v>389618.01958018693</v>
      </c>
      <c r="BL5" s="134">
        <v>6153562.9433287112</v>
      </c>
    </row>
    <row r="6" spans="1:64">
      <c r="A6" s="305"/>
      <c r="B6" s="309" t="s">
        <v>126</v>
      </c>
      <c r="C6" s="135" t="s">
        <v>105</v>
      </c>
      <c r="D6" s="136">
        <v>16</v>
      </c>
      <c r="E6" s="136">
        <v>17</v>
      </c>
      <c r="F6" s="136">
        <v>16</v>
      </c>
      <c r="G6" s="136">
        <v>10</v>
      </c>
      <c r="H6" s="136">
        <v>14</v>
      </c>
      <c r="I6" s="136">
        <f>'PANDU IKPP'!H89</f>
        <v>11</v>
      </c>
      <c r="J6" s="132">
        <f t="shared" ref="J6:J15" si="3">SUM(D6:I6)</f>
        <v>84</v>
      </c>
      <c r="K6" s="136">
        <f>'PANDU IKPP'!I89</f>
        <v>11</v>
      </c>
      <c r="L6" s="136">
        <f>'PANDU IKPP'!J89</f>
        <v>8</v>
      </c>
      <c r="M6" s="136">
        <f>'PANDU IKPP'!K89</f>
        <v>10</v>
      </c>
      <c r="N6" s="136">
        <f>'PANDU IKPP'!L89</f>
        <v>13</v>
      </c>
      <c r="O6" s="136">
        <f>'PANDU IKPP'!M89</f>
        <v>10</v>
      </c>
      <c r="P6" s="136">
        <f>'PANDU IKPP'!N89</f>
        <v>9</v>
      </c>
      <c r="Q6" s="136">
        <f t="shared" si="2"/>
        <v>145</v>
      </c>
      <c r="R6" s="151">
        <f t="shared" ref="R6:R9" si="4">Q6-J6</f>
        <v>61</v>
      </c>
      <c r="S6" s="150"/>
      <c r="T6" s="153">
        <f>'PANDU IKPP'!W89</f>
        <v>14</v>
      </c>
      <c r="U6" s="136">
        <f>'PANDU IKPP'!X89</f>
        <v>11</v>
      </c>
      <c r="V6" s="136">
        <f>'PANDU IKPP'!Y89</f>
        <v>6</v>
      </c>
      <c r="W6" s="136">
        <f>'PANDU IKPP'!Z89</f>
        <v>8</v>
      </c>
      <c r="X6" s="136">
        <f>'PANDU IKPP'!AA89</f>
        <v>7</v>
      </c>
      <c r="Y6" s="136">
        <f>'PANDU IKPP'!AB89</f>
        <v>7</v>
      </c>
      <c r="Z6" s="136">
        <f>'PANDU IKPP'!AC89</f>
        <v>11</v>
      </c>
      <c r="AA6" s="136">
        <f>'PANDU IKPP'!AD89</f>
        <v>14</v>
      </c>
      <c r="AB6" s="136">
        <f>'PANDU IKPP'!AE89</f>
        <v>11</v>
      </c>
      <c r="AC6" s="136">
        <f>'PANDU IKPP'!AF89</f>
        <v>12</v>
      </c>
      <c r="AD6" s="136">
        <f>'PANDU IKPP'!AG89</f>
        <v>8</v>
      </c>
      <c r="AE6" s="136">
        <f>'PANDU IKPP'!AH89</f>
        <v>11</v>
      </c>
      <c r="AF6" s="136">
        <f t="shared" ref="AF6:AF15" si="5">SUM(T6:AE6)</f>
        <v>120</v>
      </c>
      <c r="AG6" s="146"/>
      <c r="AI6" s="305"/>
      <c r="AJ6" s="309" t="s">
        <v>126</v>
      </c>
      <c r="AK6" s="135" t="s">
        <v>105</v>
      </c>
      <c r="AL6" s="136">
        <v>16</v>
      </c>
      <c r="AM6" s="136">
        <v>17</v>
      </c>
      <c r="AN6" s="136">
        <v>16</v>
      </c>
      <c r="AO6" s="136">
        <v>10</v>
      </c>
      <c r="AP6" s="136">
        <v>14</v>
      </c>
      <c r="AQ6" s="136">
        <v>73</v>
      </c>
      <c r="AR6" s="136">
        <v>5.6181395823564619</v>
      </c>
      <c r="AS6" s="136">
        <v>19.191666912146765</v>
      </c>
      <c r="AT6" s="136">
        <v>21.123865338685999</v>
      </c>
      <c r="AU6" s="136">
        <v>19.528246076539773</v>
      </c>
      <c r="AV6" s="136">
        <v>19.725276976775028</v>
      </c>
      <c r="AW6" s="136">
        <v>20.039152594005621</v>
      </c>
      <c r="AX6" s="136">
        <v>16.485272710821054</v>
      </c>
      <c r="AY6" s="136">
        <v>194.7116201913307</v>
      </c>
      <c r="AZ6" s="136">
        <v>16.32</v>
      </c>
      <c r="BA6" s="136">
        <v>15.3</v>
      </c>
      <c r="BB6" s="136">
        <v>16.32</v>
      </c>
      <c r="BC6" s="136">
        <v>8.16</v>
      </c>
      <c r="BD6" s="136">
        <v>14.280000000000001</v>
      </c>
      <c r="BE6" s="136">
        <v>5.7305023740035912</v>
      </c>
      <c r="BF6" s="136">
        <v>19.575500250389702</v>
      </c>
      <c r="BG6" s="136">
        <v>21.546342645459717</v>
      </c>
      <c r="BH6" s="136">
        <v>19.918810998070569</v>
      </c>
      <c r="BI6" s="136">
        <v>20.119782516310526</v>
      </c>
      <c r="BJ6" s="136">
        <v>20.439935645885736</v>
      </c>
      <c r="BK6" s="136">
        <v>16.814978165037473</v>
      </c>
      <c r="BL6" s="136">
        <v>194.52585259515729</v>
      </c>
    </row>
    <row r="7" spans="1:64">
      <c r="A7" s="305"/>
      <c r="B7" s="310"/>
      <c r="C7" s="137" t="s">
        <v>64</v>
      </c>
      <c r="D7" s="138">
        <v>310995</v>
      </c>
      <c r="E7" s="138">
        <v>333214</v>
      </c>
      <c r="F7" s="138">
        <v>439479</v>
      </c>
      <c r="G7" s="138">
        <v>125237</v>
      </c>
      <c r="H7" s="138">
        <v>334888</v>
      </c>
      <c r="I7" s="138">
        <f>'PANDU IKPP'!H90</f>
        <v>225244.44444444444</v>
      </c>
      <c r="J7" s="155">
        <f t="shared" si="3"/>
        <v>1769057.4444444445</v>
      </c>
      <c r="K7" s="138">
        <f>D7*$K$1</f>
        <v>388743.75</v>
      </c>
      <c r="L7" s="138">
        <f t="shared" ref="L7:P7" si="6">E7*$K$1</f>
        <v>416517.5</v>
      </c>
      <c r="M7" s="138">
        <f t="shared" si="6"/>
        <v>549348.75</v>
      </c>
      <c r="N7" s="138">
        <f t="shared" si="6"/>
        <v>156546.25</v>
      </c>
      <c r="O7" s="138">
        <f t="shared" si="6"/>
        <v>418610</v>
      </c>
      <c r="P7" s="138">
        <f t="shared" si="6"/>
        <v>281555.55555555556</v>
      </c>
      <c r="Q7" s="138">
        <f>SUM(J7:P7)</f>
        <v>3980379.25</v>
      </c>
      <c r="R7" s="152">
        <f t="shared" si="4"/>
        <v>2211321.8055555555</v>
      </c>
      <c r="S7" s="150"/>
      <c r="T7" s="154">
        <f>'PANDU IKPP'!W90</f>
        <v>182605</v>
      </c>
      <c r="U7" s="138">
        <f>'PANDU IKPP'!X90</f>
        <v>95130</v>
      </c>
      <c r="V7" s="138">
        <f>'PANDU IKPP'!Y90</f>
        <v>195082</v>
      </c>
      <c r="W7" s="138">
        <f>'PANDU IKPP'!Z90</f>
        <v>260668</v>
      </c>
      <c r="X7" s="138">
        <f>'PANDU IKPP'!AA90</f>
        <v>61991</v>
      </c>
      <c r="Y7" s="138">
        <f>'PANDU IKPP'!AB90</f>
        <v>225246</v>
      </c>
      <c r="Z7" s="138">
        <f>'PANDU IKPP'!AC90</f>
        <v>88989</v>
      </c>
      <c r="AA7" s="138">
        <f>'PANDU IKPP'!AD90</f>
        <v>163604</v>
      </c>
      <c r="AB7" s="138">
        <f>'PANDU IKPP'!AE90</f>
        <v>79456</v>
      </c>
      <c r="AC7" s="138">
        <f>'PANDU IKPP'!AF90</f>
        <v>267886</v>
      </c>
      <c r="AD7" s="138">
        <f>'PANDU IKPP'!AG90</f>
        <v>71523</v>
      </c>
      <c r="AE7" s="138">
        <f>'PANDU IKPP'!AH90</f>
        <v>184924</v>
      </c>
      <c r="AF7" s="138">
        <f t="shared" si="5"/>
        <v>1877104</v>
      </c>
      <c r="AG7" s="146"/>
      <c r="AI7" s="305"/>
      <c r="AJ7" s="310"/>
      <c r="AK7" s="137" t="s">
        <v>64</v>
      </c>
      <c r="AL7" s="138">
        <v>310995</v>
      </c>
      <c r="AM7" s="138">
        <v>333214</v>
      </c>
      <c r="AN7" s="138">
        <v>439479</v>
      </c>
      <c r="AO7" s="138">
        <v>125237</v>
      </c>
      <c r="AP7" s="138">
        <v>334888</v>
      </c>
      <c r="AQ7" s="138">
        <v>1543813</v>
      </c>
      <c r="AR7" s="138">
        <v>83319.099419764854</v>
      </c>
      <c r="AS7" s="138">
        <v>279205.83696797636</v>
      </c>
      <c r="AT7" s="138">
        <v>344697.35605892492</v>
      </c>
      <c r="AU7" s="138">
        <v>292024.54503436718</v>
      </c>
      <c r="AV7" s="138">
        <v>318582.86115191365</v>
      </c>
      <c r="AW7" s="138">
        <v>327013.05404515739</v>
      </c>
      <c r="AX7" s="138">
        <v>266353.0332994113</v>
      </c>
      <c r="AY7" s="138">
        <v>3455008.7859775159</v>
      </c>
      <c r="AZ7" s="138">
        <v>317214.90000000002</v>
      </c>
      <c r="BA7" s="138">
        <v>336436.80000000005</v>
      </c>
      <c r="BB7" s="138">
        <v>448268.57999999996</v>
      </c>
      <c r="BC7" s="138">
        <v>126786</v>
      </c>
      <c r="BD7" s="138">
        <v>341585.76</v>
      </c>
      <c r="BE7" s="138">
        <v>84985.481408160151</v>
      </c>
      <c r="BF7" s="138">
        <v>284789.95370733587</v>
      </c>
      <c r="BG7" s="138">
        <v>351591.30318010342</v>
      </c>
      <c r="BH7" s="138">
        <v>297865.03593505453</v>
      </c>
      <c r="BI7" s="138">
        <v>324954.51837495191</v>
      </c>
      <c r="BJ7" s="138">
        <v>333553.31512606051</v>
      </c>
      <c r="BK7" s="138">
        <v>271680.09396539949</v>
      </c>
      <c r="BL7" s="138">
        <v>3519711.7416970665</v>
      </c>
    </row>
    <row r="8" spans="1:64">
      <c r="A8" s="305"/>
      <c r="B8" s="309" t="s">
        <v>127</v>
      </c>
      <c r="C8" s="135" t="s">
        <v>105</v>
      </c>
      <c r="D8" s="136">
        <v>56</v>
      </c>
      <c r="E8" s="136">
        <v>41</v>
      </c>
      <c r="F8" s="136">
        <v>47</v>
      </c>
      <c r="G8" s="136">
        <v>172</v>
      </c>
      <c r="H8" s="136">
        <v>49</v>
      </c>
      <c r="I8" s="136">
        <f>'PANDU IKPP'!H91</f>
        <v>26</v>
      </c>
      <c r="J8" s="132">
        <f t="shared" si="3"/>
        <v>391</v>
      </c>
      <c r="K8" s="136">
        <f>'PANDU IKPP'!I91</f>
        <v>24</v>
      </c>
      <c r="L8" s="136">
        <f>'PANDU IKPP'!J91</f>
        <v>26</v>
      </c>
      <c r="M8" s="136">
        <f>'PANDU IKPP'!K91</f>
        <v>27</v>
      </c>
      <c r="N8" s="136">
        <f>'PANDU IKPP'!L91</f>
        <v>30</v>
      </c>
      <c r="O8" s="136">
        <f>'PANDU IKPP'!M91</f>
        <v>27</v>
      </c>
      <c r="P8" s="136">
        <f>'PANDU IKPP'!N91</f>
        <v>23</v>
      </c>
      <c r="Q8" s="136">
        <f t="shared" si="2"/>
        <v>548</v>
      </c>
      <c r="R8" s="151">
        <f t="shared" si="4"/>
        <v>157</v>
      </c>
      <c r="S8" s="150"/>
      <c r="T8" s="153">
        <f>'PANDU IKPP'!W91</f>
        <v>24</v>
      </c>
      <c r="U8" s="136">
        <f>'PANDU IKPP'!X91</f>
        <v>26</v>
      </c>
      <c r="V8" s="136">
        <f>'PANDU IKPP'!Y91</f>
        <v>171</v>
      </c>
      <c r="W8" s="136">
        <f>'PANDU IKPP'!Z91</f>
        <v>28</v>
      </c>
      <c r="X8" s="136">
        <f>'PANDU IKPP'!AA91</f>
        <v>29</v>
      </c>
      <c r="Y8" s="136">
        <f>'PANDU IKPP'!AB91</f>
        <v>26</v>
      </c>
      <c r="Z8" s="136">
        <f>'PANDU IKPP'!AC91</f>
        <v>41</v>
      </c>
      <c r="AA8" s="136">
        <f>'PANDU IKPP'!AD91</f>
        <v>46</v>
      </c>
      <c r="AB8" s="136">
        <f>'PANDU IKPP'!AE91</f>
        <v>41</v>
      </c>
      <c r="AC8" s="136">
        <f>'PANDU IKPP'!AF91</f>
        <v>45</v>
      </c>
      <c r="AD8" s="136">
        <f>'PANDU IKPP'!AG91</f>
        <v>44</v>
      </c>
      <c r="AE8" s="136">
        <f>'PANDU IKPP'!AH91</f>
        <v>39</v>
      </c>
      <c r="AF8" s="136">
        <f t="shared" si="5"/>
        <v>560</v>
      </c>
      <c r="AG8" s="146"/>
      <c r="AI8" s="305"/>
      <c r="AJ8" s="309" t="s">
        <v>127</v>
      </c>
      <c r="AK8" s="135" t="s">
        <v>105</v>
      </c>
      <c r="AL8" s="136">
        <v>56</v>
      </c>
      <c r="AM8" s="136">
        <v>41</v>
      </c>
      <c r="AN8" s="136">
        <v>47</v>
      </c>
      <c r="AO8" s="136">
        <v>172</v>
      </c>
      <c r="AP8" s="136">
        <v>49</v>
      </c>
      <c r="AQ8" s="136">
        <v>365</v>
      </c>
      <c r="AR8" s="136">
        <v>39.51788473220634</v>
      </c>
      <c r="AS8" s="136">
        <v>66.348565643935032</v>
      </c>
      <c r="AT8" s="136">
        <v>82.547143677874928</v>
      </c>
      <c r="AU8" s="136">
        <v>73.570956620142468</v>
      </c>
      <c r="AV8" s="136">
        <v>66.44479116701757</v>
      </c>
      <c r="AW8" s="136">
        <v>82.601234732150644</v>
      </c>
      <c r="AX8" s="136">
        <v>68.902037883577322</v>
      </c>
      <c r="AY8" s="136">
        <v>844.93261445690428</v>
      </c>
      <c r="AZ8" s="136">
        <v>57.12</v>
      </c>
      <c r="BA8" s="136">
        <v>41.82</v>
      </c>
      <c r="BB8" s="136">
        <v>47.94</v>
      </c>
      <c r="BC8" s="136">
        <v>175.44</v>
      </c>
      <c r="BD8" s="136">
        <v>49.98</v>
      </c>
      <c r="BE8" s="136">
        <v>40.30824242685047</v>
      </c>
      <c r="BF8" s="136">
        <v>67.67553695681373</v>
      </c>
      <c r="BG8" s="136">
        <v>84.198086551432425</v>
      </c>
      <c r="BH8" s="136">
        <v>75.042375752545325</v>
      </c>
      <c r="BI8" s="136">
        <v>67.77368699035793</v>
      </c>
      <c r="BJ8" s="136">
        <v>84.253259426793647</v>
      </c>
      <c r="BK8" s="136">
        <v>70.280078641248878</v>
      </c>
      <c r="BL8" s="136">
        <v>861.83126674604262</v>
      </c>
    </row>
    <row r="9" spans="1:64">
      <c r="A9" s="306"/>
      <c r="B9" s="310"/>
      <c r="C9" s="137" t="s">
        <v>64</v>
      </c>
      <c r="D9" s="138">
        <v>154147</v>
      </c>
      <c r="E9" s="138">
        <v>100961</v>
      </c>
      <c r="F9" s="138">
        <v>87134</v>
      </c>
      <c r="G9" s="138">
        <v>1257945</v>
      </c>
      <c r="H9" s="138">
        <v>119910</v>
      </c>
      <c r="I9" s="138">
        <f>'PANDU IKPP'!H92</f>
        <v>106259</v>
      </c>
      <c r="J9" s="134">
        <f t="shared" si="3"/>
        <v>1826356</v>
      </c>
      <c r="K9" s="138">
        <f>D9*1.85</f>
        <v>285171.95</v>
      </c>
      <c r="L9" s="138">
        <f>D9*$K$1</f>
        <v>192683.75</v>
      </c>
      <c r="M9" s="138">
        <f t="shared" ref="M9:P9" si="7">E9*$K$1</f>
        <v>126201.25</v>
      </c>
      <c r="N9" s="138">
        <f t="shared" si="7"/>
        <v>108917.5</v>
      </c>
      <c r="O9" s="138">
        <f>79040*$K$1</f>
        <v>98800</v>
      </c>
      <c r="P9" s="138">
        <f t="shared" si="7"/>
        <v>149887.5</v>
      </c>
      <c r="Q9" s="138">
        <f t="shared" si="2"/>
        <v>2788017.95</v>
      </c>
      <c r="R9" s="152">
        <f t="shared" si="4"/>
        <v>961661.95000000019</v>
      </c>
      <c r="S9" s="150"/>
      <c r="T9" s="154">
        <f>'PANDU IKPP'!W92</f>
        <v>45655</v>
      </c>
      <c r="U9" s="138">
        <f>'PANDU IKPP'!X92</f>
        <v>68931</v>
      </c>
      <c r="V9" s="138">
        <f>'PANDU IKPP'!Y92</f>
        <v>1198114.2307692308</v>
      </c>
      <c r="W9" s="138">
        <f>'PANDU IKPP'!Z92</f>
        <v>57619</v>
      </c>
      <c r="X9" s="138">
        <f>'PANDU IKPP'!AA92</f>
        <v>64864</v>
      </c>
      <c r="Y9" s="138">
        <f>'PANDU IKPP'!AB92</f>
        <v>80548</v>
      </c>
      <c r="Z9" s="138">
        <f>'PANDU IKPP'!AC92</f>
        <v>96279</v>
      </c>
      <c r="AA9" s="138">
        <f>'PANDU IKPP'!AD92</f>
        <v>121720</v>
      </c>
      <c r="AB9" s="138">
        <f>'PANDU IKPP'!AE92</f>
        <v>108564</v>
      </c>
      <c r="AC9" s="138">
        <f>'PANDU IKPP'!AF92</f>
        <v>105344</v>
      </c>
      <c r="AD9" s="138">
        <f>'PANDU IKPP'!AG92</f>
        <v>106846</v>
      </c>
      <c r="AE9" s="138">
        <f>'PANDU IKPP'!AH92</f>
        <v>103606</v>
      </c>
      <c r="AF9" s="138">
        <f t="shared" si="5"/>
        <v>2158090.230769231</v>
      </c>
      <c r="AG9" s="146"/>
      <c r="AI9" s="306"/>
      <c r="AJ9" s="310"/>
      <c r="AK9" s="137" t="s">
        <v>64</v>
      </c>
      <c r="AL9" s="138">
        <v>154147</v>
      </c>
      <c r="AM9" s="138">
        <v>100961</v>
      </c>
      <c r="AN9" s="138">
        <v>87134</v>
      </c>
      <c r="AO9" s="138">
        <v>1257945</v>
      </c>
      <c r="AP9" s="138">
        <v>119910</v>
      </c>
      <c r="AQ9" s="138">
        <v>1720097</v>
      </c>
      <c r="AR9" s="138">
        <v>65663.669634287726</v>
      </c>
      <c r="AS9" s="138">
        <v>121331.86836560584</v>
      </c>
      <c r="AT9" s="138">
        <v>147168.72755979787</v>
      </c>
      <c r="AU9" s="138">
        <v>141811.08242567963</v>
      </c>
      <c r="AV9" s="138">
        <v>123685.69805069316</v>
      </c>
      <c r="AW9" s="138">
        <v>146823.59711771816</v>
      </c>
      <c r="AX9" s="138">
        <v>115625.41726939948</v>
      </c>
      <c r="AY9" s="138">
        <v>2582207.0604231819</v>
      </c>
      <c r="AZ9" s="138">
        <v>157229.94</v>
      </c>
      <c r="BA9" s="138">
        <v>102980.22</v>
      </c>
      <c r="BB9" s="138">
        <v>88876.680000000008</v>
      </c>
      <c r="BC9" s="138">
        <v>1283103.9000000001</v>
      </c>
      <c r="BD9" s="138">
        <v>122308.2</v>
      </c>
      <c r="BE9" s="138">
        <v>66976.943026973488</v>
      </c>
      <c r="BF9" s="138">
        <v>123758.50573291793</v>
      </c>
      <c r="BG9" s="138">
        <v>150112.10211099384</v>
      </c>
      <c r="BH9" s="138">
        <v>144647.30407419323</v>
      </c>
      <c r="BI9" s="138">
        <v>126159.41201170703</v>
      </c>
      <c r="BJ9" s="138">
        <v>149760.06906007256</v>
      </c>
      <c r="BK9" s="138">
        <v>117937.92561478745</v>
      </c>
      <c r="BL9" s="138">
        <v>2633851.2016316457</v>
      </c>
    </row>
    <row r="10" spans="1:64">
      <c r="A10" s="304">
        <v>2</v>
      </c>
      <c r="B10" s="307" t="s">
        <v>132</v>
      </c>
      <c r="C10" s="135" t="s">
        <v>105</v>
      </c>
      <c r="D10" s="132">
        <f>D12+D14</f>
        <v>292</v>
      </c>
      <c r="E10" s="132">
        <f t="shared" ref="E10:P11" si="8">E12+E14</f>
        <v>250</v>
      </c>
      <c r="F10" s="132">
        <f t="shared" si="8"/>
        <v>277</v>
      </c>
      <c r="G10" s="132">
        <f t="shared" si="8"/>
        <v>258</v>
      </c>
      <c r="H10" s="132">
        <f t="shared" si="8"/>
        <v>264</v>
      </c>
      <c r="I10" s="132" t="e">
        <f t="shared" si="8"/>
        <v>#REF!</v>
      </c>
      <c r="J10" s="155" t="e">
        <f t="shared" si="3"/>
        <v>#REF!</v>
      </c>
      <c r="K10" s="132" t="e">
        <f t="shared" si="8"/>
        <v>#REF!</v>
      </c>
      <c r="L10" s="132" t="e">
        <f t="shared" si="8"/>
        <v>#REF!</v>
      </c>
      <c r="M10" s="132" t="e">
        <f t="shared" si="8"/>
        <v>#REF!</v>
      </c>
      <c r="N10" s="132" t="e">
        <f t="shared" si="8"/>
        <v>#REF!</v>
      </c>
      <c r="O10" s="132" t="e">
        <f t="shared" si="8"/>
        <v>#REF!</v>
      </c>
      <c r="P10" s="132" t="e">
        <f t="shared" si="8"/>
        <v>#REF!</v>
      </c>
      <c r="Q10" s="132" t="e">
        <f t="shared" si="2"/>
        <v>#REF!</v>
      </c>
      <c r="R10" s="164"/>
      <c r="S10" s="155"/>
      <c r="T10" s="169" t="e">
        <f>T12+T14</f>
        <v>#REF!</v>
      </c>
      <c r="U10" s="132" t="e">
        <f t="shared" ref="U10:AE11" si="9">U12+U14</f>
        <v>#REF!</v>
      </c>
      <c r="V10" s="132" t="e">
        <f t="shared" si="9"/>
        <v>#REF!</v>
      </c>
      <c r="W10" s="132" t="e">
        <f t="shared" si="9"/>
        <v>#REF!</v>
      </c>
      <c r="X10" s="132" t="e">
        <f t="shared" si="9"/>
        <v>#REF!</v>
      </c>
      <c r="Y10" s="132" t="e">
        <f t="shared" si="9"/>
        <v>#REF!</v>
      </c>
      <c r="Z10" s="132" t="e">
        <f t="shared" si="9"/>
        <v>#REF!</v>
      </c>
      <c r="AA10" s="132" t="e">
        <f t="shared" si="9"/>
        <v>#REF!</v>
      </c>
      <c r="AB10" s="132" t="e">
        <f t="shared" si="9"/>
        <v>#REF!</v>
      </c>
      <c r="AC10" s="132" t="e">
        <f t="shared" si="9"/>
        <v>#REF!</v>
      </c>
      <c r="AD10" s="132" t="e">
        <f t="shared" si="9"/>
        <v>#REF!</v>
      </c>
      <c r="AE10" s="132" t="e">
        <f t="shared" si="9"/>
        <v>#REF!</v>
      </c>
      <c r="AF10" s="132" t="e">
        <f t="shared" si="5"/>
        <v>#REF!</v>
      </c>
      <c r="AG10" s="160"/>
      <c r="AI10" s="304">
        <v>2</v>
      </c>
      <c r="AJ10" s="307" t="s">
        <v>132</v>
      </c>
      <c r="AK10" s="135" t="s">
        <v>105</v>
      </c>
      <c r="AL10" s="132">
        <v>292</v>
      </c>
      <c r="AM10" s="132">
        <v>250</v>
      </c>
      <c r="AN10" s="132">
        <v>277</v>
      </c>
      <c r="AO10" s="132">
        <v>258</v>
      </c>
      <c r="AP10" s="132">
        <v>264</v>
      </c>
      <c r="AQ10" s="132">
        <v>1341</v>
      </c>
      <c r="AR10" s="132">
        <v>255</v>
      </c>
      <c r="AS10" s="132">
        <v>252</v>
      </c>
      <c r="AT10" s="132">
        <v>323.17494068993238</v>
      </c>
      <c r="AU10" s="132">
        <v>349.02572069627854</v>
      </c>
      <c r="AV10" s="132">
        <v>332.80450864113817</v>
      </c>
      <c r="AW10" s="132">
        <v>328.37651340478965</v>
      </c>
      <c r="AX10" s="132">
        <v>340.25557581126338</v>
      </c>
      <c r="AY10" s="132">
        <v>3521.6372592434022</v>
      </c>
      <c r="AZ10" s="132">
        <v>340.75999999999993</v>
      </c>
      <c r="BA10" s="132">
        <v>297.5</v>
      </c>
      <c r="BB10" s="132">
        <v>325.31</v>
      </c>
      <c r="BC10" s="132">
        <v>305.74</v>
      </c>
      <c r="BD10" s="132">
        <v>311.92</v>
      </c>
      <c r="BE10" s="132">
        <v>302.64999999999998</v>
      </c>
      <c r="BF10" s="132">
        <v>299.56</v>
      </c>
      <c r="BG10" s="132">
        <v>372.87018891063036</v>
      </c>
      <c r="BH10" s="132">
        <v>399.49649231716688</v>
      </c>
      <c r="BI10" s="132">
        <v>382.78864390037228</v>
      </c>
      <c r="BJ10" s="132">
        <v>378.2278088069333</v>
      </c>
      <c r="BK10" s="132">
        <v>390.46324308560122</v>
      </c>
      <c r="BL10" s="132">
        <v>4107.2863770207041</v>
      </c>
    </row>
    <row r="11" spans="1:64">
      <c r="A11" s="305"/>
      <c r="B11" s="308"/>
      <c r="C11" s="137" t="s">
        <v>64</v>
      </c>
      <c r="D11" s="134">
        <f>D13+D15</f>
        <v>2718105</v>
      </c>
      <c r="E11" s="134">
        <f t="shared" si="8"/>
        <v>2575912</v>
      </c>
      <c r="F11" s="134">
        <f t="shared" si="8"/>
        <v>3591621</v>
      </c>
      <c r="G11" s="134">
        <f t="shared" si="8"/>
        <v>2743511</v>
      </c>
      <c r="H11" s="134">
        <f t="shared" si="8"/>
        <v>2631934</v>
      </c>
      <c r="I11" s="134" t="e">
        <f t="shared" si="8"/>
        <v>#REF!</v>
      </c>
      <c r="J11" s="155" t="e">
        <f t="shared" si="3"/>
        <v>#REF!</v>
      </c>
      <c r="K11" s="134" t="e">
        <f t="shared" si="8"/>
        <v>#REF!</v>
      </c>
      <c r="L11" s="134" t="e">
        <f t="shared" si="8"/>
        <v>#REF!</v>
      </c>
      <c r="M11" s="134" t="e">
        <f t="shared" si="8"/>
        <v>#REF!</v>
      </c>
      <c r="N11" s="134" t="e">
        <f t="shared" si="8"/>
        <v>#REF!</v>
      </c>
      <c r="O11" s="134" t="e">
        <f t="shared" si="8"/>
        <v>#REF!</v>
      </c>
      <c r="P11" s="134" t="e">
        <f t="shared" si="8"/>
        <v>#REF!</v>
      </c>
      <c r="Q11" s="134" t="e">
        <f t="shared" si="2"/>
        <v>#REF!</v>
      </c>
      <c r="R11" s="165"/>
      <c r="S11" s="155"/>
      <c r="T11" s="170" t="e">
        <f>T13+T15</f>
        <v>#REF!</v>
      </c>
      <c r="U11" s="134" t="e">
        <f t="shared" si="9"/>
        <v>#REF!</v>
      </c>
      <c r="V11" s="134" t="e">
        <f t="shared" si="9"/>
        <v>#REF!</v>
      </c>
      <c r="W11" s="134" t="e">
        <f t="shared" si="9"/>
        <v>#REF!</v>
      </c>
      <c r="X11" s="134" t="e">
        <f t="shared" si="9"/>
        <v>#REF!</v>
      </c>
      <c r="Y11" s="134" t="e">
        <f t="shared" si="9"/>
        <v>#REF!</v>
      </c>
      <c r="Z11" s="134" t="e">
        <f t="shared" si="9"/>
        <v>#REF!</v>
      </c>
      <c r="AA11" s="134" t="e">
        <f t="shared" si="9"/>
        <v>#REF!</v>
      </c>
      <c r="AB11" s="134" t="e">
        <f t="shared" si="9"/>
        <v>#REF!</v>
      </c>
      <c r="AC11" s="134" t="e">
        <f t="shared" si="9"/>
        <v>#REF!</v>
      </c>
      <c r="AD11" s="134" t="e">
        <f t="shared" si="9"/>
        <v>#REF!</v>
      </c>
      <c r="AE11" s="134" t="e">
        <f t="shared" si="9"/>
        <v>#REF!</v>
      </c>
      <c r="AF11" s="134" t="e">
        <f t="shared" si="5"/>
        <v>#REF!</v>
      </c>
      <c r="AG11" s="160"/>
      <c r="AI11" s="305"/>
      <c r="AJ11" s="308"/>
      <c r="AK11" s="137" t="s">
        <v>64</v>
      </c>
      <c r="AL11" s="134">
        <v>2718105</v>
      </c>
      <c r="AM11" s="134">
        <v>2575912</v>
      </c>
      <c r="AN11" s="134">
        <v>3591621</v>
      </c>
      <c r="AO11" s="134">
        <v>2743511</v>
      </c>
      <c r="AP11" s="134">
        <v>2631934</v>
      </c>
      <c r="AQ11" s="134">
        <v>14261083</v>
      </c>
      <c r="AR11" s="134">
        <v>2594157</v>
      </c>
      <c r="AS11" s="134">
        <v>2512076</v>
      </c>
      <c r="AT11" s="134">
        <v>2332269.0370813049</v>
      </c>
      <c r="AU11" s="134">
        <v>2541234.5742530357</v>
      </c>
      <c r="AV11" s="134">
        <v>2290931.0689002373</v>
      </c>
      <c r="AW11" s="134">
        <v>2431265.3278055703</v>
      </c>
      <c r="AX11" s="134">
        <v>2445923.5732512027</v>
      </c>
      <c r="AY11" s="134">
        <v>31408939.581291351</v>
      </c>
      <c r="AZ11" s="134">
        <v>3044657.1833333336</v>
      </c>
      <c r="BA11" s="134">
        <v>2898198.3933333335</v>
      </c>
      <c r="BB11" s="134">
        <v>3932533.1606933335</v>
      </c>
      <c r="BC11" s="134">
        <v>3070825.3633333333</v>
      </c>
      <c r="BD11" s="134">
        <v>2955901.0533333337</v>
      </c>
      <c r="BE11" s="134">
        <v>2981634.5475858133</v>
      </c>
      <c r="BF11" s="134">
        <v>2497316.9424224459</v>
      </c>
      <c r="BG11" s="134">
        <v>2647246.1415270772</v>
      </c>
      <c r="BH11" s="134">
        <v>2862480.6448139595</v>
      </c>
      <c r="BI11" s="134">
        <v>2604668.0343005774</v>
      </c>
      <c r="BJ11" s="134">
        <v>2749212.3209730708</v>
      </c>
      <c r="BK11" s="134">
        <v>2764310.3137820722</v>
      </c>
      <c r="BL11" s="134">
        <v>35008984.099431679</v>
      </c>
    </row>
    <row r="12" spans="1:64">
      <c r="A12" s="305"/>
      <c r="B12" s="309" t="s">
        <v>126</v>
      </c>
      <c r="C12" s="135" t="s">
        <v>105</v>
      </c>
      <c r="D12" s="136">
        <v>53</v>
      </c>
      <c r="E12" s="136">
        <v>46</v>
      </c>
      <c r="F12" s="136">
        <v>63</v>
      </c>
      <c r="G12" s="136">
        <v>41</v>
      </c>
      <c r="H12" s="136">
        <v>40</v>
      </c>
      <c r="I12" s="136" t="e">
        <f>#REF!</f>
        <v>#REF!</v>
      </c>
      <c r="J12" s="132" t="e">
        <f t="shared" si="3"/>
        <v>#REF!</v>
      </c>
      <c r="K12" s="136" t="e">
        <f>#REF!</f>
        <v>#REF!</v>
      </c>
      <c r="L12" s="136" t="e">
        <f>#REF!</f>
        <v>#REF!</v>
      </c>
      <c r="M12" s="136" t="e">
        <f>#REF!</f>
        <v>#REF!</v>
      </c>
      <c r="N12" s="136" t="e">
        <f>#REF!</f>
        <v>#REF!</v>
      </c>
      <c r="O12" s="136" t="e">
        <f>#REF!</f>
        <v>#REF!</v>
      </c>
      <c r="P12" s="136" t="e">
        <f>#REF!</f>
        <v>#REF!</v>
      </c>
      <c r="Q12" s="136" t="e">
        <f t="shared" si="2"/>
        <v>#REF!</v>
      </c>
      <c r="R12" s="151"/>
      <c r="S12" s="150"/>
      <c r="T12" s="153" t="e">
        <f>#REF!</f>
        <v>#REF!</v>
      </c>
      <c r="U12" s="136" t="e">
        <f>#REF!</f>
        <v>#REF!</v>
      </c>
      <c r="V12" s="136" t="e">
        <f>#REF!</f>
        <v>#REF!</v>
      </c>
      <c r="W12" s="136" t="e">
        <f>#REF!</f>
        <v>#REF!</v>
      </c>
      <c r="X12" s="136" t="e">
        <f>#REF!</f>
        <v>#REF!</v>
      </c>
      <c r="Y12" s="136" t="e">
        <f>#REF!</f>
        <v>#REF!</v>
      </c>
      <c r="Z12" s="136" t="e">
        <f>#REF!</f>
        <v>#REF!</v>
      </c>
      <c r="AA12" s="136" t="e">
        <f>#REF!</f>
        <v>#REF!</v>
      </c>
      <c r="AB12" s="136" t="e">
        <f>#REF!</f>
        <v>#REF!</v>
      </c>
      <c r="AC12" s="136" t="e">
        <f>#REF!</f>
        <v>#REF!</v>
      </c>
      <c r="AD12" s="136" t="e">
        <f>#REF!</f>
        <v>#REF!</v>
      </c>
      <c r="AE12" s="136" t="e">
        <f>#REF!</f>
        <v>#REF!</v>
      </c>
      <c r="AF12" s="136" t="e">
        <f t="shared" si="5"/>
        <v>#REF!</v>
      </c>
      <c r="AG12" s="146"/>
      <c r="AI12" s="305"/>
      <c r="AJ12" s="309" t="s">
        <v>126</v>
      </c>
      <c r="AK12" s="135" t="s">
        <v>105</v>
      </c>
      <c r="AL12" s="136">
        <v>53</v>
      </c>
      <c r="AM12" s="136">
        <v>46</v>
      </c>
      <c r="AN12" s="136">
        <v>63</v>
      </c>
      <c r="AO12" s="136">
        <v>41</v>
      </c>
      <c r="AP12" s="136">
        <v>40</v>
      </c>
      <c r="AQ12" s="136">
        <v>243</v>
      </c>
      <c r="AR12" s="136">
        <v>42</v>
      </c>
      <c r="AS12" s="136">
        <v>48</v>
      </c>
      <c r="AT12" s="136">
        <v>58.286965031931985</v>
      </c>
      <c r="AU12" s="136">
        <v>59.604584203043338</v>
      </c>
      <c r="AV12" s="136">
        <v>59.082527378664722</v>
      </c>
      <c r="AW12" s="136">
        <v>55.547405402174036</v>
      </c>
      <c r="AX12" s="136">
        <v>57.423255494534146</v>
      </c>
      <c r="AY12" s="136">
        <v>622.9447375103482</v>
      </c>
      <c r="AZ12" s="136">
        <v>54.589999999999996</v>
      </c>
      <c r="BA12" s="136">
        <v>47.38</v>
      </c>
      <c r="BB12" s="136">
        <v>64.89</v>
      </c>
      <c r="BC12" s="136">
        <v>42.230000000000004</v>
      </c>
      <c r="BD12" s="136">
        <v>41.2</v>
      </c>
      <c r="BE12" s="136">
        <v>43.260000000000005</v>
      </c>
      <c r="BF12" s="136">
        <v>49.44</v>
      </c>
      <c r="BG12" s="136">
        <v>60.03557398288995</v>
      </c>
      <c r="BH12" s="136">
        <v>61.392721729134635</v>
      </c>
      <c r="BI12" s="136">
        <v>60.855003200024662</v>
      </c>
      <c r="BJ12" s="136">
        <v>57.213827564239253</v>
      </c>
      <c r="BK12" s="136">
        <v>59.145953159370166</v>
      </c>
      <c r="BL12" s="136">
        <v>641.63307963565865</v>
      </c>
    </row>
    <row r="13" spans="1:64">
      <c r="A13" s="305"/>
      <c r="B13" s="310"/>
      <c r="C13" s="137" t="s">
        <v>64</v>
      </c>
      <c r="D13" s="138">
        <v>1046679</v>
      </c>
      <c r="E13" s="138">
        <v>777181</v>
      </c>
      <c r="F13" s="138">
        <v>1635212</v>
      </c>
      <c r="G13" s="138">
        <v>817527</v>
      </c>
      <c r="H13" s="138">
        <v>670045</v>
      </c>
      <c r="I13" s="138" t="e">
        <f>#REF!</f>
        <v>#REF!</v>
      </c>
      <c r="J13" s="134" t="e">
        <f t="shared" si="3"/>
        <v>#REF!</v>
      </c>
      <c r="K13" s="138" t="e">
        <f>#REF!</f>
        <v>#REF!</v>
      </c>
      <c r="L13" s="138" t="e">
        <f>#REF!</f>
        <v>#REF!</v>
      </c>
      <c r="M13" s="138" t="e">
        <f>#REF!</f>
        <v>#REF!</v>
      </c>
      <c r="N13" s="138" t="e">
        <f>#REF!</f>
        <v>#REF!</v>
      </c>
      <c r="O13" s="138" t="e">
        <f>#REF!</f>
        <v>#REF!</v>
      </c>
      <c r="P13" s="138" t="e">
        <f>#REF!</f>
        <v>#REF!</v>
      </c>
      <c r="Q13" s="138" t="e">
        <f t="shared" si="2"/>
        <v>#REF!</v>
      </c>
      <c r="R13" s="152"/>
      <c r="S13" s="150"/>
      <c r="T13" s="154" t="e">
        <f>#REF!</f>
        <v>#REF!</v>
      </c>
      <c r="U13" s="138" t="e">
        <f>#REF!</f>
        <v>#REF!</v>
      </c>
      <c r="V13" s="138" t="e">
        <f>#REF!</f>
        <v>#REF!</v>
      </c>
      <c r="W13" s="138" t="e">
        <f>#REF!</f>
        <v>#REF!</v>
      </c>
      <c r="X13" s="138" t="e">
        <f>#REF!</f>
        <v>#REF!</v>
      </c>
      <c r="Y13" s="138" t="e">
        <f>#REF!</f>
        <v>#REF!</v>
      </c>
      <c r="Z13" s="138" t="e">
        <f>#REF!</f>
        <v>#REF!</v>
      </c>
      <c r="AA13" s="138" t="e">
        <f>#REF!</f>
        <v>#REF!</v>
      </c>
      <c r="AB13" s="138" t="e">
        <f>#REF!</f>
        <v>#REF!</v>
      </c>
      <c r="AC13" s="138" t="e">
        <f>#REF!</f>
        <v>#REF!</v>
      </c>
      <c r="AD13" s="138" t="e">
        <f>#REF!</f>
        <v>#REF!</v>
      </c>
      <c r="AE13" s="138" t="e">
        <f>#REF!</f>
        <v>#REF!</v>
      </c>
      <c r="AF13" s="138" t="e">
        <f t="shared" si="5"/>
        <v>#REF!</v>
      </c>
      <c r="AG13" s="146"/>
      <c r="AI13" s="305"/>
      <c r="AJ13" s="310"/>
      <c r="AK13" s="137" t="s">
        <v>64</v>
      </c>
      <c r="AL13" s="138">
        <v>1046679</v>
      </c>
      <c r="AM13" s="138">
        <v>777181</v>
      </c>
      <c r="AN13" s="138">
        <v>1635212</v>
      </c>
      <c r="AO13" s="138">
        <v>817527</v>
      </c>
      <c r="AP13" s="138">
        <v>670045</v>
      </c>
      <c r="AQ13" s="138">
        <v>4946644</v>
      </c>
      <c r="AR13" s="138">
        <v>723685</v>
      </c>
      <c r="AS13" s="138">
        <v>673088</v>
      </c>
      <c r="AT13" s="138">
        <v>771351.54450895172</v>
      </c>
      <c r="AU13" s="138">
        <v>857478.32182262675</v>
      </c>
      <c r="AV13" s="138">
        <v>669068.37988567748</v>
      </c>
      <c r="AW13" s="138">
        <v>789965.413054795</v>
      </c>
      <c r="AX13" s="138">
        <v>781963.37173376803</v>
      </c>
      <c r="AY13" s="138">
        <v>10213244.03100582</v>
      </c>
      <c r="AZ13" s="138">
        <v>1078079.3699999999</v>
      </c>
      <c r="BA13" s="138">
        <v>800496.43</v>
      </c>
      <c r="BB13" s="138">
        <v>1684268.36</v>
      </c>
      <c r="BC13" s="138">
        <v>842052.80999999982</v>
      </c>
      <c r="BD13" s="138">
        <v>690146.35</v>
      </c>
      <c r="BE13" s="138">
        <v>745395.54999999993</v>
      </c>
      <c r="BF13" s="138">
        <v>693280.64</v>
      </c>
      <c r="BG13" s="138">
        <v>794492.09084422013</v>
      </c>
      <c r="BH13" s="138">
        <v>883202.6714773057</v>
      </c>
      <c r="BI13" s="138">
        <v>689140.43128224777</v>
      </c>
      <c r="BJ13" s="138">
        <v>813664.37544643891</v>
      </c>
      <c r="BK13" s="138">
        <v>805422.27288578101</v>
      </c>
      <c r="BL13" s="138">
        <v>10519641.351935992</v>
      </c>
    </row>
    <row r="14" spans="1:64">
      <c r="A14" s="305"/>
      <c r="B14" s="309" t="s">
        <v>127</v>
      </c>
      <c r="C14" s="135" t="s">
        <v>105</v>
      </c>
      <c r="D14" s="136">
        <v>239</v>
      </c>
      <c r="E14" s="136">
        <v>204</v>
      </c>
      <c r="F14" s="136">
        <v>214</v>
      </c>
      <c r="G14" s="136">
        <v>217</v>
      </c>
      <c r="H14" s="136">
        <v>224</v>
      </c>
      <c r="I14" s="136" t="e">
        <f>#REF!</f>
        <v>#REF!</v>
      </c>
      <c r="J14" s="155" t="e">
        <f t="shared" si="3"/>
        <v>#REF!</v>
      </c>
      <c r="K14" s="136" t="e">
        <f>#REF!</f>
        <v>#REF!</v>
      </c>
      <c r="L14" s="136" t="e">
        <f>#REF!</f>
        <v>#REF!</v>
      </c>
      <c r="M14" s="136" t="e">
        <f>#REF!</f>
        <v>#REF!</v>
      </c>
      <c r="N14" s="136" t="e">
        <f>#REF!</f>
        <v>#REF!</v>
      </c>
      <c r="O14" s="136" t="e">
        <f>#REF!</f>
        <v>#REF!</v>
      </c>
      <c r="P14" s="136" t="e">
        <f>#REF!</f>
        <v>#REF!</v>
      </c>
      <c r="Q14" s="136" t="e">
        <f t="shared" si="2"/>
        <v>#REF!</v>
      </c>
      <c r="R14" s="151"/>
      <c r="S14" s="150"/>
      <c r="T14" s="153" t="e">
        <f>#REF!</f>
        <v>#REF!</v>
      </c>
      <c r="U14" s="136" t="e">
        <f>#REF!</f>
        <v>#REF!</v>
      </c>
      <c r="V14" s="136" t="e">
        <f>#REF!</f>
        <v>#REF!</v>
      </c>
      <c r="W14" s="136" t="e">
        <f>#REF!</f>
        <v>#REF!</v>
      </c>
      <c r="X14" s="136" t="e">
        <f>#REF!</f>
        <v>#REF!</v>
      </c>
      <c r="Y14" s="136" t="e">
        <f>#REF!</f>
        <v>#REF!</v>
      </c>
      <c r="Z14" s="136" t="e">
        <f>#REF!</f>
        <v>#REF!</v>
      </c>
      <c r="AA14" s="136" t="e">
        <f>#REF!</f>
        <v>#REF!</v>
      </c>
      <c r="AB14" s="136" t="e">
        <f>#REF!</f>
        <v>#REF!</v>
      </c>
      <c r="AC14" s="136" t="e">
        <f>#REF!</f>
        <v>#REF!</v>
      </c>
      <c r="AD14" s="136" t="e">
        <f>#REF!</f>
        <v>#REF!</v>
      </c>
      <c r="AE14" s="136" t="e">
        <f>#REF!</f>
        <v>#REF!</v>
      </c>
      <c r="AF14" s="136" t="e">
        <f t="shared" si="5"/>
        <v>#REF!</v>
      </c>
      <c r="AG14" s="146"/>
      <c r="AI14" s="305"/>
      <c r="AJ14" s="309" t="s">
        <v>127</v>
      </c>
      <c r="AK14" s="135" t="s">
        <v>105</v>
      </c>
      <c r="AL14" s="136">
        <v>239</v>
      </c>
      <c r="AM14" s="136">
        <v>204</v>
      </c>
      <c r="AN14" s="136">
        <v>214</v>
      </c>
      <c r="AO14" s="136">
        <v>217</v>
      </c>
      <c r="AP14" s="136">
        <v>224</v>
      </c>
      <c r="AQ14" s="136">
        <v>1098</v>
      </c>
      <c r="AR14" s="136">
        <v>213</v>
      </c>
      <c r="AS14" s="136">
        <v>204</v>
      </c>
      <c r="AT14" s="136">
        <v>264.88797565800041</v>
      </c>
      <c r="AU14" s="136">
        <v>289.42113649323522</v>
      </c>
      <c r="AV14" s="136">
        <v>273.72198126247343</v>
      </c>
      <c r="AW14" s="136">
        <v>272.82910800261561</v>
      </c>
      <c r="AX14" s="136">
        <v>282.83232031672924</v>
      </c>
      <c r="AY14" s="136">
        <v>2898.692521733054</v>
      </c>
      <c r="AZ14" s="136">
        <v>286.16999999999996</v>
      </c>
      <c r="BA14" s="136">
        <v>250.12</v>
      </c>
      <c r="BB14" s="136">
        <v>260.42</v>
      </c>
      <c r="BC14" s="136">
        <v>263.51</v>
      </c>
      <c r="BD14" s="136">
        <v>270.72000000000003</v>
      </c>
      <c r="BE14" s="136">
        <v>259.39</v>
      </c>
      <c r="BF14" s="136">
        <v>250.12</v>
      </c>
      <c r="BG14" s="136">
        <v>312.8346149277404</v>
      </c>
      <c r="BH14" s="136">
        <v>338.10377058803226</v>
      </c>
      <c r="BI14" s="136">
        <v>321.93364070034761</v>
      </c>
      <c r="BJ14" s="136">
        <v>321.01398124269406</v>
      </c>
      <c r="BK14" s="136">
        <v>331.31728992623107</v>
      </c>
      <c r="BL14" s="136">
        <v>3465.6532973850453</v>
      </c>
    </row>
    <row r="15" spans="1:64">
      <c r="A15" s="306"/>
      <c r="B15" s="310"/>
      <c r="C15" s="137" t="s">
        <v>64</v>
      </c>
      <c r="D15" s="138">
        <v>1671426</v>
      </c>
      <c r="E15" s="138">
        <v>1798731</v>
      </c>
      <c r="F15" s="138">
        <v>1956409</v>
      </c>
      <c r="G15" s="138">
        <v>1925984</v>
      </c>
      <c r="H15" s="138">
        <v>1961889</v>
      </c>
      <c r="I15" s="138" t="e">
        <f>#REF!</f>
        <v>#REF!</v>
      </c>
      <c r="J15" s="134" t="e">
        <f t="shared" si="3"/>
        <v>#REF!</v>
      </c>
      <c r="K15" s="138" t="e">
        <f>#REF!</f>
        <v>#REF!</v>
      </c>
      <c r="L15" s="138" t="e">
        <f>#REF!</f>
        <v>#REF!</v>
      </c>
      <c r="M15" s="138" t="e">
        <f>#REF!</f>
        <v>#REF!</v>
      </c>
      <c r="N15" s="138" t="e">
        <f>#REF!</f>
        <v>#REF!</v>
      </c>
      <c r="O15" s="138" t="e">
        <f>#REF!</f>
        <v>#REF!</v>
      </c>
      <c r="P15" s="138" t="e">
        <f>#REF!</f>
        <v>#REF!</v>
      </c>
      <c r="Q15" s="138" t="e">
        <f t="shared" si="2"/>
        <v>#REF!</v>
      </c>
      <c r="R15" s="152"/>
      <c r="S15" s="150"/>
      <c r="T15" s="154" t="e">
        <f>#REF!</f>
        <v>#REF!</v>
      </c>
      <c r="U15" s="138" t="e">
        <f>#REF!</f>
        <v>#REF!</v>
      </c>
      <c r="V15" s="138" t="e">
        <f>#REF!</f>
        <v>#REF!</v>
      </c>
      <c r="W15" s="138" t="e">
        <f>#REF!</f>
        <v>#REF!</v>
      </c>
      <c r="X15" s="138" t="e">
        <f>#REF!</f>
        <v>#REF!</v>
      </c>
      <c r="Y15" s="138" t="e">
        <f>#REF!</f>
        <v>#REF!</v>
      </c>
      <c r="Z15" s="138" t="e">
        <f>#REF!</f>
        <v>#REF!</v>
      </c>
      <c r="AA15" s="138" t="e">
        <f>#REF!</f>
        <v>#REF!</v>
      </c>
      <c r="AB15" s="138" t="e">
        <f>#REF!</f>
        <v>#REF!</v>
      </c>
      <c r="AC15" s="138" t="e">
        <f>#REF!</f>
        <v>#REF!</v>
      </c>
      <c r="AD15" s="138" t="e">
        <f>#REF!</f>
        <v>#REF!</v>
      </c>
      <c r="AE15" s="138" t="e">
        <f>#REF!</f>
        <v>#REF!</v>
      </c>
      <c r="AF15" s="138" t="e">
        <f t="shared" si="5"/>
        <v>#REF!</v>
      </c>
      <c r="AG15" s="146"/>
      <c r="AI15" s="306"/>
      <c r="AJ15" s="310"/>
      <c r="AK15" s="137" t="s">
        <v>64</v>
      </c>
      <c r="AL15" s="138">
        <v>1671426</v>
      </c>
      <c r="AM15" s="138">
        <v>1798731</v>
      </c>
      <c r="AN15" s="138">
        <v>1956409</v>
      </c>
      <c r="AO15" s="138">
        <v>1925984</v>
      </c>
      <c r="AP15" s="138">
        <v>1961889</v>
      </c>
      <c r="AQ15" s="138">
        <v>9314439</v>
      </c>
      <c r="AR15" s="138">
        <v>1870472</v>
      </c>
      <c r="AS15" s="138">
        <v>1838988</v>
      </c>
      <c r="AT15" s="138">
        <v>1560917.4925723532</v>
      </c>
      <c r="AU15" s="138">
        <v>1683756.2524304087</v>
      </c>
      <c r="AV15" s="138">
        <v>1621862.6890145598</v>
      </c>
      <c r="AW15" s="138">
        <v>1641299.9147507753</v>
      </c>
      <c r="AX15" s="138">
        <v>1663960.2015174348</v>
      </c>
      <c r="AY15" s="138">
        <v>21195695.550285533</v>
      </c>
      <c r="AZ15" s="138">
        <v>1966577.8133333335</v>
      </c>
      <c r="BA15" s="138">
        <v>2097701.9633333334</v>
      </c>
      <c r="BB15" s="138">
        <v>2248264.8006933336</v>
      </c>
      <c r="BC15" s="138">
        <v>2228772.5533333332</v>
      </c>
      <c r="BD15" s="138">
        <v>2265754.7033333336</v>
      </c>
      <c r="BE15" s="138">
        <v>2236238.9975858135</v>
      </c>
      <c r="BF15" s="138">
        <v>1804036.302422446</v>
      </c>
      <c r="BG15" s="138">
        <v>1852754.0506828572</v>
      </c>
      <c r="BH15" s="138">
        <v>1979277.973336654</v>
      </c>
      <c r="BI15" s="138">
        <v>1915527.6030183297</v>
      </c>
      <c r="BJ15" s="138">
        <v>1935547.945526632</v>
      </c>
      <c r="BK15" s="138">
        <v>1958888.0408962911</v>
      </c>
      <c r="BL15" s="138">
        <v>24489342.747495692</v>
      </c>
    </row>
    <row r="16" spans="1:64">
      <c r="A16" s="301" t="s">
        <v>130</v>
      </c>
      <c r="B16" s="301"/>
      <c r="C16" s="139" t="s">
        <v>105</v>
      </c>
      <c r="D16" s="140">
        <f t="shared" ref="D16:P17" si="10">D4+D10</f>
        <v>364</v>
      </c>
      <c r="E16" s="140">
        <f t="shared" si="10"/>
        <v>308</v>
      </c>
      <c r="F16" s="140">
        <f t="shared" si="10"/>
        <v>340</v>
      </c>
      <c r="G16" s="140">
        <f t="shared" si="10"/>
        <v>440</v>
      </c>
      <c r="H16" s="140">
        <f t="shared" si="10"/>
        <v>327</v>
      </c>
      <c r="I16" s="140" t="e">
        <f t="shared" si="10"/>
        <v>#REF!</v>
      </c>
      <c r="J16" s="140" t="e">
        <f>SUM(D16:I16)</f>
        <v>#REF!</v>
      </c>
      <c r="K16" s="140" t="e">
        <f t="shared" si="10"/>
        <v>#REF!</v>
      </c>
      <c r="L16" s="140" t="e">
        <f t="shared" si="10"/>
        <v>#REF!</v>
      </c>
      <c r="M16" s="140" t="e">
        <f t="shared" si="10"/>
        <v>#REF!</v>
      </c>
      <c r="N16" s="140" t="e">
        <f t="shared" si="10"/>
        <v>#REF!</v>
      </c>
      <c r="O16" s="140" t="e">
        <f t="shared" si="10"/>
        <v>#REF!</v>
      </c>
      <c r="P16" s="140" t="e">
        <f t="shared" si="10"/>
        <v>#REF!</v>
      </c>
      <c r="Q16" s="140" t="e">
        <f>SUM(I16:P16)</f>
        <v>#REF!</v>
      </c>
      <c r="R16" s="166"/>
      <c r="S16" s="155"/>
      <c r="T16" s="171" t="e">
        <f t="shared" ref="T16:AE17" si="11">T4+T10</f>
        <v>#REF!</v>
      </c>
      <c r="U16" s="140" t="e">
        <f t="shared" si="11"/>
        <v>#REF!</v>
      </c>
      <c r="V16" s="140" t="e">
        <f t="shared" si="11"/>
        <v>#REF!</v>
      </c>
      <c r="W16" s="140" t="e">
        <f t="shared" si="11"/>
        <v>#REF!</v>
      </c>
      <c r="X16" s="140" t="e">
        <f t="shared" si="11"/>
        <v>#REF!</v>
      </c>
      <c r="Y16" s="140" t="e">
        <f t="shared" si="11"/>
        <v>#REF!</v>
      </c>
      <c r="Z16" s="140" t="e">
        <f t="shared" si="11"/>
        <v>#REF!</v>
      </c>
      <c r="AA16" s="140" t="e">
        <f t="shared" si="11"/>
        <v>#REF!</v>
      </c>
      <c r="AB16" s="140" t="e">
        <f t="shared" si="11"/>
        <v>#REF!</v>
      </c>
      <c r="AC16" s="140" t="e">
        <f t="shared" si="11"/>
        <v>#REF!</v>
      </c>
      <c r="AD16" s="140" t="e">
        <f t="shared" si="11"/>
        <v>#REF!</v>
      </c>
      <c r="AE16" s="140" t="e">
        <f t="shared" si="11"/>
        <v>#REF!</v>
      </c>
      <c r="AF16" s="140" t="e">
        <f>SUM(T16:AE16)</f>
        <v>#REF!</v>
      </c>
      <c r="AG16" s="161"/>
      <c r="AI16" s="301" t="s">
        <v>130</v>
      </c>
      <c r="AJ16" s="301"/>
      <c r="AK16" s="139" t="s">
        <v>105</v>
      </c>
      <c r="AL16" s="140">
        <v>364</v>
      </c>
      <c r="AM16" s="140">
        <v>308</v>
      </c>
      <c r="AN16" s="140">
        <v>340</v>
      </c>
      <c r="AO16" s="140">
        <v>440</v>
      </c>
      <c r="AP16" s="140">
        <v>327</v>
      </c>
      <c r="AQ16" s="140">
        <v>1779</v>
      </c>
      <c r="AR16" s="140">
        <v>300.1360243145628</v>
      </c>
      <c r="AS16" s="140">
        <v>337.54023255608183</v>
      </c>
      <c r="AT16" s="140">
        <v>426.84594970649334</v>
      </c>
      <c r="AU16" s="140">
        <v>442.1249233929608</v>
      </c>
      <c r="AV16" s="140">
        <v>418.97457678493078</v>
      </c>
      <c r="AW16" s="140">
        <v>431.01690073094591</v>
      </c>
      <c r="AX16" s="140">
        <v>425.64288640566178</v>
      </c>
      <c r="AY16" s="140">
        <v>4561.2814938916363</v>
      </c>
      <c r="AZ16" s="140">
        <v>414.19999999999993</v>
      </c>
      <c r="BA16" s="140">
        <v>354.62</v>
      </c>
      <c r="BB16" s="140">
        <v>389.57</v>
      </c>
      <c r="BC16" s="140">
        <v>489.34000000000003</v>
      </c>
      <c r="BD16" s="140">
        <v>376.18</v>
      </c>
      <c r="BE16" s="140">
        <v>348.68874480085401</v>
      </c>
      <c r="BF16" s="140">
        <v>386.81103720720341</v>
      </c>
      <c r="BG16" s="140">
        <v>478.61461810752252</v>
      </c>
      <c r="BH16" s="140">
        <v>494.45767906778281</v>
      </c>
      <c r="BI16" s="140">
        <v>470.68211340704073</v>
      </c>
      <c r="BJ16" s="140">
        <v>482.92100387961267</v>
      </c>
      <c r="BK16" s="140">
        <v>477.5582998918876</v>
      </c>
      <c r="BL16" s="140">
        <v>5163.6434963619031</v>
      </c>
    </row>
    <row r="17" spans="1:64">
      <c r="A17" s="302"/>
      <c r="B17" s="302"/>
      <c r="C17" s="141" t="s">
        <v>64</v>
      </c>
      <c r="D17" s="142">
        <f t="shared" si="10"/>
        <v>3183247</v>
      </c>
      <c r="E17" s="142">
        <f t="shared" si="10"/>
        <v>3010087</v>
      </c>
      <c r="F17" s="142">
        <f t="shared" si="10"/>
        <v>4118234</v>
      </c>
      <c r="G17" s="142">
        <f t="shared" si="10"/>
        <v>4126693</v>
      </c>
      <c r="H17" s="142">
        <f t="shared" si="10"/>
        <v>3086732</v>
      </c>
      <c r="I17" s="142" t="e">
        <f t="shared" si="10"/>
        <v>#REF!</v>
      </c>
      <c r="J17" s="142" t="e">
        <f>SUM(D17:I17)</f>
        <v>#REF!</v>
      </c>
      <c r="K17" s="142" t="e">
        <f t="shared" si="10"/>
        <v>#REF!</v>
      </c>
      <c r="L17" s="142" t="e">
        <f t="shared" si="10"/>
        <v>#REF!</v>
      </c>
      <c r="M17" s="142" t="e">
        <f t="shared" si="10"/>
        <v>#REF!</v>
      </c>
      <c r="N17" s="142" t="e">
        <f t="shared" si="10"/>
        <v>#REF!</v>
      </c>
      <c r="O17" s="142" t="e">
        <f t="shared" si="10"/>
        <v>#REF!</v>
      </c>
      <c r="P17" s="142" t="e">
        <f t="shared" si="10"/>
        <v>#REF!</v>
      </c>
      <c r="Q17" s="142" t="e">
        <f>SUM(I17:P17)</f>
        <v>#REF!</v>
      </c>
      <c r="R17" s="167"/>
      <c r="S17" s="155"/>
      <c r="T17" s="172" t="e">
        <f t="shared" si="11"/>
        <v>#REF!</v>
      </c>
      <c r="U17" s="142" t="e">
        <f t="shared" si="11"/>
        <v>#REF!</v>
      </c>
      <c r="V17" s="142" t="e">
        <f t="shared" si="11"/>
        <v>#REF!</v>
      </c>
      <c r="W17" s="142" t="e">
        <f t="shared" si="11"/>
        <v>#REF!</v>
      </c>
      <c r="X17" s="142" t="e">
        <f t="shared" si="11"/>
        <v>#REF!</v>
      </c>
      <c r="Y17" s="142" t="e">
        <f t="shared" si="11"/>
        <v>#REF!</v>
      </c>
      <c r="Z17" s="142" t="e">
        <f t="shared" si="11"/>
        <v>#REF!</v>
      </c>
      <c r="AA17" s="142" t="e">
        <f t="shared" si="11"/>
        <v>#REF!</v>
      </c>
      <c r="AB17" s="142" t="e">
        <f t="shared" si="11"/>
        <v>#REF!</v>
      </c>
      <c r="AC17" s="142" t="e">
        <f t="shared" si="11"/>
        <v>#REF!</v>
      </c>
      <c r="AD17" s="142" t="e">
        <f t="shared" si="11"/>
        <v>#REF!</v>
      </c>
      <c r="AE17" s="142" t="e">
        <f t="shared" si="11"/>
        <v>#REF!</v>
      </c>
      <c r="AF17" s="142" t="e">
        <f>SUM(T17:AE17)</f>
        <v>#REF!</v>
      </c>
      <c r="AG17" s="161"/>
      <c r="AI17" s="302"/>
      <c r="AJ17" s="302"/>
      <c r="AK17" s="141" t="s">
        <v>64</v>
      </c>
      <c r="AL17" s="142">
        <v>3183247</v>
      </c>
      <c r="AM17" s="142">
        <v>3010087</v>
      </c>
      <c r="AN17" s="142">
        <v>4118234</v>
      </c>
      <c r="AO17" s="142">
        <v>4126693</v>
      </c>
      <c r="AP17" s="142">
        <v>3086732</v>
      </c>
      <c r="AQ17" s="142">
        <v>17524993</v>
      </c>
      <c r="AR17" s="142">
        <v>2743139.7690540524</v>
      </c>
      <c r="AS17" s="142">
        <v>2912613.7053335821</v>
      </c>
      <c r="AT17" s="142">
        <v>2824135.1207000278</v>
      </c>
      <c r="AU17" s="142">
        <v>2975070.2017130824</v>
      </c>
      <c r="AV17" s="142">
        <v>2733199.6281028441</v>
      </c>
      <c r="AW17" s="142">
        <v>2905101.9789684461</v>
      </c>
      <c r="AX17" s="142">
        <v>2827902.0238200137</v>
      </c>
      <c r="AY17" s="142">
        <v>37446155.427692048</v>
      </c>
      <c r="AZ17" s="142">
        <v>3519102.0233333334</v>
      </c>
      <c r="BA17" s="142">
        <v>3337615.4133333336</v>
      </c>
      <c r="BB17" s="142">
        <v>4469678.4206933333</v>
      </c>
      <c r="BC17" s="142">
        <v>4480715.2633333337</v>
      </c>
      <c r="BD17" s="142">
        <v>3419795.0133333337</v>
      </c>
      <c r="BE17" s="142">
        <v>3133596.9720209469</v>
      </c>
      <c r="BF17" s="142">
        <v>2905865.4018626995</v>
      </c>
      <c r="BG17" s="142">
        <v>3148949.5468181744</v>
      </c>
      <c r="BH17" s="142">
        <v>3304992.9848232074</v>
      </c>
      <c r="BI17" s="142">
        <v>3055781.9646872361</v>
      </c>
      <c r="BJ17" s="142">
        <v>3232525.7051592041</v>
      </c>
      <c r="BK17" s="142">
        <v>3153928.333362259</v>
      </c>
      <c r="BL17" s="142">
        <v>41162547.042760395</v>
      </c>
    </row>
    <row r="20" spans="1:64">
      <c r="J20" s="146">
        <v>2254947.7690540501</v>
      </c>
      <c r="K20" s="128">
        <f>J20*1.25</f>
        <v>2818684.7113175625</v>
      </c>
      <c r="R20" s="157">
        <f>R5/J5</f>
        <v>0.88250873079934156</v>
      </c>
      <c r="S20" s="174"/>
    </row>
    <row r="21" spans="1:64">
      <c r="J21" s="156">
        <f>G9/J5</f>
        <v>0.34987492243590218</v>
      </c>
      <c r="Q21" s="146">
        <f>R5-J20</f>
        <v>918035.9865015056</v>
      </c>
      <c r="R21" s="156">
        <f>R5/J20</f>
        <v>1.4071207320631738</v>
      </c>
      <c r="S21" s="175"/>
    </row>
    <row r="23" spans="1:64">
      <c r="B23" s="126" t="s">
        <v>141</v>
      </c>
    </row>
    <row r="24" spans="1:64" ht="14.4">
      <c r="A24" s="162">
        <v>1</v>
      </c>
      <c r="B24" t="s">
        <v>138</v>
      </c>
    </row>
    <row r="25" spans="1:64">
      <c r="A25" s="162">
        <v>2</v>
      </c>
      <c r="B25" s="126" t="s">
        <v>139</v>
      </c>
    </row>
    <row r="26" spans="1:64">
      <c r="A26" s="162">
        <v>3</v>
      </c>
      <c r="B26" s="126" t="s">
        <v>140</v>
      </c>
    </row>
    <row r="27" spans="1:64">
      <c r="A27" s="162"/>
      <c r="B27" s="303"/>
      <c r="C27" s="303"/>
      <c r="D27" s="303"/>
      <c r="E27" s="303"/>
      <c r="F27" s="303"/>
      <c r="G27" s="303"/>
    </row>
    <row r="28" spans="1:64">
      <c r="B28" s="303"/>
      <c r="C28" s="303"/>
      <c r="D28" s="303"/>
      <c r="E28" s="303"/>
      <c r="F28" s="303"/>
      <c r="G28" s="303"/>
    </row>
  </sheetData>
  <mergeCells count="20">
    <mergeCell ref="T2:AF2"/>
    <mergeCell ref="A4:A9"/>
    <mergeCell ref="B4:B5"/>
    <mergeCell ref="AI4:AI9"/>
    <mergeCell ref="AJ4:AJ5"/>
    <mergeCell ref="B6:B7"/>
    <mergeCell ref="AJ6:AJ7"/>
    <mergeCell ref="B8:B9"/>
    <mergeCell ref="AJ8:AJ9"/>
    <mergeCell ref="A16:B17"/>
    <mergeCell ref="AI16:AJ17"/>
    <mergeCell ref="B27:G28"/>
    <mergeCell ref="A10:A15"/>
    <mergeCell ref="B10:B11"/>
    <mergeCell ref="AI10:AI15"/>
    <mergeCell ref="AJ10:AJ11"/>
    <mergeCell ref="B12:B13"/>
    <mergeCell ref="AJ12:AJ13"/>
    <mergeCell ref="B14:B15"/>
    <mergeCell ref="AJ14:AJ15"/>
  </mergeCells>
  <pageMargins left="0.51181102362204722" right="0.31496062992125984" top="0.55118110236220474" bottom="0.55118110236220474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B1:AV59"/>
  <sheetViews>
    <sheetView showGridLines="0" tabSelected="1" topLeftCell="A19" zoomScale="90" zoomScaleNormal="90" zoomScaleSheetLayoutView="90" workbookViewId="0">
      <selection activeCell="I56" sqref="I56"/>
    </sheetView>
  </sheetViews>
  <sheetFormatPr defaultRowHeight="14.4" outlineLevelCol="1"/>
  <cols>
    <col min="1" max="1" width="3" customWidth="1"/>
    <col min="2" max="2" width="12.6640625" customWidth="1"/>
    <col min="3" max="3" width="8.109375" bestFit="1" customWidth="1"/>
    <col min="4" max="4" width="12.33203125" customWidth="1"/>
    <col min="5" max="6" width="17.33203125" bestFit="1" customWidth="1"/>
    <col min="7" max="7" width="17.33203125" customWidth="1"/>
    <col min="8" max="8" width="20.109375" bestFit="1" customWidth="1"/>
    <col min="9" max="10" width="17.33203125" customWidth="1"/>
    <col min="11" max="12" width="8" bestFit="1" customWidth="1"/>
    <col min="13" max="13" width="7.77734375" bestFit="1" customWidth="1"/>
    <col min="14" max="14" width="18.88671875" bestFit="1" customWidth="1"/>
    <col min="15" max="15" width="17.33203125" style="73" customWidth="1"/>
    <col min="16" max="16" width="14.88671875" hidden="1" customWidth="1"/>
    <col min="17" max="17" width="6.5546875" hidden="1" customWidth="1"/>
    <col min="18" max="18" width="9.6640625" hidden="1" customWidth="1"/>
    <col min="19" max="30" width="12.33203125" hidden="1" customWidth="1" outlineLevel="1"/>
    <col min="31" max="31" width="13.44140625" style="124" hidden="1" customWidth="1" collapsed="1"/>
    <col min="32" max="33" width="9.109375" hidden="1" customWidth="1"/>
    <col min="34" max="45" width="12.33203125" hidden="1" customWidth="1" outlineLevel="1"/>
    <col min="46" max="46" width="13.44140625" style="124" hidden="1" customWidth="1" collapsed="1"/>
  </cols>
  <sheetData>
    <row r="1" spans="2:46" hidden="1">
      <c r="N1" t="s">
        <v>106</v>
      </c>
      <c r="P1" s="318" t="s">
        <v>121</v>
      </c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H1" s="318"/>
      <c r="AI1" s="318"/>
      <c r="AJ1" s="318"/>
      <c r="AK1" s="318"/>
      <c r="AL1" s="318"/>
      <c r="AM1" s="318"/>
      <c r="AN1" s="318"/>
      <c r="AO1" s="318"/>
      <c r="AP1" s="318"/>
      <c r="AQ1" s="318"/>
      <c r="AR1" s="318"/>
      <c r="AS1" s="318"/>
      <c r="AT1" s="318"/>
    </row>
    <row r="2" spans="2:46" hidden="1">
      <c r="N2" s="149">
        <v>3.5000000000000003E-2</v>
      </c>
      <c r="O2" s="73" t="s">
        <v>15</v>
      </c>
      <c r="P2" s="300" t="s">
        <v>100</v>
      </c>
      <c r="Q2" s="300"/>
      <c r="R2" s="300"/>
      <c r="S2" s="79" t="s">
        <v>38</v>
      </c>
      <c r="T2" s="79" t="s">
        <v>39</v>
      </c>
      <c r="U2" s="79" t="s">
        <v>40</v>
      </c>
      <c r="V2" s="79" t="s">
        <v>41</v>
      </c>
      <c r="W2" s="79" t="s">
        <v>42</v>
      </c>
      <c r="X2" s="79" t="s">
        <v>43</v>
      </c>
      <c r="Y2" s="79" t="s">
        <v>44</v>
      </c>
      <c r="Z2" s="79" t="s">
        <v>45</v>
      </c>
      <c r="AA2" s="79" t="s">
        <v>46</v>
      </c>
      <c r="AB2" s="79" t="s">
        <v>47</v>
      </c>
      <c r="AC2" s="79" t="s">
        <v>48</v>
      </c>
      <c r="AD2" s="79" t="s">
        <v>49</v>
      </c>
      <c r="AE2" s="79" t="s">
        <v>95</v>
      </c>
      <c r="AH2" s="79" t="s">
        <v>38</v>
      </c>
      <c r="AI2" s="79" t="s">
        <v>39</v>
      </c>
      <c r="AJ2" s="79" t="s">
        <v>40</v>
      </c>
      <c r="AK2" s="79" t="s">
        <v>41</v>
      </c>
      <c r="AL2" s="79" t="s">
        <v>42</v>
      </c>
      <c r="AM2" s="79" t="s">
        <v>43</v>
      </c>
      <c r="AN2" s="79" t="s">
        <v>44</v>
      </c>
      <c r="AO2" s="79" t="s">
        <v>45</v>
      </c>
      <c r="AP2" s="79" t="s">
        <v>46</v>
      </c>
      <c r="AQ2" s="79" t="s">
        <v>47</v>
      </c>
      <c r="AR2" s="79" t="s">
        <v>48</v>
      </c>
      <c r="AS2" s="79" t="s">
        <v>49</v>
      </c>
      <c r="AT2" s="79" t="s">
        <v>95</v>
      </c>
    </row>
    <row r="3" spans="2:46" hidden="1">
      <c r="B3" s="1" t="s">
        <v>0</v>
      </c>
      <c r="N3" s="149">
        <v>3.5000000000000003E-2</v>
      </c>
      <c r="O3" s="73" t="s">
        <v>22</v>
      </c>
      <c r="P3" s="298" t="s">
        <v>103</v>
      </c>
      <c r="Q3" s="299" t="s">
        <v>101</v>
      </c>
      <c r="R3" s="88" t="s">
        <v>105</v>
      </c>
      <c r="S3" s="80">
        <f>'PANDU IKPP'!C79</f>
        <v>32</v>
      </c>
      <c r="T3" s="80">
        <f>'PANDU IKPP'!D79</f>
        <v>37</v>
      </c>
      <c r="U3" s="80">
        <f>'PANDU IKPP'!E79</f>
        <v>159</v>
      </c>
      <c r="V3" s="80">
        <f>'PANDU IKPP'!F79</f>
        <v>39</v>
      </c>
      <c r="W3" s="80">
        <f>'PANDU IKPP'!G79</f>
        <v>34</v>
      </c>
      <c r="X3" s="80">
        <f>'PANDU IKPP'!H79</f>
        <v>37</v>
      </c>
      <c r="Y3" s="80">
        <f>'PANDU IKPP'!I79</f>
        <v>35</v>
      </c>
      <c r="Z3" s="80">
        <f>'PANDU IKPP'!J79</f>
        <v>34</v>
      </c>
      <c r="AA3" s="80">
        <f>'PANDU IKPP'!K79</f>
        <v>37</v>
      </c>
      <c r="AB3" s="80">
        <f>'PANDU IKPP'!L79</f>
        <v>43</v>
      </c>
      <c r="AC3" s="80">
        <f>'PANDU IKPP'!M79</f>
        <v>37</v>
      </c>
      <c r="AD3" s="80">
        <f>'PANDU IKPP'!N79</f>
        <v>32</v>
      </c>
      <c r="AE3" s="90">
        <f>SUM(S3:AD3)</f>
        <v>556</v>
      </c>
      <c r="AH3" s="80">
        <f>'PANDU IKPP'!W79</f>
        <v>38</v>
      </c>
      <c r="AI3" s="80">
        <f>'PANDU IKPP'!X79</f>
        <v>37</v>
      </c>
      <c r="AJ3" s="80">
        <f>'PANDU IKPP'!Y79</f>
        <v>177</v>
      </c>
      <c r="AK3" s="80">
        <f>'PANDU IKPP'!Z79</f>
        <v>36</v>
      </c>
      <c r="AL3" s="80">
        <f>'PANDU IKPP'!AA79</f>
        <v>36</v>
      </c>
      <c r="AM3" s="80">
        <f>'PANDU IKPP'!AB79</f>
        <v>33</v>
      </c>
      <c r="AN3" s="80">
        <f>'PANDU IKPP'!AC79</f>
        <v>52</v>
      </c>
      <c r="AO3" s="80">
        <f>'PANDU IKPP'!AD79</f>
        <v>60</v>
      </c>
      <c r="AP3" s="80">
        <f>'PANDU IKPP'!AE79</f>
        <v>52</v>
      </c>
      <c r="AQ3" s="80">
        <f>'PANDU IKPP'!AF79</f>
        <v>57</v>
      </c>
      <c r="AR3" s="80">
        <f>'PANDU IKPP'!AG79</f>
        <v>52</v>
      </c>
      <c r="AS3" s="80">
        <f>'PANDU IKPP'!AH79</f>
        <v>50</v>
      </c>
      <c r="AT3" s="90">
        <f>SUM(AH3:AS3)</f>
        <v>680</v>
      </c>
    </row>
    <row r="4" spans="2:46" hidden="1">
      <c r="B4" s="69" t="s">
        <v>1</v>
      </c>
      <c r="C4" s="69" t="s">
        <v>2</v>
      </c>
      <c r="D4" s="69"/>
      <c r="E4" s="2" t="s">
        <v>156</v>
      </c>
      <c r="F4" s="2" t="s">
        <v>106</v>
      </c>
      <c r="G4" s="2"/>
      <c r="H4" s="2" t="s">
        <v>155</v>
      </c>
      <c r="I4" s="2"/>
      <c r="J4" s="2" t="s">
        <v>107</v>
      </c>
      <c r="K4" s="321"/>
      <c r="L4" s="321"/>
      <c r="M4" s="321"/>
      <c r="P4" s="298"/>
      <c r="Q4" s="299"/>
      <c r="R4" s="88" t="s">
        <v>64</v>
      </c>
      <c r="S4" s="80">
        <f>'PANDU IKPP'!C80</f>
        <v>263773</v>
      </c>
      <c r="T4" s="80">
        <f>'PANDU IKPP'!D80</f>
        <v>203390</v>
      </c>
      <c r="U4" s="80">
        <f>'PANDU IKPP'!E80</f>
        <v>1340528</v>
      </c>
      <c r="V4" s="80">
        <f>'PANDU IKPP'!F80</f>
        <v>352434.48571428569</v>
      </c>
      <c r="W4" s="80">
        <f>'PANDU IKPP'!G80</f>
        <v>153376.20000000001</v>
      </c>
      <c r="X4" s="80">
        <f>'PANDU IKPP'!H80</f>
        <v>331503.44444444444</v>
      </c>
      <c r="Y4" s="80">
        <f>'PANDU IKPP'!I80</f>
        <v>170593.35</v>
      </c>
      <c r="Z4" s="80">
        <f>'PANDU IKPP'!J80</f>
        <v>258839.47222222222</v>
      </c>
      <c r="AA4" s="80">
        <f>'PANDU IKPP'!K80</f>
        <v>185360</v>
      </c>
      <c r="AB4" s="80">
        <f>'PANDU IKPP'!L80</f>
        <v>366087.6333333333</v>
      </c>
      <c r="AC4" s="80">
        <f>'PANDU IKPP'!M80</f>
        <v>172938.65</v>
      </c>
      <c r="AD4" s="80">
        <f>'PANDU IKPP'!N80</f>
        <v>274917.8</v>
      </c>
      <c r="AE4" s="90">
        <f>SUM(S4:AD4)</f>
        <v>4073742.0357142854</v>
      </c>
      <c r="AH4" s="80">
        <f>'PANDU IKPP'!W80</f>
        <v>228260</v>
      </c>
      <c r="AI4" s="80">
        <f>'PANDU IKPP'!X80</f>
        <v>164061</v>
      </c>
      <c r="AJ4" s="80">
        <f>'PANDU IKPP'!Y80</f>
        <v>1393196.2307692308</v>
      </c>
      <c r="AK4" s="80">
        <f>'PANDU IKPP'!Z80</f>
        <v>318287</v>
      </c>
      <c r="AL4" s="80">
        <f>'PANDU IKPP'!AA80</f>
        <v>126855</v>
      </c>
      <c r="AM4" s="80">
        <f>'PANDU IKPP'!AB80</f>
        <v>305794</v>
      </c>
      <c r="AN4" s="80">
        <f>'PANDU IKPP'!AC80</f>
        <v>185268</v>
      </c>
      <c r="AO4" s="80">
        <f>'PANDU IKPP'!AD80</f>
        <v>285324</v>
      </c>
      <c r="AP4" s="80">
        <f>'PANDU IKPP'!AE80</f>
        <v>188020</v>
      </c>
      <c r="AQ4" s="80">
        <f>'PANDU IKPP'!AF80</f>
        <v>373230</v>
      </c>
      <c r="AR4" s="80">
        <f>'PANDU IKPP'!AG80</f>
        <v>178369</v>
      </c>
      <c r="AS4" s="80">
        <f>'PANDU IKPP'!AH80</f>
        <v>288530</v>
      </c>
      <c r="AT4" s="90">
        <f>SUM(AH4:AS4)</f>
        <v>4035194.230769231</v>
      </c>
    </row>
    <row r="5" spans="2:46" hidden="1">
      <c r="B5" s="3"/>
      <c r="C5" s="3"/>
      <c r="D5" s="3"/>
      <c r="E5" s="3" t="s">
        <v>8</v>
      </c>
      <c r="F5" s="3" t="s">
        <v>9</v>
      </c>
      <c r="G5" s="3"/>
      <c r="H5" s="3" t="s">
        <v>10</v>
      </c>
      <c r="I5" s="3"/>
      <c r="J5" s="3" t="s">
        <v>11</v>
      </c>
      <c r="K5" s="3" t="s">
        <v>12</v>
      </c>
      <c r="L5" s="3" t="s">
        <v>13</v>
      </c>
      <c r="M5" s="3" t="s">
        <v>14</v>
      </c>
      <c r="P5" s="298"/>
      <c r="Q5" s="299"/>
      <c r="R5" s="88" t="s">
        <v>52</v>
      </c>
      <c r="S5" s="80">
        <f>'PANDU IKPP'!C81</f>
        <v>64</v>
      </c>
      <c r="T5" s="80">
        <f>'PANDU IKPP'!D81</f>
        <v>74</v>
      </c>
      <c r="U5" s="80">
        <f>'PANDU IKPP'!E81</f>
        <v>318</v>
      </c>
      <c r="V5" s="80">
        <f>'PANDU IKPP'!F81</f>
        <v>78</v>
      </c>
      <c r="W5" s="80">
        <f>'PANDU IKPP'!G81</f>
        <v>68</v>
      </c>
      <c r="X5" s="80">
        <f>'PANDU IKPP'!H81</f>
        <v>74</v>
      </c>
      <c r="Y5" s="80">
        <f>'PANDU IKPP'!I81</f>
        <v>70</v>
      </c>
      <c r="Z5" s="80">
        <f>'PANDU IKPP'!J81</f>
        <v>68</v>
      </c>
      <c r="AA5" s="80">
        <f>'PANDU IKPP'!K81</f>
        <v>74</v>
      </c>
      <c r="AB5" s="80">
        <f>'PANDU IKPP'!L81</f>
        <v>86</v>
      </c>
      <c r="AC5" s="80">
        <f>'PANDU IKPP'!M81</f>
        <v>74</v>
      </c>
      <c r="AD5" s="80">
        <f>'PANDU IKPP'!N81</f>
        <v>64</v>
      </c>
      <c r="AE5" s="90">
        <f>SUM(S5:AD5)</f>
        <v>1112</v>
      </c>
      <c r="AH5" s="80">
        <f>'PANDU IKPP'!W81</f>
        <v>76</v>
      </c>
      <c r="AI5" s="80">
        <f>'PANDU IKPP'!X81</f>
        <v>74</v>
      </c>
      <c r="AJ5" s="80">
        <f>'PANDU IKPP'!Y81</f>
        <v>354</v>
      </c>
      <c r="AK5" s="80">
        <f>'PANDU IKPP'!Z81</f>
        <v>72</v>
      </c>
      <c r="AL5" s="80">
        <f>'PANDU IKPP'!AA81</f>
        <v>72</v>
      </c>
      <c r="AM5" s="80">
        <f>'PANDU IKPP'!AB81</f>
        <v>66</v>
      </c>
      <c r="AN5" s="80">
        <f>'PANDU IKPP'!AC81</f>
        <v>104</v>
      </c>
      <c r="AO5" s="80">
        <f>'PANDU IKPP'!AD81</f>
        <v>120</v>
      </c>
      <c r="AP5" s="80">
        <f>'PANDU IKPP'!AE81</f>
        <v>104</v>
      </c>
      <c r="AQ5" s="80">
        <f>'PANDU IKPP'!AF81</f>
        <v>114</v>
      </c>
      <c r="AR5" s="80">
        <f>'PANDU IKPP'!AG81</f>
        <v>104</v>
      </c>
      <c r="AS5" s="80">
        <f>'PANDU IKPP'!AH81</f>
        <v>100</v>
      </c>
      <c r="AT5" s="90">
        <f>SUM(AH5:AS5)</f>
        <v>1360</v>
      </c>
    </row>
    <row r="6" spans="2:46" hidden="1">
      <c r="B6" s="322" t="s">
        <v>15</v>
      </c>
      <c r="C6" s="322" t="s">
        <v>16</v>
      </c>
      <c r="D6" s="4" t="s">
        <v>17</v>
      </c>
      <c r="E6" s="6"/>
      <c r="F6" s="6"/>
      <c r="G6" s="6"/>
      <c r="H6" s="5">
        <f>AE5</f>
        <v>1112</v>
      </c>
      <c r="I6" s="5"/>
      <c r="J6" s="5">
        <f>AT5</f>
        <v>1360</v>
      </c>
      <c r="K6" s="7" t="e">
        <f>H6/E6</f>
        <v>#DIV/0!</v>
      </c>
      <c r="L6" s="7" t="e">
        <f t="shared" ref="L6:L13" si="0">H6/F6</f>
        <v>#DIV/0!</v>
      </c>
      <c r="M6" s="7">
        <f t="shared" ref="M6:M13" si="1">J6/H6</f>
        <v>1.2230215827338129</v>
      </c>
      <c r="P6" s="298"/>
      <c r="Q6" s="299"/>
      <c r="R6" s="88" t="s">
        <v>53</v>
      </c>
      <c r="S6" s="80">
        <f>'PANDU IKPP'!C82</f>
        <v>527546</v>
      </c>
      <c r="T6" s="80">
        <f>'PANDU IKPP'!D82</f>
        <v>406780</v>
      </c>
      <c r="U6" s="80">
        <f>'PANDU IKPP'!E82</f>
        <v>2681056</v>
      </c>
      <c r="V6" s="80">
        <f>'PANDU IKPP'!F82</f>
        <v>704868.97142857139</v>
      </c>
      <c r="W6" s="80">
        <f>'PANDU IKPP'!G82</f>
        <v>306752.40000000002</v>
      </c>
      <c r="X6" s="80">
        <f>'PANDU IKPP'!H82</f>
        <v>663006.88888888888</v>
      </c>
      <c r="Y6" s="80">
        <f>'PANDU IKPP'!I82</f>
        <v>341186.7</v>
      </c>
      <c r="Z6" s="80">
        <f>'PANDU IKPP'!J82</f>
        <v>517678.94444444444</v>
      </c>
      <c r="AA6" s="80">
        <f>'PANDU IKPP'!K82</f>
        <v>370720</v>
      </c>
      <c r="AB6" s="80">
        <f>'PANDU IKPP'!L82</f>
        <v>732175.2666666666</v>
      </c>
      <c r="AC6" s="80">
        <f>'PANDU IKPP'!M82</f>
        <v>345877.3</v>
      </c>
      <c r="AD6" s="80">
        <f>'PANDU IKPP'!N82</f>
        <v>549835.6</v>
      </c>
      <c r="AE6" s="90">
        <f>SUM(S6:AD6)</f>
        <v>8147484.0714285709</v>
      </c>
      <c r="AH6" s="80">
        <f>'PANDU IKPP'!W82</f>
        <v>456520</v>
      </c>
      <c r="AI6" s="80">
        <f>'PANDU IKPP'!X82</f>
        <v>328122</v>
      </c>
      <c r="AJ6" s="80">
        <f>'PANDU IKPP'!Y82</f>
        <v>2786392.4615384615</v>
      </c>
      <c r="AK6" s="80">
        <f>'PANDU IKPP'!Z82</f>
        <v>636574</v>
      </c>
      <c r="AL6" s="80">
        <f>'PANDU IKPP'!AA82</f>
        <v>253710</v>
      </c>
      <c r="AM6" s="80">
        <f>'PANDU IKPP'!AB82</f>
        <v>611588</v>
      </c>
      <c r="AN6" s="80">
        <f>'PANDU IKPP'!AC82</f>
        <v>370536</v>
      </c>
      <c r="AO6" s="80">
        <f>'PANDU IKPP'!AD82</f>
        <v>570648</v>
      </c>
      <c r="AP6" s="80">
        <f>'PANDU IKPP'!AE82</f>
        <v>376040</v>
      </c>
      <c r="AQ6" s="80">
        <f>'PANDU IKPP'!AF82</f>
        <v>746460</v>
      </c>
      <c r="AR6" s="80">
        <f>'PANDU IKPP'!AG82</f>
        <v>356738</v>
      </c>
      <c r="AS6" s="80">
        <f>'PANDU IKPP'!AH82</f>
        <v>577060</v>
      </c>
      <c r="AT6" s="90">
        <f>SUM(AH6:AS6)</f>
        <v>8070388.461538462</v>
      </c>
    </row>
    <row r="7" spans="2:46" hidden="1">
      <c r="B7" s="322"/>
      <c r="C7" s="322"/>
      <c r="D7" s="4" t="s">
        <v>18</v>
      </c>
      <c r="E7" s="6"/>
      <c r="F7" s="6"/>
      <c r="G7" s="6"/>
      <c r="H7" s="5">
        <f>AE6</f>
        <v>8147484.0714285709</v>
      </c>
      <c r="I7" s="5"/>
      <c r="J7" s="5">
        <f>AT6</f>
        <v>8070388.461538462</v>
      </c>
      <c r="K7" s="7" t="e">
        <f t="shared" ref="K7:K13" si="2">H7/E7</f>
        <v>#DIV/0!</v>
      </c>
      <c r="L7" s="7" t="e">
        <f t="shared" si="0"/>
        <v>#DIV/0!</v>
      </c>
      <c r="M7" s="7">
        <f t="shared" si="1"/>
        <v>0.99053749486170017</v>
      </c>
      <c r="P7" s="298"/>
      <c r="Q7" s="299" t="s">
        <v>102</v>
      </c>
      <c r="R7" s="88" t="s">
        <v>105</v>
      </c>
      <c r="S7" s="92">
        <f>'TUNDA IKPP'!E199</f>
        <v>32</v>
      </c>
      <c r="T7" s="92">
        <f>'TUNDA IKPP'!F199</f>
        <v>37</v>
      </c>
      <c r="U7" s="92">
        <f>'TUNDA IKPP'!G199</f>
        <v>159</v>
      </c>
      <c r="V7" s="92">
        <f>'TUNDA IKPP'!H199</f>
        <v>39</v>
      </c>
      <c r="W7" s="92">
        <f>'TUNDA IKPP'!I199</f>
        <v>34</v>
      </c>
      <c r="X7" s="92">
        <f>'TUNDA IKPP'!J199</f>
        <v>37</v>
      </c>
      <c r="Y7" s="92">
        <f>'TUNDA IKPP'!K199</f>
        <v>35</v>
      </c>
      <c r="Z7" s="92">
        <f>'TUNDA IKPP'!L199</f>
        <v>34</v>
      </c>
      <c r="AA7" s="92">
        <f>'TUNDA IKPP'!M199</f>
        <v>37</v>
      </c>
      <c r="AB7" s="92">
        <f>'TUNDA IKPP'!N199</f>
        <v>43</v>
      </c>
      <c r="AC7" s="92">
        <f>'TUNDA IKPP'!O199</f>
        <v>37</v>
      </c>
      <c r="AD7" s="92">
        <f>'TUNDA IKPP'!P199</f>
        <v>32</v>
      </c>
      <c r="AE7" s="90">
        <f t="shared" ref="AE7:AE8" si="3">SUM(S7:AD7)</f>
        <v>556</v>
      </c>
      <c r="AH7" s="92">
        <f>'TUNDA IKPP'!AB199</f>
        <v>38</v>
      </c>
      <c r="AI7" s="92">
        <f>'TUNDA IKPP'!AC199</f>
        <v>37</v>
      </c>
      <c r="AJ7" s="92">
        <f>'TUNDA IKPP'!AD199</f>
        <v>177</v>
      </c>
      <c r="AK7" s="92">
        <f>'TUNDA IKPP'!AE199</f>
        <v>36</v>
      </c>
      <c r="AL7" s="92">
        <f>'TUNDA IKPP'!AF199</f>
        <v>36</v>
      </c>
      <c r="AM7" s="92">
        <f>'TUNDA IKPP'!AG199</f>
        <v>33</v>
      </c>
      <c r="AN7" s="92">
        <f>'TUNDA IKPP'!AH199</f>
        <v>52</v>
      </c>
      <c r="AO7" s="92">
        <f>'TUNDA IKPP'!AI199</f>
        <v>60</v>
      </c>
      <c r="AP7" s="92">
        <f>'TUNDA IKPP'!AJ199</f>
        <v>52</v>
      </c>
      <c r="AQ7" s="92">
        <f>'TUNDA IKPP'!AK199</f>
        <v>57</v>
      </c>
      <c r="AR7" s="92">
        <f>'TUNDA IKPP'!AL199</f>
        <v>52</v>
      </c>
      <c r="AS7" s="92">
        <f>'TUNDA IKPP'!AM199</f>
        <v>50</v>
      </c>
      <c r="AT7" s="90">
        <f t="shared" ref="AT7:AT8" si="4">SUM(AH7:AS7)</f>
        <v>680</v>
      </c>
    </row>
    <row r="8" spans="2:46" hidden="1">
      <c r="B8" s="322"/>
      <c r="C8" s="322" t="s">
        <v>19</v>
      </c>
      <c r="D8" s="4" t="s">
        <v>20</v>
      </c>
      <c r="E8" s="6"/>
      <c r="F8" s="6"/>
      <c r="G8" s="6"/>
      <c r="H8" s="5">
        <f>AE9</f>
        <v>2063.2458000000001</v>
      </c>
      <c r="I8" s="5"/>
      <c r="J8" s="5">
        <f>AT9</f>
        <v>2471.2241400000007</v>
      </c>
      <c r="K8" s="7" t="e">
        <f t="shared" si="2"/>
        <v>#DIV/0!</v>
      </c>
      <c r="L8" s="7" t="e">
        <f t="shared" si="0"/>
        <v>#DIV/0!</v>
      </c>
      <c r="M8" s="7">
        <f t="shared" si="1"/>
        <v>1.1977361785978193</v>
      </c>
      <c r="P8" s="298"/>
      <c r="Q8" s="299"/>
      <c r="R8" s="88" t="s">
        <v>64</v>
      </c>
      <c r="S8" s="92">
        <f>'TUNDA IKPP'!E200</f>
        <v>263773</v>
      </c>
      <c r="T8" s="92">
        <f>'TUNDA IKPP'!F200</f>
        <v>203390</v>
      </c>
      <c r="U8" s="92">
        <f>'TUNDA IKPP'!G200</f>
        <v>1340528</v>
      </c>
      <c r="V8" s="92">
        <f>'TUNDA IKPP'!H200</f>
        <v>352434.48571428569</v>
      </c>
      <c r="W8" s="92">
        <f>'TUNDA IKPP'!I200</f>
        <v>153376.20000000001</v>
      </c>
      <c r="X8" s="92">
        <f>'TUNDA IKPP'!J200</f>
        <v>331503.44444444444</v>
      </c>
      <c r="Y8" s="92">
        <f>'TUNDA IKPP'!K200</f>
        <v>170593.35</v>
      </c>
      <c r="Z8" s="92">
        <f>'TUNDA IKPP'!L200</f>
        <v>258839.47222222222</v>
      </c>
      <c r="AA8" s="92">
        <f>'TUNDA IKPP'!M200</f>
        <v>185360</v>
      </c>
      <c r="AB8" s="92">
        <f>'TUNDA IKPP'!N200</f>
        <v>366087.6333333333</v>
      </c>
      <c r="AC8" s="92">
        <f>'TUNDA IKPP'!O200</f>
        <v>172938.65</v>
      </c>
      <c r="AD8" s="92">
        <f>'TUNDA IKPP'!P200</f>
        <v>274917.8</v>
      </c>
      <c r="AE8" s="90">
        <f t="shared" si="3"/>
        <v>4073742.0357142854</v>
      </c>
      <c r="AH8" s="92">
        <f>'TUNDA IKPP'!AB200</f>
        <v>228260</v>
      </c>
      <c r="AI8" s="92">
        <f>'TUNDA IKPP'!AC200</f>
        <v>164061</v>
      </c>
      <c r="AJ8" s="92">
        <f>'TUNDA IKPP'!AD200</f>
        <v>1393196.2307692308</v>
      </c>
      <c r="AK8" s="92">
        <f>'TUNDA IKPP'!AE200</f>
        <v>318287</v>
      </c>
      <c r="AL8" s="92">
        <f>'TUNDA IKPP'!AF200</f>
        <v>126855</v>
      </c>
      <c r="AM8" s="92">
        <f>'TUNDA IKPP'!AG200</f>
        <v>305794</v>
      </c>
      <c r="AN8" s="92">
        <f>'TUNDA IKPP'!AH200</f>
        <v>185268</v>
      </c>
      <c r="AO8" s="92">
        <f>'TUNDA IKPP'!AI200</f>
        <v>285324</v>
      </c>
      <c r="AP8" s="92">
        <f>'TUNDA IKPP'!AJ200</f>
        <v>188020</v>
      </c>
      <c r="AQ8" s="92">
        <f>'TUNDA IKPP'!AK200</f>
        <v>373230</v>
      </c>
      <c r="AR8" s="92">
        <f>'TUNDA IKPP'!AL200</f>
        <v>178369</v>
      </c>
      <c r="AS8" s="92">
        <f>'TUNDA IKPP'!AM200</f>
        <v>288530</v>
      </c>
      <c r="AT8" s="90">
        <f t="shared" si="4"/>
        <v>4035194.230769231</v>
      </c>
    </row>
    <row r="9" spans="2:46" hidden="1">
      <c r="B9" s="322"/>
      <c r="C9" s="322"/>
      <c r="D9" s="4" t="s">
        <v>21</v>
      </c>
      <c r="E9" s="6"/>
      <c r="F9" s="6"/>
      <c r="G9" s="6"/>
      <c r="H9" s="5">
        <f>AE10</f>
        <v>14557545.729374999</v>
      </c>
      <c r="I9" s="5"/>
      <c r="J9" s="5">
        <f>AT10</f>
        <v>13390749.025962003</v>
      </c>
      <c r="K9" s="7" t="e">
        <f t="shared" si="2"/>
        <v>#DIV/0!</v>
      </c>
      <c r="L9" s="7" t="e">
        <f t="shared" si="0"/>
        <v>#DIV/0!</v>
      </c>
      <c r="M9" s="7">
        <f t="shared" si="1"/>
        <v>0.91984935337976848</v>
      </c>
      <c r="P9" s="298"/>
      <c r="Q9" s="299"/>
      <c r="R9" s="89" t="s">
        <v>20</v>
      </c>
      <c r="S9" s="92">
        <f>'TUNDA IKPP'!E201</f>
        <v>154.98560000000001</v>
      </c>
      <c r="T9" s="92">
        <f>'TUNDA IKPP'!F201</f>
        <v>179.2021</v>
      </c>
      <c r="U9" s="92">
        <f>'TUNDA IKPP'!G201</f>
        <v>140.45570000000001</v>
      </c>
      <c r="V9" s="92">
        <f>'TUNDA IKPP'!H201</f>
        <v>188.8887</v>
      </c>
      <c r="W9" s="92">
        <f>'TUNDA IKPP'!I201</f>
        <v>164.6722</v>
      </c>
      <c r="X9" s="92">
        <f>'TUNDA IKPP'!J201</f>
        <v>179.20210000000003</v>
      </c>
      <c r="Y9" s="92">
        <f>'TUNDA IKPP'!K201</f>
        <v>169.5155</v>
      </c>
      <c r="Z9" s="92">
        <f>'TUNDA IKPP'!L201</f>
        <v>164.6722</v>
      </c>
      <c r="AA9" s="92">
        <f>'TUNDA IKPP'!M201</f>
        <v>179.2021</v>
      </c>
      <c r="AB9" s="92">
        <f>'TUNDA IKPP'!N201</f>
        <v>208.26190000000003</v>
      </c>
      <c r="AC9" s="92">
        <f>'TUNDA IKPP'!O201</f>
        <v>179.2021</v>
      </c>
      <c r="AD9" s="92">
        <f>'TUNDA IKPP'!P201</f>
        <v>154.98560000000001</v>
      </c>
      <c r="AE9" s="90">
        <f t="shared" ref="AE9:AE10" si="5">SUM(S9:AD9)</f>
        <v>2063.2458000000001</v>
      </c>
      <c r="AH9" s="92">
        <f>'TUNDA IKPP'!AB201</f>
        <v>173.900958</v>
      </c>
      <c r="AI9" s="92">
        <f>'TUNDA IKPP'!AC201</f>
        <v>169.32461699999999</v>
      </c>
      <c r="AJ9" s="92">
        <f>'TUNDA IKPP'!AD201</f>
        <v>169.32461700000002</v>
      </c>
      <c r="AK9" s="92">
        <f>'TUNDA IKPP'!AE201</f>
        <v>164.748276</v>
      </c>
      <c r="AL9" s="92">
        <f>'TUNDA IKPP'!AF201</f>
        <v>164.748276</v>
      </c>
      <c r="AM9" s="92">
        <f>'TUNDA IKPP'!AG201</f>
        <v>151.01925299999999</v>
      </c>
      <c r="AN9" s="92">
        <f>'TUNDA IKPP'!AH201</f>
        <v>237.96973200000002</v>
      </c>
      <c r="AO9" s="92">
        <f>'TUNDA IKPP'!AI201</f>
        <v>274.58046000000002</v>
      </c>
      <c r="AP9" s="92">
        <f>'TUNDA IKPP'!AJ201</f>
        <v>237.96973200000002</v>
      </c>
      <c r="AQ9" s="92">
        <f>'TUNDA IKPP'!AK201</f>
        <v>260.85143700000003</v>
      </c>
      <c r="AR9" s="92">
        <f>'TUNDA IKPP'!AL201</f>
        <v>237.96973200000002</v>
      </c>
      <c r="AS9" s="92">
        <f>'TUNDA IKPP'!AM201</f>
        <v>228.81704999999999</v>
      </c>
      <c r="AT9" s="90">
        <f t="shared" ref="AT9:AT10" si="6">SUM(AH9:AS9)</f>
        <v>2471.2241400000007</v>
      </c>
    </row>
    <row r="10" spans="2:46" hidden="1">
      <c r="B10" s="322" t="s">
        <v>22</v>
      </c>
      <c r="C10" s="322" t="s">
        <v>23</v>
      </c>
      <c r="D10" s="4" t="s">
        <v>17</v>
      </c>
      <c r="E10" s="6"/>
      <c r="F10" s="6"/>
      <c r="G10" s="6"/>
      <c r="H10" s="5" t="e">
        <f>AE13</f>
        <v>#REF!</v>
      </c>
      <c r="I10" s="5"/>
      <c r="J10" s="5" t="e">
        <f>AT13</f>
        <v>#REF!</v>
      </c>
      <c r="K10" s="7" t="e">
        <f t="shared" si="2"/>
        <v>#REF!</v>
      </c>
      <c r="L10" s="7" t="e">
        <f t="shared" si="0"/>
        <v>#REF!</v>
      </c>
      <c r="M10" s="7" t="e">
        <f t="shared" si="1"/>
        <v>#REF!</v>
      </c>
      <c r="P10" s="298"/>
      <c r="Q10" s="299"/>
      <c r="R10" s="89" t="s">
        <v>21</v>
      </c>
      <c r="S10" s="92">
        <f>'TUNDA IKPP'!E202</f>
        <v>1277531.7709000001</v>
      </c>
      <c r="T10" s="92">
        <f>'TUNDA IKPP'!F202</f>
        <v>985078.78700000001</v>
      </c>
      <c r="U10" s="92">
        <f>'TUNDA IKPP'!G202</f>
        <v>1319770.1902000001</v>
      </c>
      <c r="V10" s="92">
        <f>'TUNDA IKPP'!H202</f>
        <v>1706945.94466</v>
      </c>
      <c r="W10" s="92">
        <f>'TUNDA IKPP'!I202</f>
        <v>742846.94946000003</v>
      </c>
      <c r="X10" s="92">
        <f>'TUNDA IKPP'!J202</f>
        <v>1605570.6324777778</v>
      </c>
      <c r="Y10" s="92">
        <f>'TUNDA IKPP'!K202</f>
        <v>826234.77205500007</v>
      </c>
      <c r="Z10" s="92">
        <f>'TUNDA IKPP'!L202</f>
        <v>1253637.2158138889</v>
      </c>
      <c r="AA10" s="92">
        <f>'TUNDA IKPP'!M202</f>
        <v>897754.08799999999</v>
      </c>
      <c r="AB10" s="92">
        <f>'TUNDA IKPP'!N202</f>
        <v>1773072.2345233334</v>
      </c>
      <c r="AC10" s="92">
        <f>'TUNDA IKPP'!O202</f>
        <v>837593.76354499999</v>
      </c>
      <c r="AD10" s="92">
        <f>'TUNDA IKPP'!P202</f>
        <v>1331509.3807399999</v>
      </c>
      <c r="AE10" s="90">
        <f t="shared" si="5"/>
        <v>14557545.729374999</v>
      </c>
      <c r="AH10" s="92">
        <f>'TUNDA IKPP'!AB202</f>
        <v>1044595.59666</v>
      </c>
      <c r="AI10" s="92">
        <f>'TUNDA IKPP'!AC202</f>
        <v>750799.080801</v>
      </c>
      <c r="AJ10" s="92">
        <f>'TUNDA IKPP'!AD202</f>
        <v>1300065.2566440003</v>
      </c>
      <c r="AK10" s="92">
        <f>'TUNDA IKPP'!AE202</f>
        <v>1456589.8478670001</v>
      </c>
      <c r="AL10" s="92">
        <f>'TUNDA IKPP'!AF202</f>
        <v>580531.737555</v>
      </c>
      <c r="AM10" s="92">
        <f>'TUNDA IKPP'!AG202</f>
        <v>1399417.6197540001</v>
      </c>
      <c r="AN10" s="92">
        <f>'TUNDA IKPP'!AH202</f>
        <v>847849.54438800015</v>
      </c>
      <c r="AO10" s="92">
        <f>'TUNDA IKPP'!AI202</f>
        <v>1305739.9194840002</v>
      </c>
      <c r="AP10" s="92">
        <f>'TUNDA IKPP'!AJ202</f>
        <v>860443.63482000004</v>
      </c>
      <c r="AQ10" s="92">
        <f>'TUNDA IKPP'!AK202</f>
        <v>1708027.7514300002</v>
      </c>
      <c r="AR10" s="92">
        <f>'TUNDA IKPP'!AL202</f>
        <v>816277.367829</v>
      </c>
      <c r="AS10" s="92">
        <f>'TUNDA IKPP'!AM202</f>
        <v>1320411.66873</v>
      </c>
      <c r="AT10" s="90">
        <f t="shared" si="6"/>
        <v>13390749.025962003</v>
      </c>
    </row>
    <row r="11" spans="2:46" hidden="1">
      <c r="B11" s="322"/>
      <c r="C11" s="322"/>
      <c r="D11" s="4" t="s">
        <v>18</v>
      </c>
      <c r="E11" s="6"/>
      <c r="F11" s="6"/>
      <c r="G11" s="6"/>
      <c r="H11" s="5" t="e">
        <f>AE14</f>
        <v>#REF!</v>
      </c>
      <c r="I11" s="5"/>
      <c r="J11" s="5" t="e">
        <f>AT14</f>
        <v>#REF!</v>
      </c>
      <c r="K11" s="7" t="e">
        <f t="shared" si="2"/>
        <v>#REF!</v>
      </c>
      <c r="L11" s="7" t="e">
        <f t="shared" si="0"/>
        <v>#REF!</v>
      </c>
      <c r="M11" s="7" t="e">
        <f t="shared" si="1"/>
        <v>#REF!</v>
      </c>
      <c r="P11" s="298" t="s">
        <v>104</v>
      </c>
      <c r="Q11" s="299" t="s">
        <v>101</v>
      </c>
      <c r="R11" s="88" t="s">
        <v>105</v>
      </c>
      <c r="S11" s="92" t="e">
        <f>#REF!</f>
        <v>#REF!</v>
      </c>
      <c r="T11" s="92" t="e">
        <f>#REF!</f>
        <v>#REF!</v>
      </c>
      <c r="U11" s="92" t="e">
        <f>#REF!</f>
        <v>#REF!</v>
      </c>
      <c r="V11" s="92" t="e">
        <f>#REF!</f>
        <v>#REF!</v>
      </c>
      <c r="W11" s="92" t="e">
        <f>#REF!</f>
        <v>#REF!</v>
      </c>
      <c r="X11" s="92" t="e">
        <f>#REF!</f>
        <v>#REF!</v>
      </c>
      <c r="Y11" s="92" t="e">
        <f>#REF!</f>
        <v>#REF!</v>
      </c>
      <c r="Z11" s="92" t="e">
        <f>#REF!</f>
        <v>#REF!</v>
      </c>
      <c r="AA11" s="92" t="e">
        <f>#REF!</f>
        <v>#REF!</v>
      </c>
      <c r="AB11" s="92" t="e">
        <f>#REF!</f>
        <v>#REF!</v>
      </c>
      <c r="AC11" s="92" t="e">
        <f>#REF!</f>
        <v>#REF!</v>
      </c>
      <c r="AD11" s="92" t="e">
        <f>#REF!</f>
        <v>#REF!</v>
      </c>
      <c r="AE11" s="90" t="e">
        <f t="shared" ref="AE11:AE16" si="7">SUM(S11:AD11)</f>
        <v>#REF!</v>
      </c>
      <c r="AH11" s="92" t="e">
        <f>#REF!</f>
        <v>#REF!</v>
      </c>
      <c r="AI11" s="92" t="e">
        <f>#REF!</f>
        <v>#REF!</v>
      </c>
      <c r="AJ11" s="92" t="e">
        <f>#REF!</f>
        <v>#REF!</v>
      </c>
      <c r="AK11" s="92" t="e">
        <f>#REF!</f>
        <v>#REF!</v>
      </c>
      <c r="AL11" s="92" t="e">
        <f>#REF!</f>
        <v>#REF!</v>
      </c>
      <c r="AM11" s="92" t="e">
        <f>#REF!</f>
        <v>#REF!</v>
      </c>
      <c r="AN11" s="92" t="e">
        <f>#REF!</f>
        <v>#REF!</v>
      </c>
      <c r="AO11" s="92" t="e">
        <f>#REF!</f>
        <v>#REF!</v>
      </c>
      <c r="AP11" s="92" t="e">
        <f>#REF!</f>
        <v>#REF!</v>
      </c>
      <c r="AQ11" s="92" t="e">
        <f>#REF!</f>
        <v>#REF!</v>
      </c>
      <c r="AR11" s="92" t="e">
        <f>#REF!</f>
        <v>#REF!</v>
      </c>
      <c r="AS11" s="92" t="e">
        <f>#REF!</f>
        <v>#REF!</v>
      </c>
      <c r="AT11" s="90" t="e">
        <f t="shared" ref="AT11:AT16" si="8">SUM(AH11:AS11)</f>
        <v>#REF!</v>
      </c>
    </row>
    <row r="12" spans="2:46" hidden="1">
      <c r="B12" s="322"/>
      <c r="C12" s="322" t="s">
        <v>19</v>
      </c>
      <c r="D12" s="4" t="s">
        <v>20</v>
      </c>
      <c r="E12" s="6"/>
      <c r="F12" s="6"/>
      <c r="G12" s="6"/>
      <c r="H12" s="5" t="e">
        <f>AE17</f>
        <v>#REF!</v>
      </c>
      <c r="I12" s="5"/>
      <c r="J12" s="5" t="e">
        <f>AT17</f>
        <v>#REF!</v>
      </c>
      <c r="K12" s="7" t="e">
        <f t="shared" si="2"/>
        <v>#REF!</v>
      </c>
      <c r="L12" s="7" t="e">
        <f t="shared" si="0"/>
        <v>#REF!</v>
      </c>
      <c r="M12" s="7" t="e">
        <f t="shared" si="1"/>
        <v>#REF!</v>
      </c>
      <c r="P12" s="298"/>
      <c r="Q12" s="299"/>
      <c r="R12" s="88" t="s">
        <v>64</v>
      </c>
      <c r="S12" s="92" t="e">
        <f>#REF!</f>
        <v>#REF!</v>
      </c>
      <c r="T12" s="92" t="e">
        <f>#REF!</f>
        <v>#REF!</v>
      </c>
      <c r="U12" s="92" t="e">
        <f>#REF!</f>
        <v>#REF!</v>
      </c>
      <c r="V12" s="92" t="e">
        <f>#REF!</f>
        <v>#REF!</v>
      </c>
      <c r="W12" s="92" t="e">
        <f>#REF!</f>
        <v>#REF!</v>
      </c>
      <c r="X12" s="92" t="e">
        <f>#REF!</f>
        <v>#REF!</v>
      </c>
      <c r="Y12" s="92" t="e">
        <f>#REF!</f>
        <v>#REF!</v>
      </c>
      <c r="Z12" s="92" t="e">
        <f>#REF!</f>
        <v>#REF!</v>
      </c>
      <c r="AA12" s="92" t="e">
        <f>#REF!</f>
        <v>#REF!</v>
      </c>
      <c r="AB12" s="92" t="e">
        <f>#REF!</f>
        <v>#REF!</v>
      </c>
      <c r="AC12" s="92" t="e">
        <f>#REF!</f>
        <v>#REF!</v>
      </c>
      <c r="AD12" s="92" t="e">
        <f>#REF!</f>
        <v>#REF!</v>
      </c>
      <c r="AE12" s="90" t="e">
        <f t="shared" si="7"/>
        <v>#REF!</v>
      </c>
      <c r="AH12" s="92" t="e">
        <f>#REF!</f>
        <v>#REF!</v>
      </c>
      <c r="AI12" s="92" t="e">
        <f>#REF!</f>
        <v>#REF!</v>
      </c>
      <c r="AJ12" s="92" t="e">
        <f>#REF!</f>
        <v>#REF!</v>
      </c>
      <c r="AK12" s="92" t="e">
        <f>#REF!</f>
        <v>#REF!</v>
      </c>
      <c r="AL12" s="92" t="e">
        <f>#REF!</f>
        <v>#REF!</v>
      </c>
      <c r="AM12" s="92" t="e">
        <f>#REF!</f>
        <v>#REF!</v>
      </c>
      <c r="AN12" s="92" t="e">
        <f>#REF!</f>
        <v>#REF!</v>
      </c>
      <c r="AO12" s="92" t="e">
        <f>#REF!</f>
        <v>#REF!</v>
      </c>
      <c r="AP12" s="92" t="e">
        <f>#REF!</f>
        <v>#REF!</v>
      </c>
      <c r="AQ12" s="92" t="e">
        <f>#REF!</f>
        <v>#REF!</v>
      </c>
      <c r="AR12" s="92" t="e">
        <f>#REF!</f>
        <v>#REF!</v>
      </c>
      <c r="AS12" s="92" t="e">
        <f>#REF!</f>
        <v>#REF!</v>
      </c>
      <c r="AT12" s="90" t="e">
        <f t="shared" si="8"/>
        <v>#REF!</v>
      </c>
    </row>
    <row r="13" spans="2:46" hidden="1">
      <c r="B13" s="322"/>
      <c r="C13" s="322"/>
      <c r="D13" s="4" t="s">
        <v>21</v>
      </c>
      <c r="E13" s="6"/>
      <c r="F13" s="6"/>
      <c r="G13" s="6"/>
      <c r="H13" s="5" t="e">
        <f>AE18</f>
        <v>#REF!</v>
      </c>
      <c r="I13" s="5"/>
      <c r="J13" s="5" t="e">
        <f>AT18</f>
        <v>#REF!</v>
      </c>
      <c r="K13" s="7" t="e">
        <f t="shared" si="2"/>
        <v>#REF!</v>
      </c>
      <c r="L13" s="7" t="e">
        <f t="shared" si="0"/>
        <v>#REF!</v>
      </c>
      <c r="M13" s="7" t="e">
        <f t="shared" si="1"/>
        <v>#REF!</v>
      </c>
      <c r="P13" s="298"/>
      <c r="Q13" s="299"/>
      <c r="R13" s="88" t="s">
        <v>52</v>
      </c>
      <c r="S13" s="92" t="e">
        <f>#REF!</f>
        <v>#REF!</v>
      </c>
      <c r="T13" s="92" t="e">
        <f>#REF!</f>
        <v>#REF!</v>
      </c>
      <c r="U13" s="92" t="e">
        <f>#REF!</f>
        <v>#REF!</v>
      </c>
      <c r="V13" s="92" t="e">
        <f>#REF!</f>
        <v>#REF!</v>
      </c>
      <c r="W13" s="92" t="e">
        <f>#REF!</f>
        <v>#REF!</v>
      </c>
      <c r="X13" s="92" t="e">
        <f>#REF!</f>
        <v>#REF!</v>
      </c>
      <c r="Y13" s="92" t="e">
        <f>#REF!</f>
        <v>#REF!</v>
      </c>
      <c r="Z13" s="92" t="e">
        <f>#REF!</f>
        <v>#REF!</v>
      </c>
      <c r="AA13" s="92" t="e">
        <f>#REF!</f>
        <v>#REF!</v>
      </c>
      <c r="AB13" s="92" t="e">
        <f>#REF!</f>
        <v>#REF!</v>
      </c>
      <c r="AC13" s="92" t="e">
        <f>#REF!</f>
        <v>#REF!</v>
      </c>
      <c r="AD13" s="92" t="e">
        <f>#REF!</f>
        <v>#REF!</v>
      </c>
      <c r="AE13" s="90" t="e">
        <f t="shared" si="7"/>
        <v>#REF!</v>
      </c>
      <c r="AH13" s="92" t="e">
        <f>#REF!</f>
        <v>#REF!</v>
      </c>
      <c r="AI13" s="92" t="e">
        <f>#REF!</f>
        <v>#REF!</v>
      </c>
      <c r="AJ13" s="92" t="e">
        <f>#REF!</f>
        <v>#REF!</v>
      </c>
      <c r="AK13" s="92" t="e">
        <f>#REF!</f>
        <v>#REF!</v>
      </c>
      <c r="AL13" s="92" t="e">
        <f>#REF!</f>
        <v>#REF!</v>
      </c>
      <c r="AM13" s="92" t="e">
        <f>#REF!</f>
        <v>#REF!</v>
      </c>
      <c r="AN13" s="92" t="e">
        <f>#REF!</f>
        <v>#REF!</v>
      </c>
      <c r="AO13" s="92" t="e">
        <f>#REF!</f>
        <v>#REF!</v>
      </c>
      <c r="AP13" s="92" t="e">
        <f>#REF!</f>
        <v>#REF!</v>
      </c>
      <c r="AQ13" s="92" t="e">
        <f>#REF!</f>
        <v>#REF!</v>
      </c>
      <c r="AR13" s="92" t="e">
        <f>#REF!</f>
        <v>#REF!</v>
      </c>
      <c r="AS13" s="92" t="e">
        <f>#REF!</f>
        <v>#REF!</v>
      </c>
      <c r="AT13" s="90" t="e">
        <f t="shared" si="8"/>
        <v>#REF!</v>
      </c>
    </row>
    <row r="14" spans="2:46" hidden="1">
      <c r="B14" s="320" t="s">
        <v>24</v>
      </c>
      <c r="C14" s="320" t="s">
        <v>23</v>
      </c>
      <c r="D14" s="9" t="s">
        <v>17</v>
      </c>
      <c r="E14" s="10">
        <f>E6+E10</f>
        <v>0</v>
      </c>
      <c r="F14" s="10">
        <f t="shared" ref="F14:J14" si="9">F6+F10</f>
        <v>0</v>
      </c>
      <c r="G14" s="10"/>
      <c r="H14" s="10" t="e">
        <f t="shared" si="9"/>
        <v>#REF!</v>
      </c>
      <c r="I14" s="10"/>
      <c r="J14" s="10" t="e">
        <f t="shared" si="9"/>
        <v>#REF!</v>
      </c>
      <c r="K14" s="11" t="e">
        <f t="shared" ref="K14:K17" si="10">(K6+K10)/2</f>
        <v>#DIV/0!</v>
      </c>
      <c r="L14" s="11" t="e">
        <f t="shared" ref="L14:M17" si="11">(L6+L10)/2</f>
        <v>#DIV/0!</v>
      </c>
      <c r="M14" s="11" t="e">
        <f t="shared" si="11"/>
        <v>#REF!</v>
      </c>
      <c r="P14" s="298"/>
      <c r="Q14" s="299"/>
      <c r="R14" s="88" t="s">
        <v>53</v>
      </c>
      <c r="S14" s="92" t="e">
        <f>#REF!</f>
        <v>#REF!</v>
      </c>
      <c r="T14" s="92" t="e">
        <f>#REF!</f>
        <v>#REF!</v>
      </c>
      <c r="U14" s="92" t="e">
        <f>#REF!</f>
        <v>#REF!</v>
      </c>
      <c r="V14" s="92" t="e">
        <f>#REF!</f>
        <v>#REF!</v>
      </c>
      <c r="W14" s="92" t="e">
        <f>#REF!</f>
        <v>#REF!</v>
      </c>
      <c r="X14" s="92" t="e">
        <f>#REF!</f>
        <v>#REF!</v>
      </c>
      <c r="Y14" s="92" t="e">
        <f>#REF!</f>
        <v>#REF!</v>
      </c>
      <c r="Z14" s="92" t="e">
        <f>#REF!</f>
        <v>#REF!</v>
      </c>
      <c r="AA14" s="92" t="e">
        <f>#REF!</f>
        <v>#REF!</v>
      </c>
      <c r="AB14" s="92" t="e">
        <f>#REF!</f>
        <v>#REF!</v>
      </c>
      <c r="AC14" s="92" t="e">
        <f>#REF!</f>
        <v>#REF!</v>
      </c>
      <c r="AD14" s="92" t="e">
        <f>#REF!</f>
        <v>#REF!</v>
      </c>
      <c r="AE14" s="90" t="e">
        <f t="shared" si="7"/>
        <v>#REF!</v>
      </c>
      <c r="AH14" s="92" t="e">
        <f>#REF!</f>
        <v>#REF!</v>
      </c>
      <c r="AI14" s="92" t="e">
        <f>#REF!</f>
        <v>#REF!</v>
      </c>
      <c r="AJ14" s="92" t="e">
        <f>#REF!</f>
        <v>#REF!</v>
      </c>
      <c r="AK14" s="92" t="e">
        <f>#REF!</f>
        <v>#REF!</v>
      </c>
      <c r="AL14" s="92" t="e">
        <f>#REF!</f>
        <v>#REF!</v>
      </c>
      <c r="AM14" s="92" t="e">
        <f>#REF!</f>
        <v>#REF!</v>
      </c>
      <c r="AN14" s="92" t="e">
        <f>#REF!</f>
        <v>#REF!</v>
      </c>
      <c r="AO14" s="92" t="e">
        <f>#REF!</f>
        <v>#REF!</v>
      </c>
      <c r="AP14" s="92" t="e">
        <f>#REF!</f>
        <v>#REF!</v>
      </c>
      <c r="AQ14" s="92" t="e">
        <f>#REF!</f>
        <v>#REF!</v>
      </c>
      <c r="AR14" s="92" t="e">
        <f>#REF!</f>
        <v>#REF!</v>
      </c>
      <c r="AS14" s="92" t="e">
        <f>#REF!</f>
        <v>#REF!</v>
      </c>
      <c r="AT14" s="90" t="e">
        <f t="shared" si="8"/>
        <v>#REF!</v>
      </c>
    </row>
    <row r="15" spans="2:46" hidden="1">
      <c r="B15" s="320"/>
      <c r="C15" s="320"/>
      <c r="D15" s="9" t="s">
        <v>18</v>
      </c>
      <c r="E15" s="10">
        <f>E7+E11</f>
        <v>0</v>
      </c>
      <c r="F15" s="10">
        <f t="shared" ref="F15:J15" si="12">F7+F11</f>
        <v>0</v>
      </c>
      <c r="G15" s="10"/>
      <c r="H15" s="10" t="e">
        <f t="shared" si="12"/>
        <v>#REF!</v>
      </c>
      <c r="I15" s="10"/>
      <c r="J15" s="10" t="e">
        <f t="shared" si="12"/>
        <v>#REF!</v>
      </c>
      <c r="K15" s="11" t="e">
        <f t="shared" si="10"/>
        <v>#DIV/0!</v>
      </c>
      <c r="L15" s="11" t="e">
        <f t="shared" si="11"/>
        <v>#DIV/0!</v>
      </c>
      <c r="M15" s="11" t="e">
        <f t="shared" si="11"/>
        <v>#REF!</v>
      </c>
      <c r="P15" s="298"/>
      <c r="Q15" s="299" t="s">
        <v>102</v>
      </c>
      <c r="R15" s="88" t="s">
        <v>105</v>
      </c>
      <c r="S15" s="92" t="e">
        <f>#REF!</f>
        <v>#REF!</v>
      </c>
      <c r="T15" s="92" t="e">
        <f>#REF!</f>
        <v>#REF!</v>
      </c>
      <c r="U15" s="92" t="e">
        <f>#REF!</f>
        <v>#REF!</v>
      </c>
      <c r="V15" s="92" t="e">
        <f>#REF!</f>
        <v>#REF!</v>
      </c>
      <c r="W15" s="92" t="e">
        <f>#REF!</f>
        <v>#REF!</v>
      </c>
      <c r="X15" s="92" t="e">
        <f>#REF!</f>
        <v>#REF!</v>
      </c>
      <c r="Y15" s="92" t="e">
        <f>#REF!</f>
        <v>#REF!</v>
      </c>
      <c r="Z15" s="92" t="e">
        <f>#REF!</f>
        <v>#REF!</v>
      </c>
      <c r="AA15" s="92" t="e">
        <f>#REF!</f>
        <v>#REF!</v>
      </c>
      <c r="AB15" s="92" t="e">
        <f>#REF!</f>
        <v>#REF!</v>
      </c>
      <c r="AC15" s="92" t="e">
        <f>#REF!</f>
        <v>#REF!</v>
      </c>
      <c r="AD15" s="92" t="e">
        <f>#REF!</f>
        <v>#REF!</v>
      </c>
      <c r="AE15" s="90" t="e">
        <f t="shared" si="7"/>
        <v>#REF!</v>
      </c>
      <c r="AH15" s="92" t="e">
        <f>#REF!</f>
        <v>#REF!</v>
      </c>
      <c r="AI15" s="92" t="e">
        <f>#REF!</f>
        <v>#REF!</v>
      </c>
      <c r="AJ15" s="92" t="e">
        <f>#REF!</f>
        <v>#REF!</v>
      </c>
      <c r="AK15" s="92" t="e">
        <f>#REF!</f>
        <v>#REF!</v>
      </c>
      <c r="AL15" s="92" t="e">
        <f>#REF!</f>
        <v>#REF!</v>
      </c>
      <c r="AM15" s="92" t="e">
        <f>#REF!</f>
        <v>#REF!</v>
      </c>
      <c r="AN15" s="92" t="e">
        <f>#REF!</f>
        <v>#REF!</v>
      </c>
      <c r="AO15" s="92" t="e">
        <f>#REF!</f>
        <v>#REF!</v>
      </c>
      <c r="AP15" s="92" t="e">
        <f>#REF!</f>
        <v>#REF!</v>
      </c>
      <c r="AQ15" s="92" t="e">
        <f>#REF!</f>
        <v>#REF!</v>
      </c>
      <c r="AR15" s="92" t="e">
        <f>#REF!</f>
        <v>#REF!</v>
      </c>
      <c r="AS15" s="92" t="e">
        <f>#REF!</f>
        <v>#REF!</v>
      </c>
      <c r="AT15" s="90" t="e">
        <f t="shared" si="8"/>
        <v>#REF!</v>
      </c>
    </row>
    <row r="16" spans="2:46" hidden="1">
      <c r="B16" s="320"/>
      <c r="C16" s="320" t="s">
        <v>19</v>
      </c>
      <c r="D16" s="9" t="s">
        <v>20</v>
      </c>
      <c r="E16" s="10">
        <f t="shared" ref="E16:J17" si="13">E8+E12</f>
        <v>0</v>
      </c>
      <c r="F16" s="10">
        <f t="shared" si="13"/>
        <v>0</v>
      </c>
      <c r="G16" s="10"/>
      <c r="H16" s="10" t="e">
        <f t="shared" si="13"/>
        <v>#REF!</v>
      </c>
      <c r="I16" s="10"/>
      <c r="J16" s="10" t="e">
        <f t="shared" si="13"/>
        <v>#REF!</v>
      </c>
      <c r="K16" s="11" t="e">
        <f t="shared" si="10"/>
        <v>#DIV/0!</v>
      </c>
      <c r="L16" s="11" t="e">
        <f t="shared" si="11"/>
        <v>#DIV/0!</v>
      </c>
      <c r="M16" s="11" t="e">
        <f t="shared" si="11"/>
        <v>#REF!</v>
      </c>
      <c r="P16" s="298"/>
      <c r="Q16" s="299"/>
      <c r="R16" s="88" t="s">
        <v>64</v>
      </c>
      <c r="S16" s="92" t="e">
        <f>#REF!</f>
        <v>#REF!</v>
      </c>
      <c r="T16" s="92" t="e">
        <f>#REF!</f>
        <v>#REF!</v>
      </c>
      <c r="U16" s="92" t="e">
        <f>#REF!</f>
        <v>#REF!</v>
      </c>
      <c r="V16" s="92" t="e">
        <f>#REF!</f>
        <v>#REF!</v>
      </c>
      <c r="W16" s="92" t="e">
        <f>#REF!</f>
        <v>#REF!</v>
      </c>
      <c r="X16" s="92" t="e">
        <f>#REF!</f>
        <v>#REF!</v>
      </c>
      <c r="Y16" s="92" t="e">
        <f>#REF!</f>
        <v>#REF!</v>
      </c>
      <c r="Z16" s="92" t="e">
        <f>#REF!</f>
        <v>#REF!</v>
      </c>
      <c r="AA16" s="92" t="e">
        <f>#REF!</f>
        <v>#REF!</v>
      </c>
      <c r="AB16" s="92" t="e">
        <f>#REF!</f>
        <v>#REF!</v>
      </c>
      <c r="AC16" s="92" t="e">
        <f>#REF!</f>
        <v>#REF!</v>
      </c>
      <c r="AD16" s="92" t="e">
        <f>#REF!</f>
        <v>#REF!</v>
      </c>
      <c r="AE16" s="90" t="e">
        <f t="shared" si="7"/>
        <v>#REF!</v>
      </c>
      <c r="AH16" s="92" t="e">
        <f>#REF!</f>
        <v>#REF!</v>
      </c>
      <c r="AI16" s="92" t="e">
        <f>#REF!</f>
        <v>#REF!</v>
      </c>
      <c r="AJ16" s="92" t="e">
        <f>#REF!</f>
        <v>#REF!</v>
      </c>
      <c r="AK16" s="92" t="e">
        <f>#REF!</f>
        <v>#REF!</v>
      </c>
      <c r="AL16" s="92" t="e">
        <f>#REF!</f>
        <v>#REF!</v>
      </c>
      <c r="AM16" s="92" t="e">
        <f>#REF!</f>
        <v>#REF!</v>
      </c>
      <c r="AN16" s="92" t="e">
        <f>#REF!</f>
        <v>#REF!</v>
      </c>
      <c r="AO16" s="92" t="e">
        <f>#REF!</f>
        <v>#REF!</v>
      </c>
      <c r="AP16" s="92" t="e">
        <f>#REF!</f>
        <v>#REF!</v>
      </c>
      <c r="AQ16" s="92" t="e">
        <f>#REF!</f>
        <v>#REF!</v>
      </c>
      <c r="AR16" s="92" t="e">
        <f>#REF!</f>
        <v>#REF!</v>
      </c>
      <c r="AS16" s="92" t="e">
        <f>#REF!</f>
        <v>#REF!</v>
      </c>
      <c r="AT16" s="90" t="e">
        <f t="shared" si="8"/>
        <v>#REF!</v>
      </c>
    </row>
    <row r="17" spans="2:48" hidden="1">
      <c r="B17" s="320"/>
      <c r="C17" s="320"/>
      <c r="D17" s="9" t="s">
        <v>21</v>
      </c>
      <c r="E17" s="10">
        <f t="shared" si="13"/>
        <v>0</v>
      </c>
      <c r="F17" s="10">
        <f t="shared" si="13"/>
        <v>0</v>
      </c>
      <c r="G17" s="10"/>
      <c r="H17" s="10" t="e">
        <f t="shared" si="13"/>
        <v>#REF!</v>
      </c>
      <c r="I17" s="10"/>
      <c r="J17" s="10" t="e">
        <f t="shared" si="13"/>
        <v>#REF!</v>
      </c>
      <c r="K17" s="11" t="e">
        <f t="shared" si="10"/>
        <v>#DIV/0!</v>
      </c>
      <c r="L17" s="11" t="e">
        <f t="shared" si="11"/>
        <v>#DIV/0!</v>
      </c>
      <c r="M17" s="11" t="e">
        <f t="shared" si="11"/>
        <v>#REF!</v>
      </c>
      <c r="P17" s="298"/>
      <c r="Q17" s="299"/>
      <c r="R17" s="89" t="s">
        <v>20</v>
      </c>
      <c r="S17" s="92" t="e">
        <f>#REF!</f>
        <v>#REF!</v>
      </c>
      <c r="T17" s="92" t="e">
        <f>#REF!</f>
        <v>#REF!</v>
      </c>
      <c r="U17" s="92" t="e">
        <f>#REF!</f>
        <v>#REF!</v>
      </c>
      <c r="V17" s="92" t="e">
        <f>#REF!</f>
        <v>#REF!</v>
      </c>
      <c r="W17" s="92" t="e">
        <f>#REF!</f>
        <v>#REF!</v>
      </c>
      <c r="X17" s="92" t="e">
        <f>#REF!</f>
        <v>#REF!</v>
      </c>
      <c r="Y17" s="92" t="e">
        <f>#REF!</f>
        <v>#REF!</v>
      </c>
      <c r="Z17" s="92" t="e">
        <f>#REF!</f>
        <v>#REF!</v>
      </c>
      <c r="AA17" s="92" t="e">
        <f>#REF!</f>
        <v>#REF!</v>
      </c>
      <c r="AB17" s="92" t="e">
        <f>#REF!</f>
        <v>#REF!</v>
      </c>
      <c r="AC17" s="92" t="e">
        <f>#REF!</f>
        <v>#REF!</v>
      </c>
      <c r="AD17" s="92" t="e">
        <f>#REF!</f>
        <v>#REF!</v>
      </c>
      <c r="AE17" s="90" t="e">
        <f>SUM(S17:AD17)</f>
        <v>#REF!</v>
      </c>
      <c r="AH17" s="92" t="e">
        <f>#REF!</f>
        <v>#REF!</v>
      </c>
      <c r="AI17" s="92" t="e">
        <f>#REF!</f>
        <v>#REF!</v>
      </c>
      <c r="AJ17" s="92" t="e">
        <f>#REF!</f>
        <v>#REF!</v>
      </c>
      <c r="AK17" s="92" t="e">
        <f>#REF!</f>
        <v>#REF!</v>
      </c>
      <c r="AL17" s="92" t="e">
        <f>#REF!</f>
        <v>#REF!</v>
      </c>
      <c r="AM17" s="92" t="e">
        <f>#REF!</f>
        <v>#REF!</v>
      </c>
      <c r="AN17" s="92" t="e">
        <f>#REF!</f>
        <v>#REF!</v>
      </c>
      <c r="AO17" s="92" t="e">
        <f>#REF!</f>
        <v>#REF!</v>
      </c>
      <c r="AP17" s="92" t="e">
        <f>#REF!</f>
        <v>#REF!</v>
      </c>
      <c r="AQ17" s="92" t="e">
        <f>#REF!</f>
        <v>#REF!</v>
      </c>
      <c r="AR17" s="92" t="e">
        <f>#REF!</f>
        <v>#REF!</v>
      </c>
      <c r="AS17" s="92" t="e">
        <f>#REF!</f>
        <v>#REF!</v>
      </c>
      <c r="AT17" s="90" t="e">
        <f>SUM(AH17:AS17)</f>
        <v>#REF!</v>
      </c>
    </row>
    <row r="18" spans="2:48" hidden="1">
      <c r="P18" s="298"/>
      <c r="Q18" s="299"/>
      <c r="R18" s="89" t="s">
        <v>21</v>
      </c>
      <c r="S18" s="92" t="e">
        <f>#REF!</f>
        <v>#REF!</v>
      </c>
      <c r="T18" s="92" t="e">
        <f>#REF!</f>
        <v>#REF!</v>
      </c>
      <c r="U18" s="92" t="e">
        <f>#REF!</f>
        <v>#REF!</v>
      </c>
      <c r="V18" s="92" t="e">
        <f>#REF!</f>
        <v>#REF!</v>
      </c>
      <c r="W18" s="92" t="e">
        <f>#REF!</f>
        <v>#REF!</v>
      </c>
      <c r="X18" s="92" t="e">
        <f>#REF!</f>
        <v>#REF!</v>
      </c>
      <c r="Y18" s="92" t="e">
        <f>#REF!</f>
        <v>#REF!</v>
      </c>
      <c r="Z18" s="92" t="e">
        <f>#REF!</f>
        <v>#REF!</v>
      </c>
      <c r="AA18" s="92" t="e">
        <f>#REF!</f>
        <v>#REF!</v>
      </c>
      <c r="AB18" s="92" t="e">
        <f>#REF!</f>
        <v>#REF!</v>
      </c>
      <c r="AC18" s="92" t="e">
        <f>#REF!</f>
        <v>#REF!</v>
      </c>
      <c r="AD18" s="92" t="e">
        <f>#REF!</f>
        <v>#REF!</v>
      </c>
      <c r="AE18" s="90" t="e">
        <f>SUM(S18:AD18)</f>
        <v>#REF!</v>
      </c>
      <c r="AH18" s="92" t="e">
        <f>#REF!</f>
        <v>#REF!</v>
      </c>
      <c r="AI18" s="92" t="e">
        <f>#REF!</f>
        <v>#REF!</v>
      </c>
      <c r="AJ18" s="92" t="e">
        <f>#REF!</f>
        <v>#REF!</v>
      </c>
      <c r="AK18" s="92" t="e">
        <f>#REF!</f>
        <v>#REF!</v>
      </c>
      <c r="AL18" s="92" t="e">
        <f>#REF!</f>
        <v>#REF!</v>
      </c>
      <c r="AM18" s="92" t="e">
        <f>#REF!</f>
        <v>#REF!</v>
      </c>
      <c r="AN18" s="92" t="e">
        <f>#REF!</f>
        <v>#REF!</v>
      </c>
      <c r="AO18" s="92" t="e">
        <f>#REF!</f>
        <v>#REF!</v>
      </c>
      <c r="AP18" s="92" t="e">
        <f>#REF!</f>
        <v>#REF!</v>
      </c>
      <c r="AQ18" s="92" t="e">
        <f>#REF!</f>
        <v>#REF!</v>
      </c>
      <c r="AR18" s="92" t="e">
        <f>#REF!</f>
        <v>#REF!</v>
      </c>
      <c r="AS18" s="92" t="e">
        <f>#REF!</f>
        <v>#REF!</v>
      </c>
      <c r="AT18" s="90" t="e">
        <f>SUM(AH18:AS18)</f>
        <v>#REF!</v>
      </c>
    </row>
    <row r="19" spans="2:48">
      <c r="B19" s="1" t="s">
        <v>204</v>
      </c>
      <c r="P19" s="319" t="s">
        <v>120</v>
      </c>
      <c r="Q19" s="319" t="s">
        <v>101</v>
      </c>
      <c r="R19" s="115" t="s">
        <v>105</v>
      </c>
      <c r="S19" s="116" t="e">
        <f>S3+S11</f>
        <v>#REF!</v>
      </c>
      <c r="T19" s="116" t="e">
        <f t="shared" ref="T19:AD19" si="14">T3+T11</f>
        <v>#REF!</v>
      </c>
      <c r="U19" s="116" t="e">
        <f t="shared" si="14"/>
        <v>#REF!</v>
      </c>
      <c r="V19" s="116" t="e">
        <f t="shared" si="14"/>
        <v>#REF!</v>
      </c>
      <c r="W19" s="116" t="e">
        <f t="shared" si="14"/>
        <v>#REF!</v>
      </c>
      <c r="X19" s="116" t="e">
        <f t="shared" si="14"/>
        <v>#REF!</v>
      </c>
      <c r="Y19" s="116" t="e">
        <f t="shared" si="14"/>
        <v>#REF!</v>
      </c>
      <c r="Z19" s="116" t="e">
        <f t="shared" si="14"/>
        <v>#REF!</v>
      </c>
      <c r="AA19" s="116" t="e">
        <f t="shared" si="14"/>
        <v>#REF!</v>
      </c>
      <c r="AB19" s="116" t="e">
        <f t="shared" si="14"/>
        <v>#REF!</v>
      </c>
      <c r="AC19" s="116" t="e">
        <f t="shared" si="14"/>
        <v>#REF!</v>
      </c>
      <c r="AD19" s="116" t="e">
        <f t="shared" si="14"/>
        <v>#REF!</v>
      </c>
      <c r="AE19" s="117" t="e">
        <f t="shared" ref="AE19:AE23" si="15">SUM(S19:AD19)</f>
        <v>#REF!</v>
      </c>
      <c r="AH19" s="116" t="e">
        <f>AH3+AH11</f>
        <v>#REF!</v>
      </c>
      <c r="AI19" s="116" t="e">
        <f t="shared" ref="AI19:AS19" si="16">AI3+AI11</f>
        <v>#REF!</v>
      </c>
      <c r="AJ19" s="116" t="e">
        <f t="shared" si="16"/>
        <v>#REF!</v>
      </c>
      <c r="AK19" s="116" t="e">
        <f t="shared" si="16"/>
        <v>#REF!</v>
      </c>
      <c r="AL19" s="116" t="e">
        <f t="shared" si="16"/>
        <v>#REF!</v>
      </c>
      <c r="AM19" s="116" t="e">
        <f t="shared" si="16"/>
        <v>#REF!</v>
      </c>
      <c r="AN19" s="116" t="e">
        <f t="shared" si="16"/>
        <v>#REF!</v>
      </c>
      <c r="AO19" s="116" t="e">
        <f t="shared" si="16"/>
        <v>#REF!</v>
      </c>
      <c r="AP19" s="116" t="e">
        <f t="shared" si="16"/>
        <v>#REF!</v>
      </c>
      <c r="AQ19" s="116" t="e">
        <f t="shared" si="16"/>
        <v>#REF!</v>
      </c>
      <c r="AR19" s="116" t="e">
        <f t="shared" si="16"/>
        <v>#REF!</v>
      </c>
      <c r="AS19" s="116" t="e">
        <f t="shared" si="16"/>
        <v>#REF!</v>
      </c>
      <c r="AT19" s="117" t="e">
        <f t="shared" ref="AT19:AT23" si="17">SUM(AH19:AS19)</f>
        <v>#REF!</v>
      </c>
    </row>
    <row r="20" spans="2:48">
      <c r="B20" s="68" t="s">
        <v>1</v>
      </c>
      <c r="C20" s="68" t="s">
        <v>2</v>
      </c>
      <c r="D20" s="68" t="s">
        <v>26</v>
      </c>
      <c r="E20" s="68" t="s">
        <v>154</v>
      </c>
      <c r="F20" s="68" t="s">
        <v>106</v>
      </c>
      <c r="G20" s="68" t="s">
        <v>158</v>
      </c>
      <c r="H20" s="12" t="s">
        <v>172</v>
      </c>
      <c r="I20" s="12" t="s">
        <v>107</v>
      </c>
      <c r="J20" s="12" t="s">
        <v>108</v>
      </c>
      <c r="K20" s="313"/>
      <c r="L20" s="313"/>
      <c r="M20" s="313"/>
      <c r="P20" s="319"/>
      <c r="Q20" s="319"/>
      <c r="R20" s="115" t="s">
        <v>64</v>
      </c>
      <c r="S20" s="116" t="e">
        <f t="shared" ref="S20:AD20" si="18">S4+S12</f>
        <v>#REF!</v>
      </c>
      <c r="T20" s="116" t="e">
        <f t="shared" si="18"/>
        <v>#REF!</v>
      </c>
      <c r="U20" s="116" t="e">
        <f t="shared" si="18"/>
        <v>#REF!</v>
      </c>
      <c r="V20" s="116" t="e">
        <f t="shared" si="18"/>
        <v>#REF!</v>
      </c>
      <c r="W20" s="116" t="e">
        <f t="shared" si="18"/>
        <v>#REF!</v>
      </c>
      <c r="X20" s="116" t="e">
        <f t="shared" si="18"/>
        <v>#REF!</v>
      </c>
      <c r="Y20" s="116" t="e">
        <f t="shared" si="18"/>
        <v>#REF!</v>
      </c>
      <c r="Z20" s="116" t="e">
        <f t="shared" si="18"/>
        <v>#REF!</v>
      </c>
      <c r="AA20" s="116" t="e">
        <f t="shared" si="18"/>
        <v>#REF!</v>
      </c>
      <c r="AB20" s="116" t="e">
        <f t="shared" si="18"/>
        <v>#REF!</v>
      </c>
      <c r="AC20" s="116" t="e">
        <f t="shared" si="18"/>
        <v>#REF!</v>
      </c>
      <c r="AD20" s="116" t="e">
        <f t="shared" si="18"/>
        <v>#REF!</v>
      </c>
      <c r="AE20" s="117" t="e">
        <f t="shared" si="15"/>
        <v>#REF!</v>
      </c>
      <c r="AH20" s="116" t="e">
        <f t="shared" ref="AH20:AS23" si="19">AH4+AH12</f>
        <v>#REF!</v>
      </c>
      <c r="AI20" s="116" t="e">
        <f t="shared" si="19"/>
        <v>#REF!</v>
      </c>
      <c r="AJ20" s="116" t="e">
        <f t="shared" si="19"/>
        <v>#REF!</v>
      </c>
      <c r="AK20" s="116" t="e">
        <f t="shared" si="19"/>
        <v>#REF!</v>
      </c>
      <c r="AL20" s="116" t="e">
        <f t="shared" si="19"/>
        <v>#REF!</v>
      </c>
      <c r="AM20" s="116" t="e">
        <f t="shared" si="19"/>
        <v>#REF!</v>
      </c>
      <c r="AN20" s="116" t="e">
        <f t="shared" si="19"/>
        <v>#REF!</v>
      </c>
      <c r="AO20" s="116" t="e">
        <f t="shared" si="19"/>
        <v>#REF!</v>
      </c>
      <c r="AP20" s="116" t="e">
        <f t="shared" si="19"/>
        <v>#REF!</v>
      </c>
      <c r="AQ20" s="116" t="e">
        <f t="shared" si="19"/>
        <v>#REF!</v>
      </c>
      <c r="AR20" s="116" t="e">
        <f t="shared" si="19"/>
        <v>#REF!</v>
      </c>
      <c r="AS20" s="116" t="e">
        <f t="shared" si="19"/>
        <v>#REF!</v>
      </c>
      <c r="AT20" s="117" t="e">
        <f t="shared" si="17"/>
        <v>#REF!</v>
      </c>
    </row>
    <row r="21" spans="2:48">
      <c r="B21" s="13"/>
      <c r="C21" s="13"/>
      <c r="D21" s="14"/>
      <c r="E21" s="13" t="s">
        <v>8</v>
      </c>
      <c r="F21" s="13" t="s">
        <v>9</v>
      </c>
      <c r="G21" s="13"/>
      <c r="H21" s="13" t="s">
        <v>10</v>
      </c>
      <c r="I21" s="13"/>
      <c r="J21" s="13" t="s">
        <v>11</v>
      </c>
      <c r="K21" s="13" t="s">
        <v>12</v>
      </c>
      <c r="L21" s="13" t="s">
        <v>13</v>
      </c>
      <c r="M21" s="13" t="s">
        <v>14</v>
      </c>
      <c r="P21" s="319"/>
      <c r="Q21" s="319"/>
      <c r="R21" s="115" t="s">
        <v>52</v>
      </c>
      <c r="S21" s="116" t="e">
        <f t="shared" ref="S21:AD21" si="20">S5+S13</f>
        <v>#REF!</v>
      </c>
      <c r="T21" s="116" t="e">
        <f t="shared" si="20"/>
        <v>#REF!</v>
      </c>
      <c r="U21" s="116" t="e">
        <f t="shared" si="20"/>
        <v>#REF!</v>
      </c>
      <c r="V21" s="116" t="e">
        <f t="shared" si="20"/>
        <v>#REF!</v>
      </c>
      <c r="W21" s="116" t="e">
        <f t="shared" si="20"/>
        <v>#REF!</v>
      </c>
      <c r="X21" s="116" t="e">
        <f t="shared" si="20"/>
        <v>#REF!</v>
      </c>
      <c r="Y21" s="116" t="e">
        <f t="shared" si="20"/>
        <v>#REF!</v>
      </c>
      <c r="Z21" s="116" t="e">
        <f t="shared" si="20"/>
        <v>#REF!</v>
      </c>
      <c r="AA21" s="116" t="e">
        <f t="shared" si="20"/>
        <v>#REF!</v>
      </c>
      <c r="AB21" s="116" t="e">
        <f t="shared" si="20"/>
        <v>#REF!</v>
      </c>
      <c r="AC21" s="116" t="e">
        <f t="shared" si="20"/>
        <v>#REF!</v>
      </c>
      <c r="AD21" s="116" t="e">
        <f t="shared" si="20"/>
        <v>#REF!</v>
      </c>
      <c r="AE21" s="117" t="e">
        <f t="shared" si="15"/>
        <v>#REF!</v>
      </c>
      <c r="AH21" s="116" t="e">
        <f t="shared" si="19"/>
        <v>#REF!</v>
      </c>
      <c r="AI21" s="116" t="e">
        <f t="shared" si="19"/>
        <v>#REF!</v>
      </c>
      <c r="AJ21" s="116" t="e">
        <f t="shared" si="19"/>
        <v>#REF!</v>
      </c>
      <c r="AK21" s="116" t="e">
        <f t="shared" si="19"/>
        <v>#REF!</v>
      </c>
      <c r="AL21" s="116" t="e">
        <f t="shared" si="19"/>
        <v>#REF!</v>
      </c>
      <c r="AM21" s="116" t="e">
        <f t="shared" si="19"/>
        <v>#REF!</v>
      </c>
      <c r="AN21" s="116" t="e">
        <f t="shared" si="19"/>
        <v>#REF!</v>
      </c>
      <c r="AO21" s="116" t="e">
        <f t="shared" si="19"/>
        <v>#REF!</v>
      </c>
      <c r="AP21" s="116" t="e">
        <f t="shared" si="19"/>
        <v>#REF!</v>
      </c>
      <c r="AQ21" s="116" t="e">
        <f t="shared" si="19"/>
        <v>#REF!</v>
      </c>
      <c r="AR21" s="116" t="e">
        <f t="shared" si="19"/>
        <v>#REF!</v>
      </c>
      <c r="AS21" s="116" t="e">
        <f t="shared" si="19"/>
        <v>#REF!</v>
      </c>
      <c r="AT21" s="117" t="e">
        <f t="shared" si="17"/>
        <v>#REF!</v>
      </c>
    </row>
    <row r="22" spans="2:48">
      <c r="B22" s="314" t="s">
        <v>205</v>
      </c>
      <c r="C22" s="4" t="s">
        <v>16</v>
      </c>
      <c r="D22" s="4" t="s">
        <v>17</v>
      </c>
      <c r="E22" s="15">
        <v>5775542903</v>
      </c>
      <c r="F22" s="15">
        <v>6091861238.4112024</v>
      </c>
      <c r="G22" s="15">
        <v>5334422376</v>
      </c>
      <c r="H22" s="197">
        <f>'PANDU IKPP'!$O$76</f>
        <v>3108918014.0619044</v>
      </c>
      <c r="I22" s="106">
        <v>5660490824</v>
      </c>
      <c r="J22" s="197">
        <f>'PANDU IKPP'!$AI$76</f>
        <v>3230788922.4000001</v>
      </c>
      <c r="K22" s="16">
        <f>H22/E22</f>
        <v>0.5382901774389095</v>
      </c>
      <c r="L22" s="16">
        <f>H22/F22</f>
        <v>0.51033959776679527</v>
      </c>
      <c r="M22" s="16">
        <f>J22/H22</f>
        <v>1.0392004252884326</v>
      </c>
      <c r="N22" s="19">
        <v>3079864506</v>
      </c>
      <c r="O22" s="20">
        <v>3172260441.1799998</v>
      </c>
      <c r="P22" s="319"/>
      <c r="Q22" s="319"/>
      <c r="R22" s="115" t="s">
        <v>53</v>
      </c>
      <c r="S22" s="116" t="e">
        <f t="shared" ref="S22:AD22" si="21">S6+S14</f>
        <v>#REF!</v>
      </c>
      <c r="T22" s="116" t="e">
        <f t="shared" si="21"/>
        <v>#REF!</v>
      </c>
      <c r="U22" s="116" t="e">
        <f t="shared" si="21"/>
        <v>#REF!</v>
      </c>
      <c r="V22" s="116" t="e">
        <f t="shared" si="21"/>
        <v>#REF!</v>
      </c>
      <c r="W22" s="116" t="e">
        <f t="shared" si="21"/>
        <v>#REF!</v>
      </c>
      <c r="X22" s="116" t="e">
        <f t="shared" si="21"/>
        <v>#REF!</v>
      </c>
      <c r="Y22" s="116" t="e">
        <f t="shared" si="21"/>
        <v>#REF!</v>
      </c>
      <c r="Z22" s="116" t="e">
        <f t="shared" si="21"/>
        <v>#REF!</v>
      </c>
      <c r="AA22" s="116" t="e">
        <f t="shared" si="21"/>
        <v>#REF!</v>
      </c>
      <c r="AB22" s="116" t="e">
        <f t="shared" si="21"/>
        <v>#REF!</v>
      </c>
      <c r="AC22" s="116" t="e">
        <f t="shared" si="21"/>
        <v>#REF!</v>
      </c>
      <c r="AD22" s="116" t="e">
        <f t="shared" si="21"/>
        <v>#REF!</v>
      </c>
      <c r="AE22" s="117" t="e">
        <f t="shared" si="15"/>
        <v>#REF!</v>
      </c>
      <c r="AH22" s="116" t="e">
        <f t="shared" si="19"/>
        <v>#REF!</v>
      </c>
      <c r="AI22" s="116" t="e">
        <f t="shared" si="19"/>
        <v>#REF!</v>
      </c>
      <c r="AJ22" s="116" t="e">
        <f t="shared" si="19"/>
        <v>#REF!</v>
      </c>
      <c r="AK22" s="116" t="e">
        <f t="shared" si="19"/>
        <v>#REF!</v>
      </c>
      <c r="AL22" s="116" t="e">
        <f t="shared" si="19"/>
        <v>#REF!</v>
      </c>
      <c r="AM22" s="116" t="e">
        <f t="shared" si="19"/>
        <v>#REF!</v>
      </c>
      <c r="AN22" s="116" t="e">
        <f t="shared" si="19"/>
        <v>#REF!</v>
      </c>
      <c r="AO22" s="116" t="e">
        <f t="shared" si="19"/>
        <v>#REF!</v>
      </c>
      <c r="AP22" s="116" t="e">
        <f t="shared" si="19"/>
        <v>#REF!</v>
      </c>
      <c r="AQ22" s="116" t="e">
        <f t="shared" si="19"/>
        <v>#REF!</v>
      </c>
      <c r="AR22" s="116" t="e">
        <f t="shared" si="19"/>
        <v>#REF!</v>
      </c>
      <c r="AS22" s="116" t="e">
        <f t="shared" si="19"/>
        <v>#REF!</v>
      </c>
      <c r="AT22" s="117" t="e">
        <f t="shared" si="17"/>
        <v>#REF!</v>
      </c>
      <c r="AV22" s="54"/>
    </row>
    <row r="23" spans="2:48">
      <c r="B23" s="315"/>
      <c r="C23" s="4" t="s">
        <v>19</v>
      </c>
      <c r="D23" s="4" t="s">
        <v>18</v>
      </c>
      <c r="E23" s="17">
        <v>41905655605</v>
      </c>
      <c r="F23" s="17">
        <v>42072104288.007736</v>
      </c>
      <c r="G23" s="17">
        <v>41271499059</v>
      </c>
      <c r="H23" s="198">
        <f>'TUNDA IKPP'!Q193</f>
        <v>21797647173.142517</v>
      </c>
      <c r="I23" s="74">
        <v>43686249040</v>
      </c>
      <c r="J23" s="198">
        <f>'TUNDA IKPP'!AN193</f>
        <v>22451533501.655941</v>
      </c>
      <c r="K23" s="16">
        <f t="shared" ref="K23" si="22">H23/E23</f>
        <v>0.5201600323022203</v>
      </c>
      <c r="L23" s="16">
        <f t="shared" ref="L23" si="23">H23/F23</f>
        <v>0.51810213779479852</v>
      </c>
      <c r="M23" s="16">
        <f t="shared" ref="M23" si="24">J23/H23</f>
        <v>1.0299980233334125</v>
      </c>
      <c r="N23" s="19">
        <v>21797589609</v>
      </c>
      <c r="O23" s="20">
        <v>22451517297.269993</v>
      </c>
      <c r="P23" s="319"/>
      <c r="Q23" s="319" t="s">
        <v>102</v>
      </c>
      <c r="R23" s="115" t="s">
        <v>105</v>
      </c>
      <c r="S23" s="116" t="e">
        <f t="shared" ref="S23:AD23" si="25">S7+S15</f>
        <v>#REF!</v>
      </c>
      <c r="T23" s="116" t="e">
        <f t="shared" si="25"/>
        <v>#REF!</v>
      </c>
      <c r="U23" s="116" t="e">
        <f t="shared" si="25"/>
        <v>#REF!</v>
      </c>
      <c r="V23" s="116" t="e">
        <f t="shared" si="25"/>
        <v>#REF!</v>
      </c>
      <c r="W23" s="116" t="e">
        <f t="shared" si="25"/>
        <v>#REF!</v>
      </c>
      <c r="X23" s="116" t="e">
        <f t="shared" si="25"/>
        <v>#REF!</v>
      </c>
      <c r="Y23" s="116" t="e">
        <f t="shared" si="25"/>
        <v>#REF!</v>
      </c>
      <c r="Z23" s="116" t="e">
        <f t="shared" si="25"/>
        <v>#REF!</v>
      </c>
      <c r="AA23" s="116" t="e">
        <f t="shared" si="25"/>
        <v>#REF!</v>
      </c>
      <c r="AB23" s="116" t="e">
        <f t="shared" si="25"/>
        <v>#REF!</v>
      </c>
      <c r="AC23" s="116" t="e">
        <f t="shared" si="25"/>
        <v>#REF!</v>
      </c>
      <c r="AD23" s="116" t="e">
        <f t="shared" si="25"/>
        <v>#REF!</v>
      </c>
      <c r="AE23" s="117" t="e">
        <f t="shared" si="15"/>
        <v>#REF!</v>
      </c>
      <c r="AH23" s="116" t="e">
        <f t="shared" si="19"/>
        <v>#REF!</v>
      </c>
      <c r="AI23" s="116" t="e">
        <f t="shared" si="19"/>
        <v>#REF!</v>
      </c>
      <c r="AJ23" s="116" t="e">
        <f t="shared" si="19"/>
        <v>#REF!</v>
      </c>
      <c r="AK23" s="116" t="e">
        <f t="shared" si="19"/>
        <v>#REF!</v>
      </c>
      <c r="AL23" s="116" t="e">
        <f t="shared" si="19"/>
        <v>#REF!</v>
      </c>
      <c r="AM23" s="116" t="e">
        <f t="shared" si="19"/>
        <v>#REF!</v>
      </c>
      <c r="AN23" s="116" t="e">
        <f t="shared" si="19"/>
        <v>#REF!</v>
      </c>
      <c r="AO23" s="116" t="e">
        <f t="shared" si="19"/>
        <v>#REF!</v>
      </c>
      <c r="AP23" s="116" t="e">
        <f t="shared" si="19"/>
        <v>#REF!</v>
      </c>
      <c r="AQ23" s="116" t="e">
        <f t="shared" si="19"/>
        <v>#REF!</v>
      </c>
      <c r="AR23" s="116" t="e">
        <f t="shared" si="19"/>
        <v>#REF!</v>
      </c>
      <c r="AS23" s="116" t="e">
        <f t="shared" si="19"/>
        <v>#REF!</v>
      </c>
      <c r="AT23" s="117" t="e">
        <f t="shared" si="17"/>
        <v>#REF!</v>
      </c>
    </row>
    <row r="24" spans="2:48">
      <c r="B24" s="316"/>
      <c r="C24" s="4" t="s">
        <v>202</v>
      </c>
      <c r="D24" s="4" t="s">
        <v>203</v>
      </c>
      <c r="E24" s="17"/>
      <c r="F24" s="17"/>
      <c r="G24" s="17"/>
      <c r="H24" s="198">
        <f>'TAMBAT-IKPP'!Q71</f>
        <v>35155086989.125</v>
      </c>
      <c r="I24" s="74"/>
      <c r="J24" s="198">
        <f>'TAMBAT-IKPP'!AJ71</f>
        <v>36117985749.875</v>
      </c>
      <c r="K24" s="16" t="e">
        <f t="shared" ref="K24" si="26">H24/E24</f>
        <v>#DIV/0!</v>
      </c>
      <c r="L24" s="16" t="e">
        <f>H24/F24</f>
        <v>#DIV/0!</v>
      </c>
      <c r="M24" s="16">
        <f>J24/H24</f>
        <v>1.0273900264006703</v>
      </c>
      <c r="N24" s="19">
        <v>32406736806</v>
      </c>
      <c r="O24" s="20">
        <v>34578938910.18</v>
      </c>
      <c r="P24" s="319"/>
      <c r="Q24" s="319"/>
      <c r="R24" s="115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7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7"/>
    </row>
    <row r="25" spans="2:48">
      <c r="B25" s="317" t="s">
        <v>28</v>
      </c>
      <c r="C25" s="317"/>
      <c r="D25" s="317"/>
      <c r="E25" s="76">
        <f t="shared" ref="E25:J25" si="27">SUM(E22:E24)</f>
        <v>47681198508</v>
      </c>
      <c r="F25" s="76">
        <f t="shared" si="27"/>
        <v>48163965526.418938</v>
      </c>
      <c r="G25" s="76">
        <f t="shared" si="27"/>
        <v>46605921435</v>
      </c>
      <c r="H25" s="76">
        <f>SUM(H22:H24)</f>
        <v>60061652176.329422</v>
      </c>
      <c r="I25" s="76">
        <f t="shared" si="27"/>
        <v>49346739864</v>
      </c>
      <c r="J25" s="76">
        <f t="shared" si="27"/>
        <v>61800308173.930939</v>
      </c>
      <c r="K25" s="77">
        <f>F25/E25</f>
        <v>1.0101248926940865</v>
      </c>
      <c r="L25" s="77">
        <f>H25/F25</f>
        <v>1.2470246484040928</v>
      </c>
      <c r="M25" s="77">
        <f t="shared" ref="M25" si="28">H25/F25</f>
        <v>1.2470246484040928</v>
      </c>
      <c r="N25" s="440">
        <f>SUM(N22:N24)</f>
        <v>57284190921</v>
      </c>
      <c r="O25" s="441">
        <f>SUM(O22:O24)</f>
        <v>60202716648.62999</v>
      </c>
      <c r="P25" s="319"/>
      <c r="Q25" s="319"/>
      <c r="R25" s="118" t="s">
        <v>21</v>
      </c>
      <c r="S25" s="116" t="e">
        <f t="shared" ref="S25:AD25" si="29">S10+S18</f>
        <v>#REF!</v>
      </c>
      <c r="T25" s="116" t="e">
        <f t="shared" si="29"/>
        <v>#REF!</v>
      </c>
      <c r="U25" s="116" t="e">
        <f t="shared" si="29"/>
        <v>#REF!</v>
      </c>
      <c r="V25" s="116" t="e">
        <f t="shared" si="29"/>
        <v>#REF!</v>
      </c>
      <c r="W25" s="116" t="e">
        <f t="shared" si="29"/>
        <v>#REF!</v>
      </c>
      <c r="X25" s="116" t="e">
        <f t="shared" si="29"/>
        <v>#REF!</v>
      </c>
      <c r="Y25" s="116" t="e">
        <f t="shared" si="29"/>
        <v>#REF!</v>
      </c>
      <c r="Z25" s="116" t="e">
        <f t="shared" si="29"/>
        <v>#REF!</v>
      </c>
      <c r="AA25" s="116" t="e">
        <f t="shared" si="29"/>
        <v>#REF!</v>
      </c>
      <c r="AB25" s="116" t="e">
        <f t="shared" si="29"/>
        <v>#REF!</v>
      </c>
      <c r="AC25" s="116" t="e">
        <f t="shared" si="29"/>
        <v>#REF!</v>
      </c>
      <c r="AD25" s="116" t="e">
        <f t="shared" si="29"/>
        <v>#REF!</v>
      </c>
      <c r="AE25" s="117" t="e">
        <f>SUM(S25:AD25)</f>
        <v>#REF!</v>
      </c>
      <c r="AH25" s="116" t="e">
        <f t="shared" ref="AH25:AS25" si="30">AH10+AH18</f>
        <v>#REF!</v>
      </c>
      <c r="AI25" s="116" t="e">
        <f t="shared" si="30"/>
        <v>#REF!</v>
      </c>
      <c r="AJ25" s="116" t="e">
        <f t="shared" si="30"/>
        <v>#REF!</v>
      </c>
      <c r="AK25" s="116" t="e">
        <f t="shared" si="30"/>
        <v>#REF!</v>
      </c>
      <c r="AL25" s="116" t="e">
        <f t="shared" si="30"/>
        <v>#REF!</v>
      </c>
      <c r="AM25" s="116" t="e">
        <f t="shared" si="30"/>
        <v>#REF!</v>
      </c>
      <c r="AN25" s="116" t="e">
        <f t="shared" si="30"/>
        <v>#REF!</v>
      </c>
      <c r="AO25" s="116" t="e">
        <f t="shared" si="30"/>
        <v>#REF!</v>
      </c>
      <c r="AP25" s="116" t="e">
        <f t="shared" si="30"/>
        <v>#REF!</v>
      </c>
      <c r="AQ25" s="116" t="e">
        <f t="shared" si="30"/>
        <v>#REF!</v>
      </c>
      <c r="AR25" s="116" t="e">
        <f t="shared" si="30"/>
        <v>#REF!</v>
      </c>
      <c r="AS25" s="116" t="e">
        <f t="shared" si="30"/>
        <v>#REF!</v>
      </c>
      <c r="AT25" s="117" t="e">
        <f>SUM(AH25:AS25)</f>
        <v>#REF!</v>
      </c>
    </row>
    <row r="26" spans="2:48">
      <c r="E26" s="19"/>
      <c r="F26" s="19"/>
      <c r="G26" s="19"/>
      <c r="H26" s="19"/>
      <c r="I26" s="19"/>
      <c r="J26" s="19"/>
      <c r="M26" s="20"/>
      <c r="N26" s="19"/>
    </row>
    <row r="27" spans="2:48">
      <c r="B27" s="24"/>
      <c r="C27" s="23"/>
      <c r="D27" s="23"/>
      <c r="E27" s="23"/>
      <c r="F27" s="23"/>
      <c r="G27" s="23"/>
      <c r="H27" s="23"/>
      <c r="I27" s="23"/>
      <c r="J27" s="23"/>
      <c r="K27" s="24"/>
      <c r="L27" s="24"/>
      <c r="M27" s="24"/>
    </row>
    <row r="28" spans="2:48">
      <c r="B28" s="1" t="s">
        <v>210</v>
      </c>
    </row>
    <row r="29" spans="2:48">
      <c r="B29" s="370" t="s">
        <v>1</v>
      </c>
      <c r="C29" s="370" t="s">
        <v>2</v>
      </c>
      <c r="D29" s="370" t="s">
        <v>26</v>
      </c>
      <c r="E29" s="370" t="s">
        <v>154</v>
      </c>
      <c r="F29" s="370" t="s">
        <v>106</v>
      </c>
      <c r="G29" s="370" t="s">
        <v>158</v>
      </c>
      <c r="H29" s="371" t="s">
        <v>172</v>
      </c>
      <c r="I29" s="371" t="s">
        <v>107</v>
      </c>
      <c r="J29" s="371" t="s">
        <v>108</v>
      </c>
      <c r="K29" s="372"/>
      <c r="L29" s="372"/>
      <c r="M29" s="372"/>
    </row>
    <row r="30" spans="2:48">
      <c r="B30" s="373"/>
      <c r="C30" s="373"/>
      <c r="D30" s="374"/>
      <c r="E30" s="373" t="s">
        <v>8</v>
      </c>
      <c r="F30" s="373" t="s">
        <v>9</v>
      </c>
      <c r="G30" s="373"/>
      <c r="H30" s="373" t="s">
        <v>10</v>
      </c>
      <c r="I30" s="373"/>
      <c r="J30" s="373" t="s">
        <v>11</v>
      </c>
      <c r="K30" s="373" t="s">
        <v>12</v>
      </c>
      <c r="L30" s="373" t="s">
        <v>13</v>
      </c>
      <c r="M30" s="373" t="s">
        <v>14</v>
      </c>
    </row>
    <row r="31" spans="2:48">
      <c r="B31" s="314" t="s">
        <v>206</v>
      </c>
      <c r="C31" s="4" t="s">
        <v>16</v>
      </c>
      <c r="D31" s="4" t="s">
        <v>17</v>
      </c>
      <c r="E31" s="15">
        <v>5775542903</v>
      </c>
      <c r="F31" s="15">
        <v>6091861238.4112024</v>
      </c>
      <c r="G31" s="15">
        <v>5334422376</v>
      </c>
      <c r="H31" s="197">
        <f>'PANDU CWD'!$O$76</f>
        <v>4145058814.7834053</v>
      </c>
      <c r="I31" s="106">
        <v>5660490824</v>
      </c>
      <c r="J31" s="197">
        <f>'PANDU CWD'!$AI$76</f>
        <v>5199880926</v>
      </c>
      <c r="K31" s="16">
        <f>H31/E31</f>
        <v>0.71769163252693191</v>
      </c>
      <c r="L31" s="16">
        <f>H31/F31</f>
        <v>0.68042567822251709</v>
      </c>
      <c r="M31" s="16">
        <f>J31/H31</f>
        <v>1.2544769949836558</v>
      </c>
      <c r="N31" s="73">
        <v>3246407572</v>
      </c>
      <c r="O31" s="73">
        <v>3338943285.7195415</v>
      </c>
      <c r="S31">
        <v>3338943285.7195415</v>
      </c>
    </row>
    <row r="32" spans="2:48">
      <c r="B32" s="315"/>
      <c r="C32" s="4" t="s">
        <v>19</v>
      </c>
      <c r="D32" s="4" t="s">
        <v>18</v>
      </c>
      <c r="E32" s="17">
        <v>41905655605</v>
      </c>
      <c r="F32" s="17">
        <v>42072104288.007736</v>
      </c>
      <c r="G32" s="17">
        <v>41271499059</v>
      </c>
      <c r="H32" s="198">
        <f>'TUNDA CWD'!Q193</f>
        <v>23573621261.740303</v>
      </c>
      <c r="I32" s="74">
        <v>43686249040</v>
      </c>
      <c r="J32" s="198">
        <f>'TUNDA CWD'!AN193</f>
        <v>30388832037.237984</v>
      </c>
      <c r="K32" s="16">
        <f t="shared" ref="K32:K33" si="31">H32/E32</f>
        <v>0.56254032830183431</v>
      </c>
      <c r="L32" s="16">
        <f t="shared" ref="L32" si="32">H32/F32</f>
        <v>0.56031476582120343</v>
      </c>
      <c r="M32" s="16">
        <f t="shared" ref="M32" si="33">J32/H32</f>
        <v>1.2891032607942456</v>
      </c>
      <c r="N32" s="73">
        <v>25190007954.400005</v>
      </c>
      <c r="O32" s="73">
        <v>25781749969.648205</v>
      </c>
      <c r="S32">
        <v>25781749969.648205</v>
      </c>
    </row>
    <row r="33" spans="2:19">
      <c r="B33" s="316"/>
      <c r="C33" s="4" t="s">
        <v>202</v>
      </c>
      <c r="D33" s="4" t="s">
        <v>203</v>
      </c>
      <c r="E33" s="17"/>
      <c r="F33" s="17"/>
      <c r="G33" s="17"/>
      <c r="H33" s="198">
        <f>'TAMBAT CWD'!O70</f>
        <v>42265746216.495537</v>
      </c>
      <c r="I33" s="74"/>
      <c r="J33" s="198">
        <f>'TAMBAT CWD'!AF70</f>
        <v>45970214667.964287</v>
      </c>
      <c r="K33" s="16" t="e">
        <f t="shared" si="31"/>
        <v>#DIV/0!</v>
      </c>
      <c r="L33" s="16" t="e">
        <f>H33/F33</f>
        <v>#DIV/0!</v>
      </c>
      <c r="M33" s="16">
        <f>J33/H33</f>
        <v>1.0876470613459313</v>
      </c>
      <c r="N33" s="73">
        <v>42162843914</v>
      </c>
      <c r="O33" s="73">
        <v>45969518166.89183</v>
      </c>
      <c r="S33">
        <v>45969518166.89183</v>
      </c>
    </row>
    <row r="34" spans="2:19">
      <c r="B34" s="317" t="s">
        <v>28</v>
      </c>
      <c r="C34" s="317"/>
      <c r="D34" s="317"/>
      <c r="E34" s="76">
        <f t="shared" ref="E34" si="34">SUM(E31:E33)</f>
        <v>47681198508</v>
      </c>
      <c r="F34" s="76">
        <f t="shared" ref="F34" si="35">SUM(F31:F33)</f>
        <v>48163965526.418938</v>
      </c>
      <c r="G34" s="76">
        <f t="shared" ref="G34" si="36">SUM(G31:G33)</f>
        <v>46605921435</v>
      </c>
      <c r="H34" s="76">
        <f>SUM(H31:H33)</f>
        <v>69984426293.019241</v>
      </c>
      <c r="I34" s="76">
        <f t="shared" ref="I34" si="37">SUM(I31:I33)</f>
        <v>49346739864</v>
      </c>
      <c r="J34" s="76">
        <f t="shared" ref="J34" si="38">SUM(J31:J33)</f>
        <v>81558927631.202271</v>
      </c>
      <c r="K34" s="77">
        <f>F34/E34</f>
        <v>1.0101248926940865</v>
      </c>
      <c r="L34" s="77">
        <f>H34/F34</f>
        <v>1.4530453530582179</v>
      </c>
      <c r="M34" s="77">
        <f t="shared" ref="M34" si="39">H34/F34</f>
        <v>1.4530453530582179</v>
      </c>
      <c r="N34" s="439">
        <f>SUM(N31:N33)</f>
        <v>70599259440.400009</v>
      </c>
      <c r="O34" s="381">
        <f>SUM(O31:O33)</f>
        <v>75090211422.259583</v>
      </c>
    </row>
    <row r="37" spans="2:19">
      <c r="B37" s="1" t="s">
        <v>209</v>
      </c>
    </row>
    <row r="38" spans="2:19">
      <c r="B38" s="375" t="s">
        <v>1</v>
      </c>
      <c r="C38" s="375" t="s">
        <v>2</v>
      </c>
      <c r="D38" s="375" t="s">
        <v>26</v>
      </c>
      <c r="E38" s="375" t="s">
        <v>154</v>
      </c>
      <c r="F38" s="375" t="s">
        <v>106</v>
      </c>
      <c r="G38" s="375" t="s">
        <v>158</v>
      </c>
      <c r="H38" s="376" t="s">
        <v>172</v>
      </c>
      <c r="I38" s="376" t="s">
        <v>107</v>
      </c>
      <c r="J38" s="376" t="s">
        <v>108</v>
      </c>
      <c r="K38" s="377"/>
      <c r="L38" s="377"/>
      <c r="M38" s="377"/>
    </row>
    <row r="39" spans="2:19">
      <c r="B39" s="378"/>
      <c r="C39" s="378"/>
      <c r="D39" s="379"/>
      <c r="E39" s="378" t="s">
        <v>8</v>
      </c>
      <c r="F39" s="378" t="s">
        <v>9</v>
      </c>
      <c r="G39" s="378"/>
      <c r="H39" s="378" t="s">
        <v>10</v>
      </c>
      <c r="I39" s="378"/>
      <c r="J39" s="378" t="s">
        <v>11</v>
      </c>
      <c r="K39" s="378" t="s">
        <v>12</v>
      </c>
      <c r="L39" s="378" t="s">
        <v>13</v>
      </c>
      <c r="M39" s="378" t="s">
        <v>14</v>
      </c>
    </row>
    <row r="40" spans="2:19">
      <c r="B40" s="314" t="s">
        <v>211</v>
      </c>
      <c r="C40" s="4" t="s">
        <v>16</v>
      </c>
      <c r="D40" s="4" t="s">
        <v>17</v>
      </c>
      <c r="E40" s="15">
        <v>5775542903</v>
      </c>
      <c r="F40" s="15">
        <v>6091861238.4112024</v>
      </c>
      <c r="G40" s="15">
        <v>5334422376</v>
      </c>
      <c r="H40" s="197">
        <f>'PANDU CWD'!$O$76</f>
        <v>4145058814.7834053</v>
      </c>
      <c r="I40" s="106">
        <v>5660490824</v>
      </c>
      <c r="J40" s="197">
        <f>'PANDU IKPP'!$AI$76</f>
        <v>3230788922.4000001</v>
      </c>
      <c r="K40" s="16">
        <f>H40/E40</f>
        <v>0.71769163252693191</v>
      </c>
      <c r="L40" s="16">
        <f>H40/F40</f>
        <v>0.68042567822251709</v>
      </c>
      <c r="M40" s="16">
        <f>J40/H40</f>
        <v>0.77943138246370591</v>
      </c>
      <c r="N40" s="73">
        <v>82537327</v>
      </c>
      <c r="O40" s="73">
        <v>85977012.132499993</v>
      </c>
    </row>
    <row r="41" spans="2:19">
      <c r="B41" s="315"/>
      <c r="C41" s="4" t="s">
        <v>19</v>
      </c>
      <c r="D41" s="4" t="s">
        <v>18</v>
      </c>
      <c r="E41" s="17">
        <v>41905655605</v>
      </c>
      <c r="F41" s="17">
        <v>42072104288.007736</v>
      </c>
      <c r="G41" s="17">
        <v>41271499059</v>
      </c>
      <c r="H41" s="198">
        <f>'TUNDA CWD'!Q202</f>
        <v>17604695.446762223</v>
      </c>
      <c r="I41" s="74">
        <v>43686249040</v>
      </c>
      <c r="J41" s="198">
        <f>'TUNDA CWD'!AN202</f>
        <v>20247698.351276554</v>
      </c>
      <c r="K41" s="16">
        <f t="shared" ref="K41:K42" si="40">H41/E41</f>
        <v>4.2010309092173483E-4</v>
      </c>
      <c r="L41" s="16">
        <f t="shared" ref="L41" si="41">H41/F41</f>
        <v>4.1844104887761173E-4</v>
      </c>
      <c r="M41" s="16">
        <f t="shared" ref="M41" si="42">J41/H41</f>
        <v>1.1501305667290269</v>
      </c>
      <c r="N41" s="73">
        <v>778864074.60000014</v>
      </c>
      <c r="O41" s="73">
        <v>811947649.87150013</v>
      </c>
    </row>
    <row r="42" spans="2:19">
      <c r="B42" s="316"/>
      <c r="C42" s="4" t="s">
        <v>202</v>
      </c>
      <c r="D42" s="4" t="s">
        <v>203</v>
      </c>
      <c r="E42" s="17"/>
      <c r="F42" s="17"/>
      <c r="G42" s="17"/>
      <c r="H42" s="198">
        <f>'TAMBAT CWD'!O79</f>
        <v>0</v>
      </c>
      <c r="I42" s="74"/>
      <c r="J42" s="198">
        <f>'TAMBAT CWD'!AF79</f>
        <v>0</v>
      </c>
      <c r="K42" s="16" t="e">
        <f t="shared" si="40"/>
        <v>#DIV/0!</v>
      </c>
      <c r="L42" s="16" t="e">
        <f>H42/F42</f>
        <v>#DIV/0!</v>
      </c>
      <c r="M42" s="16" t="e">
        <f>J42/H42</f>
        <v>#DIV/0!</v>
      </c>
      <c r="N42" s="73">
        <v>57034893</v>
      </c>
      <c r="O42" s="73">
        <v>60770090.067500003</v>
      </c>
    </row>
    <row r="43" spans="2:19">
      <c r="B43" s="317" t="s">
        <v>28</v>
      </c>
      <c r="C43" s="317"/>
      <c r="D43" s="317"/>
      <c r="E43" s="76">
        <f t="shared" ref="E43:G43" si="43">SUM(E40:E42)</f>
        <v>47681198508</v>
      </c>
      <c r="F43" s="76">
        <f t="shared" si="43"/>
        <v>48163965526.418938</v>
      </c>
      <c r="G43" s="76">
        <f t="shared" si="43"/>
        <v>46605921435</v>
      </c>
      <c r="H43" s="76">
        <f>SUM(H40:H42)</f>
        <v>4162663510.2301674</v>
      </c>
      <c r="I43" s="76">
        <f t="shared" ref="I43:J43" si="44">SUM(I40:I42)</f>
        <v>49346739864</v>
      </c>
      <c r="J43" s="76">
        <f t="shared" si="44"/>
        <v>3251036620.7512765</v>
      </c>
      <c r="K43" s="77">
        <f>F43/E43</f>
        <v>1.0101248926940865</v>
      </c>
      <c r="L43" s="77">
        <f>H43/F43</f>
        <v>8.6426926535915313E-2</v>
      </c>
      <c r="M43" s="77">
        <f t="shared" ref="M43" si="45">H43/F43</f>
        <v>8.6426926535915313E-2</v>
      </c>
      <c r="N43" s="439">
        <f>SUM(N40:N42)</f>
        <v>918436294.60000014</v>
      </c>
      <c r="O43" s="381">
        <f>SUM(O40:O42)</f>
        <v>958694752.07150018</v>
      </c>
    </row>
    <row r="46" spans="2:19">
      <c r="B46" s="1" t="s">
        <v>240</v>
      </c>
    </row>
    <row r="47" spans="2:19">
      <c r="B47" s="375" t="s">
        <v>1</v>
      </c>
      <c r="C47" s="375" t="s">
        <v>2</v>
      </c>
      <c r="D47" s="375" t="s">
        <v>26</v>
      </c>
      <c r="E47" s="375" t="s">
        <v>154</v>
      </c>
      <c r="F47" s="375" t="s">
        <v>106</v>
      </c>
      <c r="G47" s="375" t="s">
        <v>158</v>
      </c>
      <c r="H47" s="376" t="s">
        <v>172</v>
      </c>
      <c r="I47" s="376" t="s">
        <v>107</v>
      </c>
      <c r="J47" s="376" t="s">
        <v>108</v>
      </c>
      <c r="K47" s="377"/>
      <c r="L47" s="377"/>
      <c r="M47" s="377"/>
    </row>
    <row r="48" spans="2:19">
      <c r="B48" s="378"/>
      <c r="C48" s="378"/>
      <c r="D48" s="379"/>
      <c r="E48" s="378" t="s">
        <v>8</v>
      </c>
      <c r="F48" s="378" t="s">
        <v>9</v>
      </c>
      <c r="G48" s="378"/>
      <c r="H48" s="378" t="s">
        <v>10</v>
      </c>
      <c r="I48" s="378"/>
      <c r="J48" s="378" t="s">
        <v>11</v>
      </c>
      <c r="K48" s="378" t="s">
        <v>12</v>
      </c>
      <c r="L48" s="378" t="s">
        <v>13</v>
      </c>
      <c r="M48" s="378" t="s">
        <v>14</v>
      </c>
    </row>
    <row r="49" spans="2:15">
      <c r="B49" s="314" t="s">
        <v>211</v>
      </c>
      <c r="C49" s="4" t="s">
        <v>16</v>
      </c>
      <c r="D49" s="4" t="s">
        <v>17</v>
      </c>
      <c r="E49" s="15">
        <v>5775542903</v>
      </c>
      <c r="F49" s="15">
        <v>6091861238.4112024</v>
      </c>
      <c r="G49" s="15">
        <v>5334422376</v>
      </c>
      <c r="H49" s="197">
        <f>'PANDU TUKS'!O101</f>
        <v>30955639020.494553</v>
      </c>
      <c r="I49" s="106">
        <v>5660490824</v>
      </c>
      <c r="J49" s="197">
        <f>'PANDU TUKS'!AG101</f>
        <v>35323284331.33493</v>
      </c>
      <c r="K49" s="16">
        <f>H49/E49</f>
        <v>5.3597799445685377</v>
      </c>
      <c r="L49" s="16">
        <f>H49/F49</f>
        <v>5.081474742942107</v>
      </c>
      <c r="M49" s="16">
        <f>J49/H49</f>
        <v>1.1410936891966186</v>
      </c>
      <c r="N49" s="73">
        <v>31468906632</v>
      </c>
      <c r="O49" s="73">
        <v>32412973830.960007</v>
      </c>
    </row>
    <row r="50" spans="2:15">
      <c r="B50" s="315"/>
      <c r="C50" s="4" t="s">
        <v>19</v>
      </c>
      <c r="D50" s="4" t="s">
        <v>18</v>
      </c>
      <c r="E50" s="17">
        <v>41905655605</v>
      </c>
      <c r="F50" s="17">
        <v>42072104288.007736</v>
      </c>
      <c r="G50" s="17">
        <v>41271499059</v>
      </c>
      <c r="H50" s="198">
        <f>'TUNDA TUKS'!P286</f>
        <v>201661288508.07019</v>
      </c>
      <c r="I50" s="74">
        <v>43686249040</v>
      </c>
      <c r="J50" s="198">
        <f>'TUNDA TUKS'!AM286</f>
        <v>206274289285.38016</v>
      </c>
      <c r="K50" s="16">
        <f t="shared" ref="K50" si="46">H50/E50</f>
        <v>4.8122690266181838</v>
      </c>
      <c r="L50" s="16">
        <f t="shared" ref="L50" si="47">H50/F50</f>
        <v>4.7932303820028288</v>
      </c>
      <c r="M50" s="16">
        <f t="shared" ref="M50" si="48">J50/H50</f>
        <v>1.0228749940627566</v>
      </c>
      <c r="N50" s="73">
        <v>166860528465</v>
      </c>
      <c r="O50" s="73">
        <v>171866344318.95004</v>
      </c>
    </row>
    <row r="51" spans="2:15">
      <c r="B51" s="317" t="s">
        <v>28</v>
      </c>
      <c r="C51" s="317"/>
      <c r="D51" s="317"/>
      <c r="E51" s="76">
        <f>SUM(E49:E50)</f>
        <v>47681198508</v>
      </c>
      <c r="F51" s="76">
        <f>SUM(F49:F50)</f>
        <v>48163965526.418938</v>
      </c>
      <c r="G51" s="76">
        <f>SUM(G49:G50)</f>
        <v>46605921435</v>
      </c>
      <c r="H51" s="76">
        <f>SUM(H49:H50)</f>
        <v>232616927528.56476</v>
      </c>
      <c r="I51" s="76">
        <f>SUM(I49:I50)</f>
        <v>49346739864</v>
      </c>
      <c r="J51" s="76">
        <f>SUM(J49:J50)</f>
        <v>241597573616.71509</v>
      </c>
      <c r="K51" s="77">
        <f>F51/E51</f>
        <v>1.0101248926940865</v>
      </c>
      <c r="L51" s="77">
        <f>H51/F51</f>
        <v>4.8296880247738221</v>
      </c>
      <c r="M51" s="77">
        <f t="shared" ref="M51" si="49">H51/F51</f>
        <v>4.8296880247738221</v>
      </c>
      <c r="N51" s="439">
        <f>SUM(N49:N50)</f>
        <v>198329435097</v>
      </c>
      <c r="O51" s="381">
        <f>SUM(O49:O50)</f>
        <v>204279318149.91003</v>
      </c>
    </row>
    <row r="52" spans="2:15">
      <c r="H52" s="73"/>
      <c r="J52" s="73"/>
    </row>
    <row r="53" spans="2:15">
      <c r="H53" s="73"/>
      <c r="J53" s="73"/>
    </row>
    <row r="54" spans="2:15">
      <c r="B54" s="70" t="s">
        <v>29</v>
      </c>
      <c r="D54" s="70"/>
      <c r="E54" s="70"/>
      <c r="F54" s="70"/>
      <c r="G54" s="70"/>
      <c r="H54" s="70"/>
      <c r="I54" s="70"/>
      <c r="J54" s="70"/>
    </row>
    <row r="55" spans="2:15">
      <c r="B55" s="21">
        <v>1</v>
      </c>
      <c r="C55" s="70" t="s">
        <v>30</v>
      </c>
      <c r="D55" s="70"/>
      <c r="E55" s="70"/>
      <c r="F55" s="70"/>
      <c r="G55" s="70"/>
      <c r="H55" s="70"/>
    </row>
    <row r="56" spans="2:15">
      <c r="B56" s="21">
        <v>2</v>
      </c>
      <c r="C56" s="78" t="s">
        <v>31</v>
      </c>
      <c r="D56" s="78"/>
      <c r="E56" s="78"/>
      <c r="F56" s="78"/>
      <c r="G56" s="78"/>
      <c r="H56" s="78"/>
    </row>
    <row r="57" spans="2:15">
      <c r="B57" s="21">
        <v>3</v>
      </c>
      <c r="C57" s="22" t="s">
        <v>32</v>
      </c>
      <c r="D57" s="23"/>
      <c r="E57" s="23"/>
      <c r="F57" s="23"/>
      <c r="G57" s="23"/>
      <c r="H57" s="23"/>
    </row>
    <row r="58" spans="2:15">
      <c r="B58" s="21">
        <v>4</v>
      </c>
      <c r="C58" s="24" t="s">
        <v>33</v>
      </c>
      <c r="D58" s="25"/>
      <c r="E58" s="25"/>
      <c r="F58" s="25"/>
      <c r="G58" s="25"/>
      <c r="H58" s="25"/>
    </row>
    <row r="59" spans="2:15">
      <c r="B59" s="21">
        <v>5</v>
      </c>
      <c r="C59" s="24" t="s">
        <v>34</v>
      </c>
      <c r="D59" s="24"/>
      <c r="E59" s="24"/>
      <c r="F59" s="24"/>
      <c r="G59" s="24"/>
      <c r="H59" s="24"/>
    </row>
  </sheetData>
  <mergeCells count="34">
    <mergeCell ref="B51:D51"/>
    <mergeCell ref="K38:M38"/>
    <mergeCell ref="B40:B42"/>
    <mergeCell ref="B43:D43"/>
    <mergeCell ref="K47:M47"/>
    <mergeCell ref="B49:B50"/>
    <mergeCell ref="K4:M4"/>
    <mergeCell ref="B6:B9"/>
    <mergeCell ref="C6:C7"/>
    <mergeCell ref="C8:C9"/>
    <mergeCell ref="B10:B13"/>
    <mergeCell ref="C10:C11"/>
    <mergeCell ref="C12:C13"/>
    <mergeCell ref="B14:B17"/>
    <mergeCell ref="C14:C15"/>
    <mergeCell ref="C16:C17"/>
    <mergeCell ref="K20:M20"/>
    <mergeCell ref="B22:B24"/>
    <mergeCell ref="K29:M29"/>
    <mergeCell ref="B31:B33"/>
    <mergeCell ref="B34:D34"/>
    <mergeCell ref="AH1:AT1"/>
    <mergeCell ref="P1:AE1"/>
    <mergeCell ref="P2:R2"/>
    <mergeCell ref="P3:P10"/>
    <mergeCell ref="Q3:Q6"/>
    <mergeCell ref="Q7:Q10"/>
    <mergeCell ref="P11:P18"/>
    <mergeCell ref="Q11:Q14"/>
    <mergeCell ref="Q15:Q18"/>
    <mergeCell ref="P19:P25"/>
    <mergeCell ref="Q19:Q22"/>
    <mergeCell ref="Q23:Q25"/>
    <mergeCell ref="B25:D25"/>
  </mergeCells>
  <pageMargins left="0.51181102362204722" right="0.31496062992125984" top="0.55118110236220474" bottom="0.55118110236220474" header="0.31496062992125984" footer="0.31496062992125984"/>
  <pageSetup paperSize="9" scale="93" orientation="landscape" r:id="rId1"/>
  <customProperties>
    <customPr name="EpmWorksheetKeyString_GUID" r:id="rId2"/>
    <customPr name="FPMExcelClientCellBasedFunctionStatus" r:id="rId3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CA36"/>
  <sheetViews>
    <sheetView showGridLines="0" zoomScale="70" zoomScaleNormal="70" zoomScaleSheetLayoutView="90" workbookViewId="0">
      <selection activeCell="E3" sqref="E3"/>
    </sheetView>
  </sheetViews>
  <sheetFormatPr defaultColWidth="9.109375" defaultRowHeight="13.2" outlineLevelCol="1"/>
  <cols>
    <col min="1" max="1" width="6.6640625" style="125" customWidth="1"/>
    <col min="2" max="2" width="20.5546875" style="126" bestFit="1" customWidth="1"/>
    <col min="3" max="3" width="9.6640625" style="128" bestFit="1" customWidth="1"/>
    <col min="4" max="4" width="13.33203125" style="128" customWidth="1"/>
    <col min="5" max="5" width="15.21875" style="128" customWidth="1"/>
    <col min="6" max="11" width="13.44140625" style="128" hidden="1" customWidth="1" outlineLevel="1"/>
    <col min="12" max="12" width="13.44140625" style="128" customWidth="1" collapsed="1"/>
    <col min="13" max="18" width="13.44140625" style="128" hidden="1" customWidth="1" outlineLevel="1"/>
    <col min="19" max="19" width="13.44140625" style="128" customWidth="1" collapsed="1"/>
    <col min="20" max="21" width="13.44140625" style="128" customWidth="1"/>
    <col min="22" max="33" width="13.44140625" style="128" hidden="1" customWidth="1" outlineLevel="1"/>
    <col min="34" max="34" width="13.44140625" style="128" customWidth="1" collapsed="1"/>
    <col min="35" max="38" width="13.44140625" style="128" customWidth="1"/>
    <col min="39" max="39" width="9.88671875" style="128" bestFit="1" customWidth="1"/>
    <col min="40" max="40" width="3.88671875" style="128" bestFit="1" customWidth="1"/>
    <col min="41" max="41" width="21.44140625" style="128" bestFit="1" customWidth="1"/>
    <col min="42" max="42" width="12.33203125" style="128" bestFit="1" customWidth="1"/>
    <col min="43" max="54" width="12.6640625" style="128" hidden="1" customWidth="1" outlineLevel="1"/>
    <col min="55" max="55" width="13.88671875" style="128" bestFit="1" customWidth="1" collapsed="1"/>
    <col min="56" max="56" width="12.6640625" style="128" customWidth="1"/>
    <col min="57" max="68" width="12.6640625" style="128" hidden="1" customWidth="1" outlineLevel="1"/>
    <col min="69" max="69" width="14.33203125" style="128" bestFit="1" customWidth="1" collapsed="1"/>
    <col min="70" max="70" width="9.109375" style="128"/>
    <col min="71" max="71" width="15.6640625" style="128" bestFit="1" customWidth="1"/>
    <col min="72" max="72" width="6.77734375" style="128" hidden="1" customWidth="1"/>
    <col min="73" max="73" width="8.109375" style="128" hidden="1" customWidth="1"/>
    <col min="74" max="74" width="9.6640625" style="128" hidden="1" customWidth="1"/>
    <col min="75" max="78" width="16.109375" style="128" hidden="1" customWidth="1"/>
    <col min="79" max="79" width="10.5546875" style="128" hidden="1" customWidth="1"/>
    <col min="80" max="16384" width="9.109375" style="128"/>
  </cols>
  <sheetData>
    <row r="1" spans="1:79">
      <c r="C1" s="127"/>
      <c r="D1" s="127"/>
      <c r="E1" s="127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127"/>
      <c r="T1" s="173"/>
      <c r="U1" s="173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214"/>
      <c r="AJ1" s="158"/>
      <c r="AK1" s="158"/>
      <c r="AL1" s="158"/>
      <c r="AN1" s="128" t="s">
        <v>148</v>
      </c>
      <c r="BE1" s="128" t="s">
        <v>162</v>
      </c>
    </row>
    <row r="2" spans="1:79" ht="26.4">
      <c r="A2" s="143" t="s">
        <v>128</v>
      </c>
      <c r="B2" s="143" t="s">
        <v>129</v>
      </c>
      <c r="C2" s="144" t="s">
        <v>26</v>
      </c>
      <c r="D2" s="216" t="s">
        <v>154</v>
      </c>
      <c r="E2" s="144" t="s">
        <v>106</v>
      </c>
      <c r="F2" s="129">
        <v>45658</v>
      </c>
      <c r="G2" s="129">
        <v>45689</v>
      </c>
      <c r="H2" s="129">
        <v>45717</v>
      </c>
      <c r="I2" s="129">
        <v>45748</v>
      </c>
      <c r="J2" s="129">
        <v>45778</v>
      </c>
      <c r="K2" s="129">
        <v>45809</v>
      </c>
      <c r="L2" s="145" t="s">
        <v>152</v>
      </c>
      <c r="M2" s="129">
        <v>45839</v>
      </c>
      <c r="N2" s="129">
        <v>45870</v>
      </c>
      <c r="O2" s="129">
        <v>45901</v>
      </c>
      <c r="P2" s="129">
        <v>45931</v>
      </c>
      <c r="Q2" s="129">
        <v>45962</v>
      </c>
      <c r="R2" s="129">
        <v>45992</v>
      </c>
      <c r="S2" s="200" t="s">
        <v>161</v>
      </c>
      <c r="T2" s="223" t="s">
        <v>160</v>
      </c>
      <c r="U2" s="185"/>
      <c r="V2" s="129">
        <v>46023</v>
      </c>
      <c r="W2" s="129">
        <v>46054</v>
      </c>
      <c r="X2" s="129">
        <v>46082</v>
      </c>
      <c r="Y2" s="129">
        <v>46113</v>
      </c>
      <c r="Z2" s="129">
        <v>46143</v>
      </c>
      <c r="AA2" s="129">
        <v>46174</v>
      </c>
      <c r="AB2" s="129">
        <v>46204</v>
      </c>
      <c r="AC2" s="129">
        <v>46235</v>
      </c>
      <c r="AD2" s="129">
        <v>46266</v>
      </c>
      <c r="AE2" s="129">
        <v>46296</v>
      </c>
      <c r="AF2" s="129">
        <v>46327</v>
      </c>
      <c r="AG2" s="129">
        <v>46357</v>
      </c>
      <c r="AH2" s="130" t="s">
        <v>107</v>
      </c>
      <c r="AI2" s="215" t="s">
        <v>169</v>
      </c>
      <c r="AJ2" s="199" t="s">
        <v>159</v>
      </c>
      <c r="AK2" s="159" t="s">
        <v>163</v>
      </c>
      <c r="AL2" s="159"/>
      <c r="AN2" s="143" t="s">
        <v>128</v>
      </c>
      <c r="AO2" s="143" t="s">
        <v>129</v>
      </c>
      <c r="AP2" s="144" t="s">
        <v>26</v>
      </c>
      <c r="AQ2" s="129">
        <v>45658</v>
      </c>
      <c r="AR2" s="129">
        <v>45689</v>
      </c>
      <c r="AS2" s="129">
        <v>45717</v>
      </c>
      <c r="AT2" s="129">
        <v>45748</v>
      </c>
      <c r="AU2" s="129">
        <v>45778</v>
      </c>
      <c r="AV2" s="129">
        <v>45809</v>
      </c>
      <c r="AW2" s="129">
        <v>45839</v>
      </c>
      <c r="AX2" s="129">
        <v>45870</v>
      </c>
      <c r="AY2" s="129">
        <v>45901</v>
      </c>
      <c r="AZ2" s="129">
        <v>45931</v>
      </c>
      <c r="BA2" s="129">
        <v>45962</v>
      </c>
      <c r="BB2" s="129">
        <v>45992</v>
      </c>
      <c r="BC2" s="184" t="s">
        <v>150</v>
      </c>
      <c r="BD2" s="185"/>
      <c r="BE2" s="168">
        <v>46023</v>
      </c>
      <c r="BF2" s="129">
        <v>46054</v>
      </c>
      <c r="BG2" s="168">
        <v>46082</v>
      </c>
      <c r="BH2" s="129">
        <v>46113</v>
      </c>
      <c r="BI2" s="168">
        <v>46143</v>
      </c>
      <c r="BJ2" s="129">
        <v>46174</v>
      </c>
      <c r="BK2" s="168">
        <v>46204</v>
      </c>
      <c r="BL2" s="129">
        <v>46235</v>
      </c>
      <c r="BM2" s="168">
        <v>46266</v>
      </c>
      <c r="BN2" s="129">
        <v>46296</v>
      </c>
      <c r="BO2" s="168">
        <v>46327</v>
      </c>
      <c r="BP2" s="129">
        <v>46357</v>
      </c>
      <c r="BQ2" s="130" t="s">
        <v>107</v>
      </c>
      <c r="BT2" s="68" t="s">
        <v>1</v>
      </c>
      <c r="BU2" s="68" t="s">
        <v>2</v>
      </c>
      <c r="BV2" s="68" t="s">
        <v>26</v>
      </c>
      <c r="BW2" s="68" t="s">
        <v>154</v>
      </c>
      <c r="BX2" s="68" t="s">
        <v>106</v>
      </c>
      <c r="BY2" s="12" t="s">
        <v>150</v>
      </c>
      <c r="BZ2" s="12" t="s">
        <v>107</v>
      </c>
      <c r="CA2" s="183" t="s">
        <v>7</v>
      </c>
    </row>
    <row r="3" spans="1:79" ht="14.4">
      <c r="A3" s="304">
        <v>1</v>
      </c>
      <c r="B3" s="312" t="s">
        <v>131</v>
      </c>
      <c r="C3" s="131" t="s">
        <v>105</v>
      </c>
      <c r="D3" s="132">
        <v>956</v>
      </c>
      <c r="E3" s="132">
        <v>956</v>
      </c>
      <c r="F3" s="132">
        <f>F5+F7</f>
        <v>32</v>
      </c>
      <c r="G3" s="132">
        <f t="shared" ref="G3:R3" si="0">G5+G7</f>
        <v>37</v>
      </c>
      <c r="H3" s="132">
        <f t="shared" si="0"/>
        <v>159</v>
      </c>
      <c r="I3" s="132">
        <f t="shared" si="0"/>
        <v>39</v>
      </c>
      <c r="J3" s="132">
        <f t="shared" si="0"/>
        <v>34</v>
      </c>
      <c r="K3" s="132">
        <f t="shared" si="0"/>
        <v>37</v>
      </c>
      <c r="L3" s="132">
        <f>SUM(F3:K3)</f>
        <v>338</v>
      </c>
      <c r="M3" s="132">
        <f t="shared" si="0"/>
        <v>35</v>
      </c>
      <c r="N3" s="132">
        <f t="shared" si="0"/>
        <v>34</v>
      </c>
      <c r="O3" s="132">
        <f t="shared" si="0"/>
        <v>37</v>
      </c>
      <c r="P3" s="132">
        <f t="shared" si="0"/>
        <v>43</v>
      </c>
      <c r="Q3" s="132">
        <f t="shared" si="0"/>
        <v>37</v>
      </c>
      <c r="R3" s="132">
        <f t="shared" si="0"/>
        <v>32</v>
      </c>
      <c r="S3" s="132">
        <f>SUM(L3:R3)</f>
        <v>556</v>
      </c>
      <c r="T3" s="132">
        <f>T5+T7</f>
        <v>645</v>
      </c>
      <c r="U3" s="155">
        <f>S3-T3</f>
        <v>-89</v>
      </c>
      <c r="V3" s="132">
        <f>V5+V7</f>
        <v>38</v>
      </c>
      <c r="W3" s="132">
        <f t="shared" ref="W3:AG3" si="1">W5+W7</f>
        <v>37</v>
      </c>
      <c r="X3" s="132">
        <f t="shared" si="1"/>
        <v>177</v>
      </c>
      <c r="Y3" s="132">
        <f t="shared" si="1"/>
        <v>36</v>
      </c>
      <c r="Z3" s="132">
        <f t="shared" si="1"/>
        <v>36</v>
      </c>
      <c r="AA3" s="132">
        <f t="shared" si="1"/>
        <v>33</v>
      </c>
      <c r="AB3" s="132">
        <f t="shared" si="1"/>
        <v>52</v>
      </c>
      <c r="AC3" s="132">
        <f t="shared" si="1"/>
        <v>60</v>
      </c>
      <c r="AD3" s="132">
        <f t="shared" si="1"/>
        <v>52</v>
      </c>
      <c r="AE3" s="132">
        <f t="shared" si="1"/>
        <v>57</v>
      </c>
      <c r="AF3" s="132">
        <f t="shared" si="1"/>
        <v>52</v>
      </c>
      <c r="AG3" s="132">
        <f t="shared" si="1"/>
        <v>50</v>
      </c>
      <c r="AH3" s="132">
        <f>SUM(V3:AG3)</f>
        <v>680</v>
      </c>
      <c r="AI3" s="132">
        <f>AI5+AI7</f>
        <v>584</v>
      </c>
      <c r="AJ3" s="132">
        <f>AJ5+AJ7</f>
        <v>658</v>
      </c>
      <c r="AK3" s="160">
        <f>AH3-AJ3</f>
        <v>22</v>
      </c>
      <c r="AL3" s="160"/>
      <c r="AN3" s="304">
        <v>1</v>
      </c>
      <c r="AO3" s="312" t="s">
        <v>131</v>
      </c>
      <c r="AP3" s="131" t="s">
        <v>143</v>
      </c>
      <c r="AQ3" s="132">
        <f>AQ5+AQ7</f>
        <v>64</v>
      </c>
      <c r="AR3" s="132">
        <f t="shared" ref="AR3:BB3" si="2">AR5+AR7</f>
        <v>74</v>
      </c>
      <c r="AS3" s="132">
        <f t="shared" si="2"/>
        <v>318</v>
      </c>
      <c r="AT3" s="132">
        <f t="shared" si="2"/>
        <v>78</v>
      </c>
      <c r="AU3" s="132">
        <f t="shared" si="2"/>
        <v>68</v>
      </c>
      <c r="AV3" s="132">
        <f t="shared" si="2"/>
        <v>74</v>
      </c>
      <c r="AW3" s="132">
        <f t="shared" si="2"/>
        <v>70</v>
      </c>
      <c r="AX3" s="132">
        <f t="shared" si="2"/>
        <v>68</v>
      </c>
      <c r="AY3" s="132">
        <f t="shared" si="2"/>
        <v>74</v>
      </c>
      <c r="AZ3" s="132">
        <f t="shared" si="2"/>
        <v>86</v>
      </c>
      <c r="BA3" s="132">
        <f t="shared" si="2"/>
        <v>74</v>
      </c>
      <c r="BB3" s="132">
        <f t="shared" si="2"/>
        <v>64</v>
      </c>
      <c r="BC3" s="164">
        <f t="shared" ref="BC3:BC14" si="3">SUM(AQ3:BB3)</f>
        <v>1112</v>
      </c>
      <c r="BD3" s="155"/>
      <c r="BE3" s="132">
        <f>BE5+BE7</f>
        <v>76</v>
      </c>
      <c r="BF3" s="132">
        <f t="shared" ref="BF3:BP3" si="4">BF5+BF7</f>
        <v>74</v>
      </c>
      <c r="BG3" s="132">
        <f t="shared" si="4"/>
        <v>354</v>
      </c>
      <c r="BH3" s="132">
        <f t="shared" si="4"/>
        <v>72</v>
      </c>
      <c r="BI3" s="132">
        <f t="shared" si="4"/>
        <v>72</v>
      </c>
      <c r="BJ3" s="132">
        <f t="shared" si="4"/>
        <v>66</v>
      </c>
      <c r="BK3" s="132">
        <f t="shared" si="4"/>
        <v>104</v>
      </c>
      <c r="BL3" s="132">
        <f t="shared" si="4"/>
        <v>120</v>
      </c>
      <c r="BM3" s="132">
        <f t="shared" si="4"/>
        <v>104</v>
      </c>
      <c r="BN3" s="132">
        <f t="shared" si="4"/>
        <v>114</v>
      </c>
      <c r="BO3" s="132">
        <f t="shared" si="4"/>
        <v>104</v>
      </c>
      <c r="BP3" s="132">
        <f t="shared" si="4"/>
        <v>100</v>
      </c>
      <c r="BQ3" s="132">
        <f t="shared" ref="BQ3:BQ14" si="5">SUM(BE3:BP3)</f>
        <v>1360</v>
      </c>
      <c r="BS3" s="192"/>
      <c r="BT3" s="13"/>
      <c r="BU3" s="13"/>
      <c r="BV3" s="14"/>
      <c r="BW3" s="13" t="s">
        <v>9</v>
      </c>
      <c r="BX3" s="13" t="s">
        <v>10</v>
      </c>
      <c r="BY3" s="13" t="s">
        <v>11</v>
      </c>
      <c r="BZ3" s="3" t="s">
        <v>96</v>
      </c>
      <c r="CA3" s="3" t="s">
        <v>115</v>
      </c>
    </row>
    <row r="4" spans="1:79" ht="14.4">
      <c r="A4" s="305"/>
      <c r="B4" s="312"/>
      <c r="C4" s="133" t="s">
        <v>64</v>
      </c>
      <c r="D4" s="134">
        <v>6684341</v>
      </c>
      <c r="E4" s="134">
        <v>6684341</v>
      </c>
      <c r="F4" s="134">
        <f>F6+F8</f>
        <v>263773</v>
      </c>
      <c r="G4" s="134">
        <f t="shared" ref="G4:R4" si="6">G6+G8</f>
        <v>203390</v>
      </c>
      <c r="H4" s="134">
        <f t="shared" si="6"/>
        <v>1340528</v>
      </c>
      <c r="I4" s="134">
        <f t="shared" si="6"/>
        <v>352434.48571428569</v>
      </c>
      <c r="J4" s="134">
        <f t="shared" si="6"/>
        <v>153376.20000000001</v>
      </c>
      <c r="K4" s="134">
        <f t="shared" si="6"/>
        <v>331503.44444444444</v>
      </c>
      <c r="L4" s="134">
        <f>SUM(F4:K4)</f>
        <v>2645005.1301587303</v>
      </c>
      <c r="M4" s="134">
        <f t="shared" si="6"/>
        <v>170593.35</v>
      </c>
      <c r="N4" s="134">
        <f t="shared" si="6"/>
        <v>258839.47222222222</v>
      </c>
      <c r="O4" s="134">
        <f t="shared" si="6"/>
        <v>185360</v>
      </c>
      <c r="P4" s="134">
        <f t="shared" si="6"/>
        <v>366087.6333333333</v>
      </c>
      <c r="Q4" s="134">
        <f t="shared" si="6"/>
        <v>172938.65</v>
      </c>
      <c r="R4" s="134">
        <f t="shared" si="6"/>
        <v>274917.80000000005</v>
      </c>
      <c r="S4" s="155">
        <f>SUM(L4:R4)</f>
        <v>4073742.0357142854</v>
      </c>
      <c r="T4" s="155">
        <f>T6+T8</f>
        <v>4454494</v>
      </c>
      <c r="U4" s="155">
        <f t="shared" ref="U4:U16" si="7">S4-T4</f>
        <v>-380751.96428571455</v>
      </c>
      <c r="V4" s="134">
        <f>V6+V8</f>
        <v>228260</v>
      </c>
      <c r="W4" s="134">
        <f t="shared" ref="W4:AG4" si="8">W6+W8</f>
        <v>164061</v>
      </c>
      <c r="X4" s="134">
        <f t="shared" si="8"/>
        <v>1393196.2307692308</v>
      </c>
      <c r="Y4" s="134">
        <f t="shared" si="8"/>
        <v>318287</v>
      </c>
      <c r="Z4" s="134">
        <f t="shared" si="8"/>
        <v>126855</v>
      </c>
      <c r="AA4" s="134">
        <f t="shared" si="8"/>
        <v>305794</v>
      </c>
      <c r="AB4" s="134">
        <f t="shared" si="8"/>
        <v>185268</v>
      </c>
      <c r="AC4" s="134">
        <f t="shared" si="8"/>
        <v>285324</v>
      </c>
      <c r="AD4" s="134">
        <f t="shared" si="8"/>
        <v>188020</v>
      </c>
      <c r="AE4" s="134">
        <f t="shared" si="8"/>
        <v>373230</v>
      </c>
      <c r="AF4" s="134">
        <f t="shared" si="8"/>
        <v>178369</v>
      </c>
      <c r="AG4" s="134">
        <f t="shared" si="8"/>
        <v>288530</v>
      </c>
      <c r="AH4" s="134">
        <f>SUM(V4:AG4)</f>
        <v>4035194.230769231</v>
      </c>
      <c r="AI4" s="155">
        <f>AI6+AI8</f>
        <v>4277430</v>
      </c>
      <c r="AJ4" s="155">
        <f>AJ6+AJ8</f>
        <v>4543584</v>
      </c>
      <c r="AK4" s="160">
        <f t="shared" ref="AK4:AK16" si="9">AH4-AJ4</f>
        <v>-508389.76923076902</v>
      </c>
      <c r="AL4" s="160"/>
      <c r="AN4" s="305"/>
      <c r="AO4" s="312"/>
      <c r="AP4" s="133" t="s">
        <v>145</v>
      </c>
      <c r="AQ4" s="134">
        <f>AQ6+AQ8</f>
        <v>527546</v>
      </c>
      <c r="AR4" s="134">
        <f t="shared" ref="AR4:BB4" si="10">AR6+AR8</f>
        <v>406780</v>
      </c>
      <c r="AS4" s="134">
        <f t="shared" si="10"/>
        <v>2681056</v>
      </c>
      <c r="AT4" s="134">
        <f t="shared" si="10"/>
        <v>704868.97142857139</v>
      </c>
      <c r="AU4" s="134">
        <f t="shared" si="10"/>
        <v>306752.40000000002</v>
      </c>
      <c r="AV4" s="134">
        <f t="shared" si="10"/>
        <v>663006.88888888888</v>
      </c>
      <c r="AW4" s="134">
        <f t="shared" si="10"/>
        <v>341186.7</v>
      </c>
      <c r="AX4" s="134">
        <f t="shared" si="10"/>
        <v>517678.94444444444</v>
      </c>
      <c r="AY4" s="134">
        <f t="shared" si="10"/>
        <v>370720</v>
      </c>
      <c r="AZ4" s="134">
        <f t="shared" si="10"/>
        <v>732175.2666666666</v>
      </c>
      <c r="BA4" s="134">
        <f t="shared" si="10"/>
        <v>345877.3</v>
      </c>
      <c r="BB4" s="134">
        <f t="shared" si="10"/>
        <v>549835.60000000009</v>
      </c>
      <c r="BC4" s="165">
        <f t="shared" si="3"/>
        <v>8147484.0714285709</v>
      </c>
      <c r="BD4" s="155"/>
      <c r="BE4" s="134">
        <f>BE6+BE8</f>
        <v>456520</v>
      </c>
      <c r="BF4" s="134">
        <f t="shared" ref="BF4:BP4" si="11">BF6+BF8</f>
        <v>328122</v>
      </c>
      <c r="BG4" s="134">
        <f t="shared" si="11"/>
        <v>2786392.4615384615</v>
      </c>
      <c r="BH4" s="134">
        <f t="shared" si="11"/>
        <v>636574</v>
      </c>
      <c r="BI4" s="134">
        <f t="shared" si="11"/>
        <v>253710</v>
      </c>
      <c r="BJ4" s="134">
        <f t="shared" si="11"/>
        <v>611588</v>
      </c>
      <c r="BK4" s="134">
        <f t="shared" si="11"/>
        <v>370536</v>
      </c>
      <c r="BL4" s="134">
        <f t="shared" si="11"/>
        <v>570648</v>
      </c>
      <c r="BM4" s="134">
        <f t="shared" si="11"/>
        <v>376040</v>
      </c>
      <c r="BN4" s="134">
        <f t="shared" si="11"/>
        <v>746460</v>
      </c>
      <c r="BO4" s="134">
        <f t="shared" si="11"/>
        <v>356738</v>
      </c>
      <c r="BP4" s="134">
        <f t="shared" si="11"/>
        <v>577060</v>
      </c>
      <c r="BQ4" s="134">
        <f t="shared" si="5"/>
        <v>8070388.461538462</v>
      </c>
      <c r="BS4" s="192"/>
      <c r="BT4" s="314" t="s">
        <v>15</v>
      </c>
      <c r="BU4" s="4" t="s">
        <v>16</v>
      </c>
      <c r="BV4" s="4" t="s">
        <v>17</v>
      </c>
      <c r="BW4" s="15"/>
      <c r="BX4" s="15">
        <v>6091861238.4112024</v>
      </c>
      <c r="BY4" s="15">
        <f>'PANDU IKPP'!O76</f>
        <v>3108918014.0619044</v>
      </c>
      <c r="BZ4" s="5"/>
      <c r="CA4" s="7">
        <f>BZ4/BY4</f>
        <v>0</v>
      </c>
    </row>
    <row r="5" spans="1:79" ht="14.4">
      <c r="A5" s="305"/>
      <c r="B5" s="309" t="s">
        <v>157</v>
      </c>
      <c r="C5" s="135" t="s">
        <v>105</v>
      </c>
      <c r="D5" s="206">
        <v>176</v>
      </c>
      <c r="E5" s="206">
        <v>181</v>
      </c>
      <c r="F5" s="136">
        <f>'PANDU IKPP'!C89</f>
        <v>7</v>
      </c>
      <c r="G5" s="136">
        <f>'PANDU IKPP'!D89</f>
        <v>7</v>
      </c>
      <c r="H5" s="136">
        <f>'PANDU IKPP'!E89</f>
        <v>11</v>
      </c>
      <c r="I5" s="136">
        <f>'PANDU IKPP'!F89</f>
        <v>11</v>
      </c>
      <c r="J5" s="136">
        <f>'PANDU IKPP'!G89</f>
        <v>9</v>
      </c>
      <c r="K5" s="136">
        <f>'PANDU IKPP'!H89</f>
        <v>11</v>
      </c>
      <c r="L5" s="132">
        <f t="shared" ref="L5:L14" si="12">SUM(F5:K5)</f>
        <v>56</v>
      </c>
      <c r="M5" s="136">
        <f>'PANDU IKPP'!I89</f>
        <v>11</v>
      </c>
      <c r="N5" s="136">
        <f>'PANDU IKPP'!J89</f>
        <v>8</v>
      </c>
      <c r="O5" s="136">
        <f>'PANDU IKPP'!K89</f>
        <v>10</v>
      </c>
      <c r="P5" s="136">
        <f>'PANDU IKPP'!L89</f>
        <v>13</v>
      </c>
      <c r="Q5" s="136">
        <f>'PANDU IKPP'!M89</f>
        <v>10</v>
      </c>
      <c r="R5" s="136">
        <f>'PANDU IKPP'!N89</f>
        <v>9</v>
      </c>
      <c r="S5" s="132">
        <f>SUM(L5:R5)</f>
        <v>117</v>
      </c>
      <c r="T5" s="132">
        <v>171</v>
      </c>
      <c r="U5" s="155">
        <f t="shared" si="7"/>
        <v>-54</v>
      </c>
      <c r="V5" s="136">
        <f>'PANDU IKPP'!W89</f>
        <v>14</v>
      </c>
      <c r="W5" s="136">
        <f>'PANDU IKPP'!X89</f>
        <v>11</v>
      </c>
      <c r="X5" s="136">
        <f>'PANDU IKPP'!Y89</f>
        <v>6</v>
      </c>
      <c r="Y5" s="136">
        <f>'PANDU IKPP'!Z89</f>
        <v>8</v>
      </c>
      <c r="Z5" s="136">
        <f>'PANDU IKPP'!AA89</f>
        <v>7</v>
      </c>
      <c r="AA5" s="136">
        <f>'PANDU IKPP'!AB89</f>
        <v>7</v>
      </c>
      <c r="AB5" s="136">
        <f>'PANDU IKPP'!AC89</f>
        <v>11</v>
      </c>
      <c r="AC5" s="136">
        <f>'PANDU IKPP'!AD89</f>
        <v>14</v>
      </c>
      <c r="AD5" s="136">
        <f>'PANDU IKPP'!AE89</f>
        <v>11</v>
      </c>
      <c r="AE5" s="136">
        <f>'PANDU IKPP'!AF89</f>
        <v>12</v>
      </c>
      <c r="AF5" s="136">
        <f>'PANDU IKPP'!AG89</f>
        <v>8</v>
      </c>
      <c r="AG5" s="136">
        <f>'PANDU IKPP'!AH89</f>
        <v>11</v>
      </c>
      <c r="AH5" s="136">
        <f>SUM(V5:AG5)</f>
        <v>120</v>
      </c>
      <c r="AI5" s="150">
        <f>ROUNDUP(S5*1.05,)</f>
        <v>123</v>
      </c>
      <c r="AJ5" s="132">
        <v>175</v>
      </c>
      <c r="AK5" s="160">
        <f t="shared" si="9"/>
        <v>-55</v>
      </c>
      <c r="AL5" s="218"/>
      <c r="AM5" s="156">
        <f>AH5/S5</f>
        <v>1.0256410256410255</v>
      </c>
      <c r="AN5" s="305"/>
      <c r="AO5" s="309" t="s">
        <v>126</v>
      </c>
      <c r="AP5" s="131" t="s">
        <v>143</v>
      </c>
      <c r="AQ5" s="136">
        <f>'PANDU IKPP'!C95</f>
        <v>14</v>
      </c>
      <c r="AR5" s="136">
        <f>'PANDU IKPP'!D95</f>
        <v>14</v>
      </c>
      <c r="AS5" s="136">
        <f>'PANDU IKPP'!E95</f>
        <v>22</v>
      </c>
      <c r="AT5" s="136">
        <f>'PANDU IKPP'!F95</f>
        <v>22</v>
      </c>
      <c r="AU5" s="136">
        <f>'PANDU IKPP'!G95</f>
        <v>18</v>
      </c>
      <c r="AV5" s="136">
        <f>'PANDU IKPP'!H95</f>
        <v>22</v>
      </c>
      <c r="AW5" s="136">
        <f>'PANDU IKPP'!I95</f>
        <v>22</v>
      </c>
      <c r="AX5" s="136">
        <f>'PANDU IKPP'!J95</f>
        <v>16</v>
      </c>
      <c r="AY5" s="136">
        <f>'PANDU IKPP'!K95</f>
        <v>20</v>
      </c>
      <c r="AZ5" s="136">
        <f>'PANDU IKPP'!L95</f>
        <v>26</v>
      </c>
      <c r="BA5" s="136">
        <f>'PANDU IKPP'!M95</f>
        <v>20</v>
      </c>
      <c r="BB5" s="136">
        <f>'PANDU IKPP'!N95</f>
        <v>18</v>
      </c>
      <c r="BC5" s="151">
        <f>SUM(AQ5:BB5)</f>
        <v>234</v>
      </c>
      <c r="BD5" s="150"/>
      <c r="BE5" s="136">
        <f>'PANDU IKPP'!W95</f>
        <v>28</v>
      </c>
      <c r="BF5" s="136">
        <f>'PANDU IKPP'!X95</f>
        <v>22</v>
      </c>
      <c r="BG5" s="136">
        <f>'PANDU IKPP'!Y95</f>
        <v>12</v>
      </c>
      <c r="BH5" s="136">
        <f>'PANDU IKPP'!Z95</f>
        <v>16</v>
      </c>
      <c r="BI5" s="136">
        <f>'PANDU IKPP'!AA95</f>
        <v>14</v>
      </c>
      <c r="BJ5" s="136">
        <f>'PANDU IKPP'!AB95</f>
        <v>14</v>
      </c>
      <c r="BK5" s="136">
        <f>'PANDU IKPP'!AC95</f>
        <v>22</v>
      </c>
      <c r="BL5" s="136">
        <f>'PANDU IKPP'!AD95</f>
        <v>28</v>
      </c>
      <c r="BM5" s="136">
        <f>'PANDU IKPP'!AE95</f>
        <v>22</v>
      </c>
      <c r="BN5" s="136">
        <f>'PANDU IKPP'!AF95</f>
        <v>24</v>
      </c>
      <c r="BO5" s="136">
        <f>'PANDU IKPP'!AG95</f>
        <v>16</v>
      </c>
      <c r="BP5" s="136">
        <f>'PANDU IKPP'!AH95</f>
        <v>22</v>
      </c>
      <c r="BQ5" s="136">
        <f t="shared" si="5"/>
        <v>240</v>
      </c>
      <c r="BS5" s="192"/>
      <c r="BT5" s="315"/>
      <c r="BU5" s="4" t="s">
        <v>19</v>
      </c>
      <c r="BV5" s="4" t="s">
        <v>18</v>
      </c>
      <c r="BW5" s="17"/>
      <c r="BX5" s="17">
        <v>42072104288.007736</v>
      </c>
      <c r="BY5" s="74">
        <f>'TUNDA IKPP'!Q193</f>
        <v>21797647173.142517</v>
      </c>
      <c r="BZ5" s="5"/>
      <c r="CA5" s="7">
        <f>BZ5/BY5</f>
        <v>0</v>
      </c>
    </row>
    <row r="6" spans="1:79" ht="14.4">
      <c r="A6" s="305"/>
      <c r="B6" s="310"/>
      <c r="C6" s="137" t="s">
        <v>64</v>
      </c>
      <c r="D6" s="207">
        <v>3767313</v>
      </c>
      <c r="E6" s="207">
        <v>3604494</v>
      </c>
      <c r="F6" s="138">
        <f>'PANDU IKPP'!C90</f>
        <v>178208</v>
      </c>
      <c r="G6" s="138">
        <f>'PANDU IKPP'!D90</f>
        <v>95130</v>
      </c>
      <c r="H6" s="138">
        <f>'PANDU IKPP'!E90</f>
        <v>195082</v>
      </c>
      <c r="I6" s="138">
        <f>'PANDU IKPP'!F90</f>
        <v>260667.28571428571</v>
      </c>
      <c r="J6" s="138">
        <f>'PANDU IKPP'!G90</f>
        <v>61990.5</v>
      </c>
      <c r="K6" s="138">
        <f>'PANDU IKPP'!H90</f>
        <v>225244.44444444444</v>
      </c>
      <c r="L6" s="155">
        <f t="shared" si="12"/>
        <v>1016322.2301587302</v>
      </c>
      <c r="M6" s="138">
        <f>'PANDU IKPP'!I90</f>
        <v>88988.25</v>
      </c>
      <c r="N6" s="138">
        <f>'PANDU IKPP'!J90</f>
        <v>163603.22222222222</v>
      </c>
      <c r="O6" s="138">
        <f>'PANDU IKPP'!K90</f>
        <v>79456</v>
      </c>
      <c r="P6" s="138">
        <f>'PANDU IKPP'!L90</f>
        <v>267885.33333333331</v>
      </c>
      <c r="Q6" s="138">
        <f>'PANDU IKPP'!M90</f>
        <v>71522.75</v>
      </c>
      <c r="R6" s="138">
        <f>'PANDU IKPP'!N90</f>
        <v>184923.66666666669</v>
      </c>
      <c r="S6" s="134">
        <f t="shared" ref="S6:S14" si="13">SUM(L6:R6)</f>
        <v>1872701.4523809524</v>
      </c>
      <c r="T6" s="134">
        <v>3386829</v>
      </c>
      <c r="U6" s="155">
        <f t="shared" si="7"/>
        <v>-1514127.5476190476</v>
      </c>
      <c r="V6" s="138">
        <f>'PANDU IKPP'!W90</f>
        <v>182605</v>
      </c>
      <c r="W6" s="138">
        <f>'PANDU IKPP'!X90</f>
        <v>95130</v>
      </c>
      <c r="X6" s="138">
        <f>'PANDU IKPP'!Y90</f>
        <v>195082</v>
      </c>
      <c r="Y6" s="138">
        <f>'PANDU IKPP'!Z90</f>
        <v>260668</v>
      </c>
      <c r="Z6" s="138">
        <f>'PANDU IKPP'!AA90</f>
        <v>61991</v>
      </c>
      <c r="AA6" s="138">
        <f>'PANDU IKPP'!AB90</f>
        <v>225246</v>
      </c>
      <c r="AB6" s="138">
        <f>'PANDU IKPP'!AC90</f>
        <v>88989</v>
      </c>
      <c r="AC6" s="138">
        <f>'PANDU IKPP'!AD90</f>
        <v>163604</v>
      </c>
      <c r="AD6" s="138">
        <f>'PANDU IKPP'!AE90</f>
        <v>79456</v>
      </c>
      <c r="AE6" s="138">
        <f>'PANDU IKPP'!AF90</f>
        <v>267886</v>
      </c>
      <c r="AF6" s="138">
        <f>'PANDU IKPP'!AG90</f>
        <v>71523</v>
      </c>
      <c r="AG6" s="138">
        <f>'PANDU IKPP'!AH90</f>
        <v>184924</v>
      </c>
      <c r="AH6" s="138">
        <f t="shared" ref="AH6:AH8" si="14">SUM(V6:AG6)</f>
        <v>1877104</v>
      </c>
      <c r="AI6" s="150">
        <f>ROUNDUP(S6*1.05,)</f>
        <v>1966337</v>
      </c>
      <c r="AJ6" s="134">
        <v>3454566</v>
      </c>
      <c r="AK6" s="160">
        <f t="shared" si="9"/>
        <v>-1577462</v>
      </c>
      <c r="AL6" s="218"/>
      <c r="AM6" s="156">
        <f t="shared" ref="AM6:AM8" si="15">AH6/S6</f>
        <v>1.0023509073554944</v>
      </c>
      <c r="AN6" s="305"/>
      <c r="AO6" s="310"/>
      <c r="AP6" s="133" t="s">
        <v>145</v>
      </c>
      <c r="AQ6" s="138">
        <f>'PANDU IKPP'!C96</f>
        <v>356416</v>
      </c>
      <c r="AR6" s="138">
        <f>'PANDU IKPP'!D96</f>
        <v>190260</v>
      </c>
      <c r="AS6" s="138">
        <f>'PANDU IKPP'!E96</f>
        <v>390164</v>
      </c>
      <c r="AT6" s="138">
        <f>'PANDU IKPP'!F96</f>
        <v>521334.57142857142</v>
      </c>
      <c r="AU6" s="138">
        <f>'PANDU IKPP'!G96</f>
        <v>123981</v>
      </c>
      <c r="AV6" s="138">
        <f>'PANDU IKPP'!H96</f>
        <v>450488.88888888888</v>
      </c>
      <c r="AW6" s="138">
        <f>'PANDU IKPP'!I96</f>
        <v>177976.5</v>
      </c>
      <c r="AX6" s="138">
        <f>'PANDU IKPP'!J96</f>
        <v>327206.44444444444</v>
      </c>
      <c r="AY6" s="138">
        <f>'PANDU IKPP'!K96</f>
        <v>158912</v>
      </c>
      <c r="AZ6" s="138">
        <f>'PANDU IKPP'!L96</f>
        <v>535770.66666666663</v>
      </c>
      <c r="BA6" s="138">
        <f>'PANDU IKPP'!M96</f>
        <v>143045.5</v>
      </c>
      <c r="BB6" s="138">
        <f>'PANDU IKPP'!N96</f>
        <v>369847.33333333337</v>
      </c>
      <c r="BC6" s="152">
        <f t="shared" si="3"/>
        <v>3745402.9047619049</v>
      </c>
      <c r="BD6" s="150"/>
      <c r="BE6" s="138">
        <f>'PANDU IKPP'!W96</f>
        <v>365210</v>
      </c>
      <c r="BF6" s="138">
        <f>'PANDU IKPP'!X96</f>
        <v>190260</v>
      </c>
      <c r="BG6" s="138">
        <f>'PANDU IKPP'!Y96</f>
        <v>390164</v>
      </c>
      <c r="BH6" s="138">
        <f>'PANDU IKPP'!Z96</f>
        <v>521336</v>
      </c>
      <c r="BI6" s="138">
        <f>'PANDU IKPP'!AA96</f>
        <v>123982</v>
      </c>
      <c r="BJ6" s="138">
        <f>'PANDU IKPP'!AB96</f>
        <v>450492</v>
      </c>
      <c r="BK6" s="138">
        <f>'PANDU IKPP'!AC96</f>
        <v>177978</v>
      </c>
      <c r="BL6" s="138">
        <f>'PANDU IKPP'!AD96</f>
        <v>327208</v>
      </c>
      <c r="BM6" s="138">
        <f>'PANDU IKPP'!AE96</f>
        <v>158912</v>
      </c>
      <c r="BN6" s="138">
        <f>'PANDU IKPP'!AF96</f>
        <v>535772</v>
      </c>
      <c r="BO6" s="138">
        <f>'PANDU IKPP'!AG96</f>
        <v>143046</v>
      </c>
      <c r="BP6" s="138">
        <f>'PANDU IKPP'!AH96</f>
        <v>369848</v>
      </c>
      <c r="BQ6" s="138">
        <f t="shared" si="5"/>
        <v>3754208</v>
      </c>
      <c r="BS6" s="192"/>
      <c r="BT6" s="314" t="s">
        <v>22</v>
      </c>
      <c r="BU6" s="4" t="s">
        <v>23</v>
      </c>
      <c r="BV6" s="4" t="s">
        <v>17</v>
      </c>
      <c r="BW6" s="17"/>
      <c r="BX6" s="17">
        <v>22944130557.337894</v>
      </c>
      <c r="BY6" s="17" t="e">
        <f>#REF!</f>
        <v>#REF!</v>
      </c>
      <c r="BZ6" s="5"/>
      <c r="CA6" s="7" t="e">
        <f>BZ6/BY6</f>
        <v>#REF!</v>
      </c>
    </row>
    <row r="7" spans="1:79" ht="14.4">
      <c r="A7" s="305"/>
      <c r="B7" s="309" t="s">
        <v>127</v>
      </c>
      <c r="C7" s="135" t="s">
        <v>105</v>
      </c>
      <c r="D7" s="206">
        <v>691</v>
      </c>
      <c r="E7" s="206">
        <v>775</v>
      </c>
      <c r="F7" s="136">
        <f>'PANDU IKPP'!C91</f>
        <v>25</v>
      </c>
      <c r="G7" s="136">
        <f>'PANDU IKPP'!D91</f>
        <v>30</v>
      </c>
      <c r="H7" s="136">
        <f>'PANDU IKPP'!E91</f>
        <v>148</v>
      </c>
      <c r="I7" s="136">
        <f>'PANDU IKPP'!F91</f>
        <v>28</v>
      </c>
      <c r="J7" s="136">
        <f>'PANDU IKPP'!G91</f>
        <v>25</v>
      </c>
      <c r="K7" s="136">
        <f>'PANDU IKPP'!H91</f>
        <v>26</v>
      </c>
      <c r="L7" s="132">
        <f t="shared" si="12"/>
        <v>282</v>
      </c>
      <c r="M7" s="136">
        <f>'PANDU IKPP'!I91</f>
        <v>24</v>
      </c>
      <c r="N7" s="136">
        <f>'PANDU IKPP'!J91</f>
        <v>26</v>
      </c>
      <c r="O7" s="136">
        <f>'PANDU IKPP'!K91</f>
        <v>27</v>
      </c>
      <c r="P7" s="136">
        <f>'PANDU IKPP'!L91</f>
        <v>30</v>
      </c>
      <c r="Q7" s="136">
        <f>'PANDU IKPP'!M91</f>
        <v>27</v>
      </c>
      <c r="R7" s="136">
        <f>'PANDU IKPP'!N91</f>
        <v>23</v>
      </c>
      <c r="S7" s="155">
        <f t="shared" si="13"/>
        <v>439</v>
      </c>
      <c r="T7" s="155">
        <v>474</v>
      </c>
      <c r="U7" s="155">
        <f t="shared" si="7"/>
        <v>-35</v>
      </c>
      <c r="V7" s="136">
        <f>'PANDU IKPP'!W91</f>
        <v>24</v>
      </c>
      <c r="W7" s="136">
        <f>'PANDU IKPP'!X91</f>
        <v>26</v>
      </c>
      <c r="X7" s="136">
        <f>'PANDU IKPP'!Y91</f>
        <v>171</v>
      </c>
      <c r="Y7" s="136">
        <f>'PANDU IKPP'!Z91</f>
        <v>28</v>
      </c>
      <c r="Z7" s="136">
        <f>'PANDU IKPP'!AA91</f>
        <v>29</v>
      </c>
      <c r="AA7" s="136">
        <f>'PANDU IKPP'!AB91</f>
        <v>26</v>
      </c>
      <c r="AB7" s="136">
        <f>'PANDU IKPP'!AC91</f>
        <v>41</v>
      </c>
      <c r="AC7" s="136">
        <f>'PANDU IKPP'!AD91</f>
        <v>46</v>
      </c>
      <c r="AD7" s="136">
        <f>'PANDU IKPP'!AE91</f>
        <v>41</v>
      </c>
      <c r="AE7" s="136">
        <f>'PANDU IKPP'!AF91</f>
        <v>45</v>
      </c>
      <c r="AF7" s="136">
        <f>'PANDU IKPP'!AG91</f>
        <v>44</v>
      </c>
      <c r="AG7" s="136">
        <f>'PANDU IKPP'!AH91</f>
        <v>39</v>
      </c>
      <c r="AH7" s="136">
        <f t="shared" si="14"/>
        <v>560</v>
      </c>
      <c r="AI7" s="150">
        <f>ROUNDUP(S7*1.05,)</f>
        <v>461</v>
      </c>
      <c r="AJ7" s="155">
        <v>483</v>
      </c>
      <c r="AK7" s="160">
        <f t="shared" si="9"/>
        <v>77</v>
      </c>
      <c r="AL7" s="218"/>
      <c r="AM7" s="156">
        <f t="shared" si="15"/>
        <v>1.2756264236902051</v>
      </c>
      <c r="AN7" s="305"/>
      <c r="AO7" s="309" t="s">
        <v>127</v>
      </c>
      <c r="AP7" s="131" t="s">
        <v>143</v>
      </c>
      <c r="AQ7" s="136">
        <f>'PANDU IKPP'!C97</f>
        <v>50</v>
      </c>
      <c r="AR7" s="136">
        <f>'PANDU IKPP'!D97</f>
        <v>60</v>
      </c>
      <c r="AS7" s="136">
        <f>'PANDU IKPP'!E97</f>
        <v>296</v>
      </c>
      <c r="AT7" s="136">
        <f>'PANDU IKPP'!F97</f>
        <v>56</v>
      </c>
      <c r="AU7" s="136">
        <f>'PANDU IKPP'!G97</f>
        <v>50</v>
      </c>
      <c r="AV7" s="136">
        <f>'PANDU IKPP'!H97</f>
        <v>52</v>
      </c>
      <c r="AW7" s="136">
        <f>'PANDU IKPP'!I97</f>
        <v>48</v>
      </c>
      <c r="AX7" s="136">
        <f>'PANDU IKPP'!J97</f>
        <v>52</v>
      </c>
      <c r="AY7" s="136">
        <f>'PANDU IKPP'!K97</f>
        <v>54</v>
      </c>
      <c r="AZ7" s="136">
        <f>'PANDU IKPP'!L97</f>
        <v>60</v>
      </c>
      <c r="BA7" s="136">
        <f>'PANDU IKPP'!M97</f>
        <v>54</v>
      </c>
      <c r="BB7" s="136">
        <f>'PANDU IKPP'!N97</f>
        <v>46</v>
      </c>
      <c r="BC7" s="151">
        <f t="shared" si="3"/>
        <v>878</v>
      </c>
      <c r="BD7" s="150"/>
      <c r="BE7" s="136">
        <f>'PANDU IKPP'!W97</f>
        <v>48</v>
      </c>
      <c r="BF7" s="136">
        <f>'PANDU IKPP'!X97</f>
        <v>52</v>
      </c>
      <c r="BG7" s="136">
        <f>'PANDU IKPP'!Y97</f>
        <v>342</v>
      </c>
      <c r="BH7" s="136">
        <f>'PANDU IKPP'!Z97</f>
        <v>56</v>
      </c>
      <c r="BI7" s="136">
        <f>'PANDU IKPP'!AA97</f>
        <v>58</v>
      </c>
      <c r="BJ7" s="136">
        <f>'PANDU IKPP'!AB97</f>
        <v>52</v>
      </c>
      <c r="BK7" s="136">
        <f>'PANDU IKPP'!AC97</f>
        <v>82</v>
      </c>
      <c r="BL7" s="136">
        <f>'PANDU IKPP'!AD97</f>
        <v>92</v>
      </c>
      <c r="BM7" s="136">
        <f>'PANDU IKPP'!AE97</f>
        <v>82</v>
      </c>
      <c r="BN7" s="136">
        <f>'PANDU IKPP'!AF97</f>
        <v>90</v>
      </c>
      <c r="BO7" s="136">
        <f>'PANDU IKPP'!AG97</f>
        <v>88</v>
      </c>
      <c r="BP7" s="136">
        <f>'PANDU IKPP'!AH97</f>
        <v>78</v>
      </c>
      <c r="BQ7" s="136">
        <f t="shared" si="5"/>
        <v>1120</v>
      </c>
      <c r="BS7" s="192"/>
      <c r="BT7" s="315"/>
      <c r="BU7" s="8" t="s">
        <v>19</v>
      </c>
      <c r="BV7" s="8" t="s">
        <v>18</v>
      </c>
      <c r="BW7" s="18"/>
      <c r="BX7" s="18">
        <v>146040733743.98404</v>
      </c>
      <c r="BY7" s="75" t="e">
        <f>#REF!</f>
        <v>#REF!</v>
      </c>
      <c r="BZ7" s="5"/>
      <c r="CA7" s="7" t="e">
        <f>BZ7/BY7</f>
        <v>#REF!</v>
      </c>
    </row>
    <row r="8" spans="1:79" ht="14.4">
      <c r="A8" s="306"/>
      <c r="B8" s="310"/>
      <c r="C8" s="137" t="s">
        <v>64</v>
      </c>
      <c r="D8" s="207">
        <v>2531383</v>
      </c>
      <c r="E8" s="207">
        <v>3079847</v>
      </c>
      <c r="F8" s="138">
        <f>'PANDU IKPP'!C92</f>
        <v>85565</v>
      </c>
      <c r="G8" s="138">
        <f>'PANDU IKPP'!D92</f>
        <v>108260</v>
      </c>
      <c r="H8" s="138">
        <f>'PANDU IKPP'!E92</f>
        <v>1145446</v>
      </c>
      <c r="I8" s="138">
        <f>'PANDU IKPP'!F92</f>
        <v>91767.2</v>
      </c>
      <c r="J8" s="138">
        <f>'PANDU IKPP'!G92</f>
        <v>91385.700000000012</v>
      </c>
      <c r="K8" s="138">
        <f>'PANDU IKPP'!H92</f>
        <v>106259</v>
      </c>
      <c r="L8" s="134">
        <f t="shared" si="12"/>
        <v>1628682.9</v>
      </c>
      <c r="M8" s="138">
        <f>'PANDU IKPP'!I92</f>
        <v>81605.100000000006</v>
      </c>
      <c r="N8" s="138">
        <f>'PANDU IKPP'!J92</f>
        <v>95236.25</v>
      </c>
      <c r="O8" s="138">
        <f>'PANDU IKPP'!K92</f>
        <v>105904</v>
      </c>
      <c r="P8" s="138">
        <f>'PANDU IKPP'!L92</f>
        <v>98202.299999999988</v>
      </c>
      <c r="Q8" s="138">
        <f>'PANDU IKPP'!M92</f>
        <v>101415.9</v>
      </c>
      <c r="R8" s="138">
        <f>'PANDU IKPP'!N92</f>
        <v>89994.133333333331</v>
      </c>
      <c r="S8" s="201">
        <f t="shared" si="13"/>
        <v>2201040.5833333335</v>
      </c>
      <c r="T8" s="201">
        <v>1067665</v>
      </c>
      <c r="U8" s="155">
        <f t="shared" si="7"/>
        <v>1133375.5833333335</v>
      </c>
      <c r="V8" s="138">
        <f>'PANDU IKPP'!W92</f>
        <v>45655</v>
      </c>
      <c r="W8" s="138">
        <f>'PANDU IKPP'!X92</f>
        <v>68931</v>
      </c>
      <c r="X8" s="138">
        <f>'PANDU IKPP'!Y92</f>
        <v>1198114.2307692308</v>
      </c>
      <c r="Y8" s="138">
        <f>'PANDU IKPP'!Z92</f>
        <v>57619</v>
      </c>
      <c r="Z8" s="138">
        <f>'PANDU IKPP'!AA92</f>
        <v>64864</v>
      </c>
      <c r="AA8" s="138">
        <f>'PANDU IKPP'!AB92</f>
        <v>80548</v>
      </c>
      <c r="AB8" s="138">
        <f>'PANDU IKPP'!AC92</f>
        <v>96279</v>
      </c>
      <c r="AC8" s="138">
        <f>'PANDU IKPP'!AD92</f>
        <v>121720</v>
      </c>
      <c r="AD8" s="138">
        <f>'PANDU IKPP'!AE92</f>
        <v>108564</v>
      </c>
      <c r="AE8" s="138">
        <f>'PANDU IKPP'!AF92</f>
        <v>105344</v>
      </c>
      <c r="AF8" s="138">
        <f>'PANDU IKPP'!AG92</f>
        <v>106846</v>
      </c>
      <c r="AG8" s="138">
        <f>'PANDU IKPP'!AH92</f>
        <v>103606</v>
      </c>
      <c r="AH8" s="138">
        <f t="shared" si="14"/>
        <v>2158090.230769231</v>
      </c>
      <c r="AI8" s="150">
        <f>ROUNDUP(S8*1.05,)</f>
        <v>2311093</v>
      </c>
      <c r="AJ8" s="155">
        <v>1089018</v>
      </c>
      <c r="AK8" s="160">
        <f t="shared" si="9"/>
        <v>1069072.230769231</v>
      </c>
      <c r="AL8" s="218"/>
      <c r="AM8" s="156">
        <f t="shared" si="15"/>
        <v>0.98048634228313181</v>
      </c>
      <c r="AN8" s="306"/>
      <c r="AO8" s="310"/>
      <c r="AP8" s="133" t="s">
        <v>145</v>
      </c>
      <c r="AQ8" s="138">
        <f>'PANDU IKPP'!C98</f>
        <v>171130</v>
      </c>
      <c r="AR8" s="138">
        <f>'PANDU IKPP'!D98</f>
        <v>216520</v>
      </c>
      <c r="AS8" s="138">
        <f>'PANDU IKPP'!E98</f>
        <v>2290892</v>
      </c>
      <c r="AT8" s="138">
        <f>'PANDU IKPP'!F98</f>
        <v>183534.4</v>
      </c>
      <c r="AU8" s="138">
        <f>'PANDU IKPP'!G98</f>
        <v>182771.40000000002</v>
      </c>
      <c r="AV8" s="138">
        <f>'PANDU IKPP'!H98</f>
        <v>212518</v>
      </c>
      <c r="AW8" s="138">
        <f>'PANDU IKPP'!I98</f>
        <v>163210.20000000001</v>
      </c>
      <c r="AX8" s="138">
        <f>'PANDU IKPP'!J98</f>
        <v>190472.5</v>
      </c>
      <c r="AY8" s="138">
        <f>'PANDU IKPP'!K98</f>
        <v>211808</v>
      </c>
      <c r="AZ8" s="138">
        <f>'PANDU IKPP'!L98</f>
        <v>196404.59999999998</v>
      </c>
      <c r="BA8" s="138">
        <f>'PANDU IKPP'!M98</f>
        <v>202831.8</v>
      </c>
      <c r="BB8" s="138">
        <f>'PANDU IKPP'!N98</f>
        <v>179988.26666666666</v>
      </c>
      <c r="BC8" s="152">
        <f t="shared" si="3"/>
        <v>4402081.166666667</v>
      </c>
      <c r="BD8" s="150"/>
      <c r="BE8" s="138">
        <f>'PANDU IKPP'!W98</f>
        <v>91310</v>
      </c>
      <c r="BF8" s="138">
        <f>'PANDU IKPP'!X98</f>
        <v>137862</v>
      </c>
      <c r="BG8" s="138">
        <f>'PANDU IKPP'!Y98</f>
        <v>2396228.4615384615</v>
      </c>
      <c r="BH8" s="138">
        <f>'PANDU IKPP'!Z98</f>
        <v>115238</v>
      </c>
      <c r="BI8" s="138">
        <f>'PANDU IKPP'!AA98</f>
        <v>129728</v>
      </c>
      <c r="BJ8" s="138">
        <f>'PANDU IKPP'!AB98</f>
        <v>161096</v>
      </c>
      <c r="BK8" s="138">
        <f>'PANDU IKPP'!AC98</f>
        <v>192558</v>
      </c>
      <c r="BL8" s="138">
        <f>'PANDU IKPP'!AD98</f>
        <v>243440</v>
      </c>
      <c r="BM8" s="138">
        <f>'PANDU IKPP'!AE98</f>
        <v>217128</v>
      </c>
      <c r="BN8" s="138">
        <f>'PANDU IKPP'!AF98</f>
        <v>210688</v>
      </c>
      <c r="BO8" s="138">
        <f>'PANDU IKPP'!AG98</f>
        <v>213692</v>
      </c>
      <c r="BP8" s="138">
        <f>'PANDU IKPP'!AH98</f>
        <v>207212</v>
      </c>
      <c r="BQ8" s="138">
        <f t="shared" si="5"/>
        <v>4316180.461538462</v>
      </c>
      <c r="BS8" s="192"/>
      <c r="BT8" s="317" t="s">
        <v>28</v>
      </c>
      <c r="BU8" s="317"/>
      <c r="BV8" s="317"/>
      <c r="BW8" s="76">
        <f t="shared" ref="BW8:BZ8" si="16">SUM(BW4:BW7)</f>
        <v>0</v>
      </c>
      <c r="BX8" s="76">
        <f t="shared" si="16"/>
        <v>217148829827.74088</v>
      </c>
      <c r="BY8" s="76" t="e">
        <f t="shared" si="16"/>
        <v>#REF!</v>
      </c>
      <c r="BZ8" s="76">
        <f t="shared" si="16"/>
        <v>0</v>
      </c>
      <c r="CA8" s="77" t="e">
        <f>BZ8/BY8</f>
        <v>#REF!</v>
      </c>
    </row>
    <row r="9" spans="1:79">
      <c r="A9" s="304">
        <v>2</v>
      </c>
      <c r="B9" s="307" t="s">
        <v>132</v>
      </c>
      <c r="C9" s="135" t="s">
        <v>105</v>
      </c>
      <c r="D9" s="208">
        <v>4077</v>
      </c>
      <c r="E9" s="208">
        <v>4077</v>
      </c>
      <c r="F9" s="132" t="e">
        <f>F11+F13</f>
        <v>#REF!</v>
      </c>
      <c r="G9" s="132" t="e">
        <f t="shared" ref="G9:R9" si="17">G11+G13</f>
        <v>#REF!</v>
      </c>
      <c r="H9" s="132" t="e">
        <f t="shared" si="17"/>
        <v>#REF!</v>
      </c>
      <c r="I9" s="132" t="e">
        <f t="shared" si="17"/>
        <v>#REF!</v>
      </c>
      <c r="J9" s="132" t="e">
        <f t="shared" si="17"/>
        <v>#REF!</v>
      </c>
      <c r="K9" s="132" t="e">
        <f t="shared" si="17"/>
        <v>#REF!</v>
      </c>
      <c r="L9" s="155" t="e">
        <f t="shared" si="12"/>
        <v>#REF!</v>
      </c>
      <c r="M9" s="132" t="e">
        <f t="shared" si="17"/>
        <v>#REF!</v>
      </c>
      <c r="N9" s="132" t="e">
        <f t="shared" si="17"/>
        <v>#REF!</v>
      </c>
      <c r="O9" s="132" t="e">
        <f t="shared" si="17"/>
        <v>#REF!</v>
      </c>
      <c r="P9" s="132" t="e">
        <f t="shared" si="17"/>
        <v>#REF!</v>
      </c>
      <c r="Q9" s="132" t="e">
        <f t="shared" si="17"/>
        <v>#REF!</v>
      </c>
      <c r="R9" s="132" t="e">
        <f t="shared" si="17"/>
        <v>#REF!</v>
      </c>
      <c r="S9" s="132" t="e">
        <f>SUM(L9:R9)</f>
        <v>#REF!</v>
      </c>
      <c r="T9" s="132">
        <f>T11+T13</f>
        <v>4014</v>
      </c>
      <c r="U9" s="155" t="e">
        <f t="shared" si="7"/>
        <v>#REF!</v>
      </c>
      <c r="V9" s="132" t="e">
        <f>V11+V13</f>
        <v>#REF!</v>
      </c>
      <c r="W9" s="132" t="e">
        <f t="shared" ref="W9:AG9" si="18">W11+W13</f>
        <v>#REF!</v>
      </c>
      <c r="X9" s="132" t="e">
        <f t="shared" si="18"/>
        <v>#REF!</v>
      </c>
      <c r="Y9" s="132" t="e">
        <f t="shared" si="18"/>
        <v>#REF!</v>
      </c>
      <c r="Z9" s="132" t="e">
        <f t="shared" si="18"/>
        <v>#REF!</v>
      </c>
      <c r="AA9" s="132" t="e">
        <f t="shared" si="18"/>
        <v>#REF!</v>
      </c>
      <c r="AB9" s="132" t="e">
        <f t="shared" si="18"/>
        <v>#REF!</v>
      </c>
      <c r="AC9" s="132" t="e">
        <f t="shared" si="18"/>
        <v>#REF!</v>
      </c>
      <c r="AD9" s="132" t="e">
        <f t="shared" si="18"/>
        <v>#REF!</v>
      </c>
      <c r="AE9" s="132" t="e">
        <f t="shared" si="18"/>
        <v>#REF!</v>
      </c>
      <c r="AF9" s="132" t="e">
        <f t="shared" si="18"/>
        <v>#REF!</v>
      </c>
      <c r="AG9" s="132" t="e">
        <f t="shared" si="18"/>
        <v>#REF!</v>
      </c>
      <c r="AH9" s="132" t="e">
        <f t="shared" ref="AH9:AH14" si="19">SUM(V9:AG9)</f>
        <v>#REF!</v>
      </c>
      <c r="AI9" s="132">
        <f>AI11+AI13</f>
        <v>4829</v>
      </c>
      <c r="AJ9" s="132">
        <f>AJ11+AJ13</f>
        <v>4138</v>
      </c>
      <c r="AK9" s="160" t="e">
        <f t="shared" si="9"/>
        <v>#REF!</v>
      </c>
      <c r="AL9" s="160"/>
      <c r="AN9" s="304">
        <v>2</v>
      </c>
      <c r="AO9" s="307" t="s">
        <v>132</v>
      </c>
      <c r="AP9" s="131" t="s">
        <v>143</v>
      </c>
      <c r="AQ9" s="132" t="e">
        <f>AQ11+AQ13</f>
        <v>#REF!</v>
      </c>
      <c r="AR9" s="132" t="e">
        <f t="shared" ref="AR9:BB9" si="20">AR11+AR13</f>
        <v>#REF!</v>
      </c>
      <c r="AS9" s="132" t="e">
        <f t="shared" si="20"/>
        <v>#REF!</v>
      </c>
      <c r="AT9" s="132" t="e">
        <f t="shared" si="20"/>
        <v>#REF!</v>
      </c>
      <c r="AU9" s="132" t="e">
        <f t="shared" si="20"/>
        <v>#REF!</v>
      </c>
      <c r="AV9" s="132" t="e">
        <f t="shared" si="20"/>
        <v>#REF!</v>
      </c>
      <c r="AW9" s="132" t="e">
        <f t="shared" si="20"/>
        <v>#REF!</v>
      </c>
      <c r="AX9" s="132" t="e">
        <f t="shared" si="20"/>
        <v>#REF!</v>
      </c>
      <c r="AY9" s="132" t="e">
        <f t="shared" si="20"/>
        <v>#REF!</v>
      </c>
      <c r="AZ9" s="132" t="e">
        <f t="shared" si="20"/>
        <v>#REF!</v>
      </c>
      <c r="BA9" s="132" t="e">
        <f t="shared" si="20"/>
        <v>#REF!</v>
      </c>
      <c r="BB9" s="132" t="e">
        <f t="shared" si="20"/>
        <v>#REF!</v>
      </c>
      <c r="BC9" s="164" t="e">
        <f t="shared" si="3"/>
        <v>#REF!</v>
      </c>
      <c r="BD9" s="155"/>
      <c r="BE9" s="132" t="e">
        <f>BE11+BE13</f>
        <v>#REF!</v>
      </c>
      <c r="BF9" s="132" t="e">
        <f t="shared" ref="BF9:BP9" si="21">BF11+BF13</f>
        <v>#REF!</v>
      </c>
      <c r="BG9" s="132" t="e">
        <f t="shared" si="21"/>
        <v>#REF!</v>
      </c>
      <c r="BH9" s="132" t="e">
        <f t="shared" si="21"/>
        <v>#REF!</v>
      </c>
      <c r="BI9" s="132" t="e">
        <f t="shared" si="21"/>
        <v>#REF!</v>
      </c>
      <c r="BJ9" s="132" t="e">
        <f t="shared" si="21"/>
        <v>#REF!</v>
      </c>
      <c r="BK9" s="132" t="e">
        <f t="shared" si="21"/>
        <v>#REF!</v>
      </c>
      <c r="BL9" s="132" t="e">
        <f t="shared" si="21"/>
        <v>#REF!</v>
      </c>
      <c r="BM9" s="132" t="e">
        <f t="shared" si="21"/>
        <v>#REF!</v>
      </c>
      <c r="BN9" s="132" t="e">
        <f t="shared" si="21"/>
        <v>#REF!</v>
      </c>
      <c r="BO9" s="132" t="e">
        <f t="shared" si="21"/>
        <v>#REF!</v>
      </c>
      <c r="BP9" s="132" t="e">
        <f t="shared" si="21"/>
        <v>#REF!</v>
      </c>
      <c r="BQ9" s="132" t="e">
        <f t="shared" si="5"/>
        <v>#REF!</v>
      </c>
      <c r="BS9" s="192"/>
      <c r="BT9" s="324"/>
      <c r="BU9" s="326"/>
      <c r="BV9" s="195"/>
    </row>
    <row r="10" spans="1:79">
      <c r="A10" s="305"/>
      <c r="B10" s="308"/>
      <c r="C10" s="137" t="s">
        <v>64</v>
      </c>
      <c r="D10" s="209">
        <v>33847643</v>
      </c>
      <c r="E10" s="209">
        <v>33847643</v>
      </c>
      <c r="F10" s="134" t="e">
        <f>F12+F14</f>
        <v>#REF!</v>
      </c>
      <c r="G10" s="134" t="e">
        <f t="shared" ref="G10:R10" si="22">G12+G14</f>
        <v>#REF!</v>
      </c>
      <c r="H10" s="134" t="e">
        <f t="shared" si="22"/>
        <v>#REF!</v>
      </c>
      <c r="I10" s="134" t="e">
        <f t="shared" si="22"/>
        <v>#REF!</v>
      </c>
      <c r="J10" s="134" t="e">
        <f t="shared" si="22"/>
        <v>#REF!</v>
      </c>
      <c r="K10" s="134" t="e">
        <f t="shared" si="22"/>
        <v>#REF!</v>
      </c>
      <c r="L10" s="155" t="e">
        <f t="shared" si="12"/>
        <v>#REF!</v>
      </c>
      <c r="M10" s="134" t="e">
        <f t="shared" si="22"/>
        <v>#REF!</v>
      </c>
      <c r="N10" s="134" t="e">
        <f t="shared" si="22"/>
        <v>#REF!</v>
      </c>
      <c r="O10" s="134" t="e">
        <f t="shared" si="22"/>
        <v>#REF!</v>
      </c>
      <c r="P10" s="134" t="e">
        <f t="shared" si="22"/>
        <v>#REF!</v>
      </c>
      <c r="Q10" s="134" t="e">
        <f t="shared" si="22"/>
        <v>#REF!</v>
      </c>
      <c r="R10" s="134" t="e">
        <f t="shared" si="22"/>
        <v>#REF!</v>
      </c>
      <c r="S10" s="134" t="e">
        <f t="shared" si="13"/>
        <v>#REF!</v>
      </c>
      <c r="T10" s="134">
        <f>T12+T14</f>
        <v>32803344</v>
      </c>
      <c r="U10" s="155" t="e">
        <f t="shared" si="7"/>
        <v>#REF!</v>
      </c>
      <c r="V10" s="134" t="e">
        <f>V12+V14</f>
        <v>#REF!</v>
      </c>
      <c r="W10" s="134" t="e">
        <f t="shared" ref="W10:AG10" si="23">W12+W14</f>
        <v>#REF!</v>
      </c>
      <c r="X10" s="134" t="e">
        <f t="shared" si="23"/>
        <v>#REF!</v>
      </c>
      <c r="Y10" s="134" t="e">
        <f t="shared" si="23"/>
        <v>#REF!</v>
      </c>
      <c r="Z10" s="134" t="e">
        <f t="shared" si="23"/>
        <v>#REF!</v>
      </c>
      <c r="AA10" s="134" t="e">
        <f t="shared" si="23"/>
        <v>#REF!</v>
      </c>
      <c r="AB10" s="134" t="e">
        <f t="shared" si="23"/>
        <v>#REF!</v>
      </c>
      <c r="AC10" s="134" t="e">
        <f t="shared" si="23"/>
        <v>#REF!</v>
      </c>
      <c r="AD10" s="134" t="e">
        <f t="shared" si="23"/>
        <v>#REF!</v>
      </c>
      <c r="AE10" s="134" t="e">
        <f t="shared" si="23"/>
        <v>#REF!</v>
      </c>
      <c r="AF10" s="134" t="e">
        <f t="shared" si="23"/>
        <v>#REF!</v>
      </c>
      <c r="AG10" s="134" t="e">
        <f t="shared" si="23"/>
        <v>#REF!</v>
      </c>
      <c r="AH10" s="134" t="e">
        <f t="shared" si="19"/>
        <v>#REF!</v>
      </c>
      <c r="AI10" s="134">
        <f>AI12+AI14</f>
        <v>36416092.650000006</v>
      </c>
      <c r="AJ10" s="134">
        <f>AJ12+AJ14</f>
        <v>33502821</v>
      </c>
      <c r="AK10" s="160" t="e">
        <f t="shared" si="9"/>
        <v>#REF!</v>
      </c>
      <c r="AL10" s="160"/>
      <c r="AN10" s="305"/>
      <c r="AO10" s="308"/>
      <c r="AP10" s="133" t="s">
        <v>145</v>
      </c>
      <c r="AQ10" s="134" t="e">
        <f>AQ12+AQ14</f>
        <v>#REF!</v>
      </c>
      <c r="AR10" s="134" t="e">
        <f t="shared" ref="AR10:BB10" si="24">AR12+AR14</f>
        <v>#REF!</v>
      </c>
      <c r="AS10" s="134" t="e">
        <f t="shared" si="24"/>
        <v>#REF!</v>
      </c>
      <c r="AT10" s="134" t="e">
        <f t="shared" si="24"/>
        <v>#REF!</v>
      </c>
      <c r="AU10" s="134" t="e">
        <f t="shared" si="24"/>
        <v>#REF!</v>
      </c>
      <c r="AV10" s="134" t="e">
        <f t="shared" si="24"/>
        <v>#REF!</v>
      </c>
      <c r="AW10" s="134" t="e">
        <f t="shared" si="24"/>
        <v>#REF!</v>
      </c>
      <c r="AX10" s="134" t="e">
        <f t="shared" si="24"/>
        <v>#REF!</v>
      </c>
      <c r="AY10" s="134" t="e">
        <f t="shared" si="24"/>
        <v>#REF!</v>
      </c>
      <c r="AZ10" s="134" t="e">
        <f t="shared" si="24"/>
        <v>#REF!</v>
      </c>
      <c r="BA10" s="134" t="e">
        <f t="shared" si="24"/>
        <v>#REF!</v>
      </c>
      <c r="BB10" s="134" t="e">
        <f t="shared" si="24"/>
        <v>#REF!</v>
      </c>
      <c r="BC10" s="165" t="e">
        <f t="shared" si="3"/>
        <v>#REF!</v>
      </c>
      <c r="BD10" s="155"/>
      <c r="BE10" s="134" t="e">
        <f>BE12+BE14</f>
        <v>#REF!</v>
      </c>
      <c r="BF10" s="134" t="e">
        <f t="shared" ref="BF10:BP10" si="25">BF12+BF14</f>
        <v>#REF!</v>
      </c>
      <c r="BG10" s="134" t="e">
        <f t="shared" si="25"/>
        <v>#REF!</v>
      </c>
      <c r="BH10" s="134" t="e">
        <f t="shared" si="25"/>
        <v>#REF!</v>
      </c>
      <c r="BI10" s="134" t="e">
        <f t="shared" si="25"/>
        <v>#REF!</v>
      </c>
      <c r="BJ10" s="134" t="e">
        <f t="shared" si="25"/>
        <v>#REF!</v>
      </c>
      <c r="BK10" s="134" t="e">
        <f t="shared" si="25"/>
        <v>#REF!</v>
      </c>
      <c r="BL10" s="134" t="e">
        <f t="shared" si="25"/>
        <v>#REF!</v>
      </c>
      <c r="BM10" s="134" t="e">
        <f t="shared" si="25"/>
        <v>#REF!</v>
      </c>
      <c r="BN10" s="134" t="e">
        <f t="shared" si="25"/>
        <v>#REF!</v>
      </c>
      <c r="BO10" s="134" t="e">
        <f t="shared" si="25"/>
        <v>#REF!</v>
      </c>
      <c r="BP10" s="134" t="e">
        <f t="shared" si="25"/>
        <v>#REF!</v>
      </c>
      <c r="BQ10" s="134" t="e">
        <f t="shared" si="5"/>
        <v>#REF!</v>
      </c>
      <c r="BS10" s="192"/>
      <c r="BT10" s="325"/>
      <c r="BU10" s="327"/>
      <c r="BV10" s="196"/>
    </row>
    <row r="11" spans="1:79">
      <c r="A11" s="305"/>
      <c r="B11" s="309" t="s">
        <v>157</v>
      </c>
      <c r="C11" s="135" t="s">
        <v>105</v>
      </c>
      <c r="D11" s="206">
        <v>565</v>
      </c>
      <c r="E11" s="206">
        <v>647</v>
      </c>
      <c r="F11" s="136" t="e">
        <f>#REF!</f>
        <v>#REF!</v>
      </c>
      <c r="G11" s="136" t="e">
        <f>#REF!</f>
        <v>#REF!</v>
      </c>
      <c r="H11" s="136" t="e">
        <f>#REF!</f>
        <v>#REF!</v>
      </c>
      <c r="I11" s="136" t="e">
        <f>#REF!</f>
        <v>#REF!</v>
      </c>
      <c r="J11" s="136" t="e">
        <f>#REF!</f>
        <v>#REF!</v>
      </c>
      <c r="K11" s="136" t="e">
        <f>#REF!</f>
        <v>#REF!</v>
      </c>
      <c r="L11" s="132" t="e">
        <f>SUM(F11:K11)</f>
        <v>#REF!</v>
      </c>
      <c r="M11" s="136" t="e">
        <f>#REF!</f>
        <v>#REF!</v>
      </c>
      <c r="N11" s="136" t="e">
        <f>#REF!</f>
        <v>#REF!</v>
      </c>
      <c r="O11" s="136" t="e">
        <f>#REF!</f>
        <v>#REF!</v>
      </c>
      <c r="P11" s="136" t="e">
        <f>#REF!</f>
        <v>#REF!</v>
      </c>
      <c r="Q11" s="136" t="e">
        <f>#REF!</f>
        <v>#REF!</v>
      </c>
      <c r="R11" s="136" t="e">
        <f>#REF!</f>
        <v>#REF!</v>
      </c>
      <c r="S11" s="155" t="e">
        <f>SUM(L11:R11)</f>
        <v>#REF!</v>
      </c>
      <c r="T11" s="155">
        <v>465</v>
      </c>
      <c r="U11" s="155" t="e">
        <f t="shared" si="7"/>
        <v>#REF!</v>
      </c>
      <c r="V11" s="136" t="e">
        <f>#REF!</f>
        <v>#REF!</v>
      </c>
      <c r="W11" s="136" t="e">
        <f>#REF!</f>
        <v>#REF!</v>
      </c>
      <c r="X11" s="136" t="e">
        <f>#REF!</f>
        <v>#REF!</v>
      </c>
      <c r="Y11" s="136" t="e">
        <f>#REF!</f>
        <v>#REF!</v>
      </c>
      <c r="Z11" s="136" t="e">
        <f>#REF!</f>
        <v>#REF!</v>
      </c>
      <c r="AA11" s="136" t="e">
        <f>#REF!</f>
        <v>#REF!</v>
      </c>
      <c r="AB11" s="136" t="e">
        <f>#REF!</f>
        <v>#REF!</v>
      </c>
      <c r="AC11" s="136" t="e">
        <f>#REF!</f>
        <v>#REF!</v>
      </c>
      <c r="AD11" s="136" t="e">
        <f>#REF!</f>
        <v>#REF!</v>
      </c>
      <c r="AE11" s="136" t="e">
        <f>#REF!</f>
        <v>#REF!</v>
      </c>
      <c r="AF11" s="136" t="e">
        <f>#REF!</f>
        <v>#REF!</v>
      </c>
      <c r="AG11" s="136" t="e">
        <f>#REF!</f>
        <v>#REF!</v>
      </c>
      <c r="AH11" s="136" t="e">
        <f t="shared" si="19"/>
        <v>#REF!</v>
      </c>
      <c r="AI11" s="150">
        <v>510</v>
      </c>
      <c r="AJ11" s="155">
        <v>477</v>
      </c>
      <c r="AK11" s="160" t="e">
        <f t="shared" si="9"/>
        <v>#REF!</v>
      </c>
      <c r="AL11" s="160"/>
      <c r="AM11" s="156" t="e">
        <f>AH11/S11</f>
        <v>#REF!</v>
      </c>
      <c r="AN11" s="305"/>
      <c r="AO11" s="309" t="s">
        <v>126</v>
      </c>
      <c r="AP11" s="131" t="s">
        <v>143</v>
      </c>
      <c r="AQ11" s="136" t="e">
        <f>#REF!</f>
        <v>#REF!</v>
      </c>
      <c r="AR11" s="136" t="e">
        <f>#REF!</f>
        <v>#REF!</v>
      </c>
      <c r="AS11" s="136" t="e">
        <f>#REF!</f>
        <v>#REF!</v>
      </c>
      <c r="AT11" s="136" t="e">
        <f>#REF!</f>
        <v>#REF!</v>
      </c>
      <c r="AU11" s="136" t="e">
        <f>#REF!</f>
        <v>#REF!</v>
      </c>
      <c r="AV11" s="136" t="e">
        <f>#REF!</f>
        <v>#REF!</v>
      </c>
      <c r="AW11" s="136" t="e">
        <f>#REF!</f>
        <v>#REF!</v>
      </c>
      <c r="AX11" s="136" t="e">
        <f>#REF!</f>
        <v>#REF!</v>
      </c>
      <c r="AY11" s="136" t="e">
        <f>#REF!</f>
        <v>#REF!</v>
      </c>
      <c r="AZ11" s="136" t="e">
        <f>#REF!</f>
        <v>#REF!</v>
      </c>
      <c r="BA11" s="136" t="e">
        <f>#REF!</f>
        <v>#REF!</v>
      </c>
      <c r="BB11" s="136" t="e">
        <f>#REF!</f>
        <v>#REF!</v>
      </c>
      <c r="BC11" s="151" t="e">
        <f t="shared" si="3"/>
        <v>#REF!</v>
      </c>
      <c r="BD11" s="150"/>
      <c r="BE11" s="136" t="e">
        <f>#REF!</f>
        <v>#REF!</v>
      </c>
      <c r="BF11" s="136" t="e">
        <f>#REF!</f>
        <v>#REF!</v>
      </c>
      <c r="BG11" s="136" t="e">
        <f>#REF!</f>
        <v>#REF!</v>
      </c>
      <c r="BH11" s="136" t="e">
        <f>#REF!</f>
        <v>#REF!</v>
      </c>
      <c r="BI11" s="136" t="e">
        <f>#REF!</f>
        <v>#REF!</v>
      </c>
      <c r="BJ11" s="136" t="e">
        <f>#REF!</f>
        <v>#REF!</v>
      </c>
      <c r="BK11" s="136" t="e">
        <f>#REF!</f>
        <v>#REF!</v>
      </c>
      <c r="BL11" s="136" t="e">
        <f>#REF!</f>
        <v>#REF!</v>
      </c>
      <c r="BM11" s="136" t="e">
        <f>#REF!</f>
        <v>#REF!</v>
      </c>
      <c r="BN11" s="136" t="e">
        <f>#REF!</f>
        <v>#REF!</v>
      </c>
      <c r="BO11" s="136" t="e">
        <f>#REF!</f>
        <v>#REF!</v>
      </c>
      <c r="BP11" s="136" t="e">
        <f>#REF!</f>
        <v>#REF!</v>
      </c>
      <c r="BQ11" s="136" t="e">
        <f t="shared" si="5"/>
        <v>#REF!</v>
      </c>
      <c r="BS11" s="192"/>
      <c r="BT11" s="325"/>
      <c r="BU11" s="328"/>
      <c r="BV11" s="196"/>
    </row>
    <row r="12" spans="1:79">
      <c r="A12" s="305"/>
      <c r="B12" s="310"/>
      <c r="C12" s="137" t="s">
        <v>64</v>
      </c>
      <c r="D12" s="207">
        <v>10589676</v>
      </c>
      <c r="E12" s="207">
        <v>11590437</v>
      </c>
      <c r="F12" s="138" t="e">
        <f>#REF!</f>
        <v>#REF!</v>
      </c>
      <c r="G12" s="138" t="e">
        <f>#REF!</f>
        <v>#REF!</v>
      </c>
      <c r="H12" s="138" t="e">
        <f>#REF!</f>
        <v>#REF!</v>
      </c>
      <c r="I12" s="138" t="e">
        <f>#REF!</f>
        <v>#REF!</v>
      </c>
      <c r="J12" s="138" t="e">
        <f>#REF!</f>
        <v>#REF!</v>
      </c>
      <c r="K12" s="138" t="e">
        <f>#REF!</f>
        <v>#REF!</v>
      </c>
      <c r="L12" s="134" t="e">
        <f t="shared" si="12"/>
        <v>#REF!</v>
      </c>
      <c r="M12" s="138" t="e">
        <f>#REF!</f>
        <v>#REF!</v>
      </c>
      <c r="N12" s="138" t="e">
        <f>#REF!</f>
        <v>#REF!</v>
      </c>
      <c r="O12" s="138" t="e">
        <f>#REF!</f>
        <v>#REF!</v>
      </c>
      <c r="P12" s="138" t="e">
        <f>#REF!</f>
        <v>#REF!</v>
      </c>
      <c r="Q12" s="138" t="e">
        <f>#REF!</f>
        <v>#REF!</v>
      </c>
      <c r="R12" s="138" t="e">
        <f>#REF!</f>
        <v>#REF!</v>
      </c>
      <c r="S12" s="155" t="e">
        <f t="shared" si="13"/>
        <v>#REF!</v>
      </c>
      <c r="T12" s="155">
        <v>8681997</v>
      </c>
      <c r="U12" s="155" t="e">
        <f t="shared" si="7"/>
        <v>#REF!</v>
      </c>
      <c r="V12" s="138" t="e">
        <f>#REF!</f>
        <v>#REF!</v>
      </c>
      <c r="W12" s="138" t="e">
        <f>#REF!</f>
        <v>#REF!</v>
      </c>
      <c r="X12" s="138" t="e">
        <f>#REF!</f>
        <v>#REF!</v>
      </c>
      <c r="Y12" s="138" t="e">
        <f>#REF!</f>
        <v>#REF!</v>
      </c>
      <c r="Z12" s="138" t="e">
        <f>#REF!</f>
        <v>#REF!</v>
      </c>
      <c r="AA12" s="138" t="e">
        <f>#REF!</f>
        <v>#REF!</v>
      </c>
      <c r="AB12" s="138" t="e">
        <f>#REF!</f>
        <v>#REF!</v>
      </c>
      <c r="AC12" s="138" t="e">
        <f>#REF!</f>
        <v>#REF!</v>
      </c>
      <c r="AD12" s="138" t="e">
        <f>#REF!</f>
        <v>#REF!</v>
      </c>
      <c r="AE12" s="138" t="e">
        <f>#REF!</f>
        <v>#REF!</v>
      </c>
      <c r="AF12" s="138" t="e">
        <f>#REF!</f>
        <v>#REF!</v>
      </c>
      <c r="AG12" s="138" t="e">
        <f>#REF!</f>
        <v>#REF!</v>
      </c>
      <c r="AH12" s="138" t="e">
        <f t="shared" si="19"/>
        <v>#REF!</v>
      </c>
      <c r="AI12" s="150">
        <v>9643550.7000000011</v>
      </c>
      <c r="AJ12" s="155">
        <v>8899047</v>
      </c>
      <c r="AK12" s="160" t="e">
        <f t="shared" si="9"/>
        <v>#REF!</v>
      </c>
      <c r="AL12" s="160"/>
      <c r="AM12" s="156" t="e">
        <f t="shared" ref="AM12:AM14" si="26">AH12/S12</f>
        <v>#REF!</v>
      </c>
      <c r="AN12" s="305"/>
      <c r="AO12" s="310"/>
      <c r="AP12" s="133" t="s">
        <v>145</v>
      </c>
      <c r="AQ12" s="138" t="e">
        <f>#REF!</f>
        <v>#REF!</v>
      </c>
      <c r="AR12" s="138" t="e">
        <f>#REF!</f>
        <v>#REF!</v>
      </c>
      <c r="AS12" s="138" t="e">
        <f>#REF!</f>
        <v>#REF!</v>
      </c>
      <c r="AT12" s="138" t="e">
        <f>#REF!</f>
        <v>#REF!</v>
      </c>
      <c r="AU12" s="138" t="e">
        <f>#REF!</f>
        <v>#REF!</v>
      </c>
      <c r="AV12" s="138" t="e">
        <f>#REF!</f>
        <v>#REF!</v>
      </c>
      <c r="AW12" s="138" t="e">
        <f>#REF!</f>
        <v>#REF!</v>
      </c>
      <c r="AX12" s="138" t="e">
        <f>#REF!</f>
        <v>#REF!</v>
      </c>
      <c r="AY12" s="138" t="e">
        <f>#REF!</f>
        <v>#REF!</v>
      </c>
      <c r="AZ12" s="138" t="e">
        <f>#REF!</f>
        <v>#REF!</v>
      </c>
      <c r="BA12" s="138" t="e">
        <f>#REF!</f>
        <v>#REF!</v>
      </c>
      <c r="BB12" s="138" t="e">
        <f>#REF!</f>
        <v>#REF!</v>
      </c>
      <c r="BC12" s="152" t="e">
        <f t="shared" si="3"/>
        <v>#REF!</v>
      </c>
      <c r="BD12" s="150"/>
      <c r="BE12" s="138" t="e">
        <f>#REF!</f>
        <v>#REF!</v>
      </c>
      <c r="BF12" s="138" t="e">
        <f>#REF!</f>
        <v>#REF!</v>
      </c>
      <c r="BG12" s="138" t="e">
        <f>#REF!</f>
        <v>#REF!</v>
      </c>
      <c r="BH12" s="138" t="e">
        <f>#REF!</f>
        <v>#REF!</v>
      </c>
      <c r="BI12" s="138" t="e">
        <f>#REF!</f>
        <v>#REF!</v>
      </c>
      <c r="BJ12" s="138" t="e">
        <f>#REF!</f>
        <v>#REF!</v>
      </c>
      <c r="BK12" s="138" t="e">
        <f>#REF!</f>
        <v>#REF!</v>
      </c>
      <c r="BL12" s="138" t="e">
        <f>#REF!</f>
        <v>#REF!</v>
      </c>
      <c r="BM12" s="138" t="e">
        <f>#REF!</f>
        <v>#REF!</v>
      </c>
      <c r="BN12" s="138" t="e">
        <f>#REF!</f>
        <v>#REF!</v>
      </c>
      <c r="BO12" s="138" t="e">
        <f>#REF!</f>
        <v>#REF!</v>
      </c>
      <c r="BP12" s="138" t="e">
        <f>#REF!</f>
        <v>#REF!</v>
      </c>
      <c r="BQ12" s="138" t="e">
        <f t="shared" si="5"/>
        <v>#REF!</v>
      </c>
      <c r="BS12" s="192"/>
      <c r="BT12" s="325"/>
      <c r="BU12" s="328"/>
      <c r="BV12" s="196"/>
    </row>
    <row r="13" spans="1:79">
      <c r="A13" s="305"/>
      <c r="B13" s="309" t="s">
        <v>127</v>
      </c>
      <c r="C13" s="135" t="s">
        <v>105</v>
      </c>
      <c r="D13" s="210">
        <v>2645</v>
      </c>
      <c r="E13" s="210">
        <v>3430</v>
      </c>
      <c r="F13" s="150" t="e">
        <f>#REF!</f>
        <v>#REF!</v>
      </c>
      <c r="G13" s="150" t="e">
        <f>#REF!</f>
        <v>#REF!</v>
      </c>
      <c r="H13" s="150" t="e">
        <f>#REF!</f>
        <v>#REF!</v>
      </c>
      <c r="I13" s="150" t="e">
        <f>#REF!</f>
        <v>#REF!</v>
      </c>
      <c r="J13" s="150" t="e">
        <f>#REF!</f>
        <v>#REF!</v>
      </c>
      <c r="K13" s="150" t="e">
        <f>#REF!</f>
        <v>#REF!</v>
      </c>
      <c r="L13" s="155" t="e">
        <f t="shared" si="12"/>
        <v>#REF!</v>
      </c>
      <c r="M13" s="150" t="e">
        <f>#REF!</f>
        <v>#REF!</v>
      </c>
      <c r="N13" s="150" t="e">
        <f>#REF!</f>
        <v>#REF!</v>
      </c>
      <c r="O13" s="150" t="e">
        <f>#REF!</f>
        <v>#REF!</v>
      </c>
      <c r="P13" s="150" t="e">
        <f>#REF!</f>
        <v>#REF!</v>
      </c>
      <c r="Q13" s="150" t="e">
        <f>#REF!</f>
        <v>#REF!</v>
      </c>
      <c r="R13" s="150" t="e">
        <f>#REF!</f>
        <v>#REF!</v>
      </c>
      <c r="S13" s="132" t="e">
        <f t="shared" si="13"/>
        <v>#REF!</v>
      </c>
      <c r="T13" s="132">
        <v>3549</v>
      </c>
      <c r="U13" s="155" t="e">
        <f t="shared" si="7"/>
        <v>#REF!</v>
      </c>
      <c r="V13" s="150" t="e">
        <f>#REF!</f>
        <v>#REF!</v>
      </c>
      <c r="W13" s="150" t="e">
        <f>#REF!</f>
        <v>#REF!</v>
      </c>
      <c r="X13" s="150" t="e">
        <f>#REF!</f>
        <v>#REF!</v>
      </c>
      <c r="Y13" s="150" t="e">
        <f>#REF!</f>
        <v>#REF!</v>
      </c>
      <c r="Z13" s="150" t="e">
        <f>#REF!</f>
        <v>#REF!</v>
      </c>
      <c r="AA13" s="150" t="e">
        <f>#REF!</f>
        <v>#REF!</v>
      </c>
      <c r="AB13" s="150" t="e">
        <f>#REF!</f>
        <v>#REF!</v>
      </c>
      <c r="AC13" s="150" t="e">
        <f>#REF!</f>
        <v>#REF!</v>
      </c>
      <c r="AD13" s="150" t="e">
        <f>#REF!</f>
        <v>#REF!</v>
      </c>
      <c r="AE13" s="150" t="e">
        <f>#REF!</f>
        <v>#REF!</v>
      </c>
      <c r="AF13" s="150" t="e">
        <f>#REF!</f>
        <v>#REF!</v>
      </c>
      <c r="AG13" s="150" t="e">
        <f>#REF!</f>
        <v>#REF!</v>
      </c>
      <c r="AH13" s="136" t="e">
        <f t="shared" si="19"/>
        <v>#REF!</v>
      </c>
      <c r="AI13" s="136">
        <v>4319</v>
      </c>
      <c r="AJ13" s="132">
        <v>3661</v>
      </c>
      <c r="AK13" s="160" t="e">
        <f t="shared" si="9"/>
        <v>#REF!</v>
      </c>
      <c r="AL13" s="160"/>
      <c r="AM13" s="156" t="e">
        <f t="shared" si="26"/>
        <v>#REF!</v>
      </c>
      <c r="AN13" s="305"/>
      <c r="AO13" s="309" t="s">
        <v>127</v>
      </c>
      <c r="AP13" s="131" t="s">
        <v>143</v>
      </c>
      <c r="AQ13" s="136" t="e">
        <f>#REF!</f>
        <v>#REF!</v>
      </c>
      <c r="AR13" s="136" t="e">
        <f>#REF!</f>
        <v>#REF!</v>
      </c>
      <c r="AS13" s="136" t="e">
        <f>#REF!</f>
        <v>#REF!</v>
      </c>
      <c r="AT13" s="136" t="e">
        <f>#REF!</f>
        <v>#REF!</v>
      </c>
      <c r="AU13" s="136" t="e">
        <f>#REF!</f>
        <v>#REF!</v>
      </c>
      <c r="AV13" s="136" t="e">
        <f>#REF!</f>
        <v>#REF!</v>
      </c>
      <c r="AW13" s="136" t="e">
        <f>#REF!</f>
        <v>#REF!</v>
      </c>
      <c r="AX13" s="136" t="e">
        <f>#REF!</f>
        <v>#REF!</v>
      </c>
      <c r="AY13" s="136" t="e">
        <f>#REF!</f>
        <v>#REF!</v>
      </c>
      <c r="AZ13" s="136" t="e">
        <f>#REF!</f>
        <v>#REF!</v>
      </c>
      <c r="BA13" s="136" t="e">
        <f>#REF!</f>
        <v>#REF!</v>
      </c>
      <c r="BB13" s="136" t="e">
        <f>#REF!</f>
        <v>#REF!</v>
      </c>
      <c r="BC13" s="151" t="e">
        <f t="shared" si="3"/>
        <v>#REF!</v>
      </c>
      <c r="BD13" s="150"/>
      <c r="BE13" s="136" t="e">
        <f>#REF!</f>
        <v>#REF!</v>
      </c>
      <c r="BF13" s="136" t="e">
        <f>#REF!</f>
        <v>#REF!</v>
      </c>
      <c r="BG13" s="136" t="e">
        <f>#REF!</f>
        <v>#REF!</v>
      </c>
      <c r="BH13" s="136" t="e">
        <f>#REF!</f>
        <v>#REF!</v>
      </c>
      <c r="BI13" s="136" t="e">
        <f>#REF!</f>
        <v>#REF!</v>
      </c>
      <c r="BJ13" s="136" t="e">
        <f>#REF!</f>
        <v>#REF!</v>
      </c>
      <c r="BK13" s="136" t="e">
        <f>#REF!</f>
        <v>#REF!</v>
      </c>
      <c r="BL13" s="136" t="e">
        <f>#REF!</f>
        <v>#REF!</v>
      </c>
      <c r="BM13" s="136" t="e">
        <f>#REF!</f>
        <v>#REF!</v>
      </c>
      <c r="BN13" s="136" t="e">
        <f>#REF!</f>
        <v>#REF!</v>
      </c>
      <c r="BO13" s="136" t="e">
        <f>#REF!</f>
        <v>#REF!</v>
      </c>
      <c r="BP13" s="136" t="e">
        <f>#REF!</f>
        <v>#REF!</v>
      </c>
      <c r="BQ13" s="136" t="e">
        <f t="shared" si="5"/>
        <v>#REF!</v>
      </c>
      <c r="BS13" s="192"/>
      <c r="BT13" s="325"/>
      <c r="BU13" s="328"/>
      <c r="BV13" s="196"/>
    </row>
    <row r="14" spans="1:79">
      <c r="A14" s="306"/>
      <c r="B14" s="310"/>
      <c r="C14" s="137" t="s">
        <v>64</v>
      </c>
      <c r="D14" s="207">
        <v>22782533</v>
      </c>
      <c r="E14" s="207">
        <v>22257206</v>
      </c>
      <c r="F14" s="138" t="e">
        <f>#REF!</f>
        <v>#REF!</v>
      </c>
      <c r="G14" s="138" t="e">
        <f>#REF!</f>
        <v>#REF!</v>
      </c>
      <c r="H14" s="138" t="e">
        <f>#REF!</f>
        <v>#REF!</v>
      </c>
      <c r="I14" s="138" t="e">
        <f>#REF!</f>
        <v>#REF!</v>
      </c>
      <c r="J14" s="138" t="e">
        <f>#REF!</f>
        <v>#REF!</v>
      </c>
      <c r="K14" s="138" t="e">
        <f>#REF!</f>
        <v>#REF!</v>
      </c>
      <c r="L14" s="134" t="e">
        <f t="shared" si="12"/>
        <v>#REF!</v>
      </c>
      <c r="M14" s="138" t="e">
        <f>#REF!</f>
        <v>#REF!</v>
      </c>
      <c r="N14" s="138" t="e">
        <f>#REF!</f>
        <v>#REF!</v>
      </c>
      <c r="O14" s="138" t="e">
        <f>#REF!</f>
        <v>#REF!</v>
      </c>
      <c r="P14" s="138" t="e">
        <f>#REF!</f>
        <v>#REF!</v>
      </c>
      <c r="Q14" s="138" t="e">
        <f>#REF!</f>
        <v>#REF!</v>
      </c>
      <c r="R14" s="138" t="e">
        <f>#REF!</f>
        <v>#REF!</v>
      </c>
      <c r="S14" s="134" t="e">
        <f t="shared" si="13"/>
        <v>#REF!</v>
      </c>
      <c r="T14" s="134">
        <v>24121347</v>
      </c>
      <c r="U14" s="155" t="e">
        <f t="shared" si="7"/>
        <v>#REF!</v>
      </c>
      <c r="V14" s="138" t="e">
        <f>#REF!</f>
        <v>#REF!</v>
      </c>
      <c r="W14" s="138" t="e">
        <f>#REF!</f>
        <v>#REF!</v>
      </c>
      <c r="X14" s="138" t="e">
        <f>#REF!</f>
        <v>#REF!</v>
      </c>
      <c r="Y14" s="138" t="e">
        <f>#REF!</f>
        <v>#REF!</v>
      </c>
      <c r="Z14" s="138" t="e">
        <f>#REF!</f>
        <v>#REF!</v>
      </c>
      <c r="AA14" s="138" t="e">
        <f>#REF!</f>
        <v>#REF!</v>
      </c>
      <c r="AB14" s="138" t="e">
        <f>#REF!</f>
        <v>#REF!</v>
      </c>
      <c r="AC14" s="138" t="e">
        <f>#REF!</f>
        <v>#REF!</v>
      </c>
      <c r="AD14" s="138" t="e">
        <f>#REF!</f>
        <v>#REF!</v>
      </c>
      <c r="AE14" s="138" t="e">
        <f>#REF!</f>
        <v>#REF!</v>
      </c>
      <c r="AF14" s="138" t="e">
        <f>#REF!</f>
        <v>#REF!</v>
      </c>
      <c r="AG14" s="138" t="e">
        <f>#REF!</f>
        <v>#REF!</v>
      </c>
      <c r="AH14" s="138" t="e">
        <f t="shared" si="19"/>
        <v>#REF!</v>
      </c>
      <c r="AI14" s="138">
        <v>26772541.950000003</v>
      </c>
      <c r="AJ14" s="134">
        <v>24603774</v>
      </c>
      <c r="AK14" s="160" t="e">
        <f t="shared" si="9"/>
        <v>#REF!</v>
      </c>
      <c r="AL14" s="160"/>
      <c r="AM14" s="156" t="e">
        <f t="shared" si="26"/>
        <v>#REF!</v>
      </c>
      <c r="AN14" s="306"/>
      <c r="AO14" s="310"/>
      <c r="AP14" s="133" t="s">
        <v>145</v>
      </c>
      <c r="AQ14" s="138" t="e">
        <f>#REF!</f>
        <v>#REF!</v>
      </c>
      <c r="AR14" s="138" t="e">
        <f>#REF!</f>
        <v>#REF!</v>
      </c>
      <c r="AS14" s="138" t="e">
        <f>#REF!</f>
        <v>#REF!</v>
      </c>
      <c r="AT14" s="138" t="e">
        <f>#REF!</f>
        <v>#REF!</v>
      </c>
      <c r="AU14" s="138" t="e">
        <f>#REF!</f>
        <v>#REF!</v>
      </c>
      <c r="AV14" s="138" t="e">
        <f>#REF!</f>
        <v>#REF!</v>
      </c>
      <c r="AW14" s="138" t="e">
        <f>#REF!</f>
        <v>#REF!</v>
      </c>
      <c r="AX14" s="138" t="e">
        <f>#REF!</f>
        <v>#REF!</v>
      </c>
      <c r="AY14" s="138" t="e">
        <f>#REF!</f>
        <v>#REF!</v>
      </c>
      <c r="AZ14" s="138" t="e">
        <f>#REF!</f>
        <v>#REF!</v>
      </c>
      <c r="BA14" s="138" t="e">
        <f>#REF!</f>
        <v>#REF!</v>
      </c>
      <c r="BB14" s="138" t="e">
        <f>#REF!</f>
        <v>#REF!</v>
      </c>
      <c r="BC14" s="152" t="e">
        <f t="shared" si="3"/>
        <v>#REF!</v>
      </c>
      <c r="BD14" s="150"/>
      <c r="BE14" s="138" t="e">
        <f>#REF!</f>
        <v>#REF!</v>
      </c>
      <c r="BF14" s="138" t="e">
        <f>#REF!</f>
        <v>#REF!</v>
      </c>
      <c r="BG14" s="138" t="e">
        <f>#REF!</f>
        <v>#REF!</v>
      </c>
      <c r="BH14" s="138" t="e">
        <f>#REF!</f>
        <v>#REF!</v>
      </c>
      <c r="BI14" s="138" t="e">
        <f>#REF!</f>
        <v>#REF!</v>
      </c>
      <c r="BJ14" s="138" t="e">
        <f>#REF!</f>
        <v>#REF!</v>
      </c>
      <c r="BK14" s="138" t="e">
        <f>#REF!</f>
        <v>#REF!</v>
      </c>
      <c r="BL14" s="138" t="e">
        <f>#REF!</f>
        <v>#REF!</v>
      </c>
      <c r="BM14" s="138" t="e">
        <f>#REF!</f>
        <v>#REF!</v>
      </c>
      <c r="BN14" s="138" t="e">
        <f>#REF!</f>
        <v>#REF!</v>
      </c>
      <c r="BO14" s="138" t="e">
        <f>#REF!</f>
        <v>#REF!</v>
      </c>
      <c r="BP14" s="138" t="e">
        <f>#REF!</f>
        <v>#REF!</v>
      </c>
      <c r="BQ14" s="138" t="e">
        <f t="shared" si="5"/>
        <v>#REF!</v>
      </c>
      <c r="BS14" s="192"/>
      <c r="BT14" s="325"/>
      <c r="BU14" s="328"/>
      <c r="BV14" s="196"/>
    </row>
    <row r="15" spans="1:79">
      <c r="A15" s="301" t="s">
        <v>130</v>
      </c>
      <c r="B15" s="301"/>
      <c r="C15" s="139" t="s">
        <v>105</v>
      </c>
      <c r="D15" s="140">
        <v>5033</v>
      </c>
      <c r="E15" s="140">
        <v>5033</v>
      </c>
      <c r="F15" s="140" t="e">
        <f>F3+F9</f>
        <v>#REF!</v>
      </c>
      <c r="G15" s="140" t="e">
        <f t="shared" ref="G15:Q15" si="27">G3+G9</f>
        <v>#REF!</v>
      </c>
      <c r="H15" s="140" t="e">
        <f t="shared" si="27"/>
        <v>#REF!</v>
      </c>
      <c r="I15" s="140" t="e">
        <f t="shared" si="27"/>
        <v>#REF!</v>
      </c>
      <c r="J15" s="140" t="e">
        <f t="shared" si="27"/>
        <v>#REF!</v>
      </c>
      <c r="K15" s="140" t="e">
        <f t="shared" si="27"/>
        <v>#REF!</v>
      </c>
      <c r="L15" s="140" t="e">
        <f>SUM(F15:K15)</f>
        <v>#REF!</v>
      </c>
      <c r="M15" s="140" t="e">
        <f t="shared" si="27"/>
        <v>#REF!</v>
      </c>
      <c r="N15" s="140" t="e">
        <f t="shared" si="27"/>
        <v>#REF!</v>
      </c>
      <c r="O15" s="140" t="e">
        <f t="shared" si="27"/>
        <v>#REF!</v>
      </c>
      <c r="P15" s="140" t="e">
        <f t="shared" si="27"/>
        <v>#REF!</v>
      </c>
      <c r="Q15" s="140" t="e">
        <f t="shared" si="27"/>
        <v>#REF!</v>
      </c>
      <c r="R15" s="140" t="e">
        <f>R3+R9</f>
        <v>#REF!</v>
      </c>
      <c r="S15" s="140" t="e">
        <f>SUM(L15:R15)</f>
        <v>#REF!</v>
      </c>
      <c r="T15" s="202">
        <v>4659</v>
      </c>
      <c r="U15" s="155" t="e">
        <f t="shared" si="7"/>
        <v>#REF!</v>
      </c>
      <c r="V15" s="140" t="e">
        <f t="shared" ref="V15:AG15" si="28">V3+V9</f>
        <v>#REF!</v>
      </c>
      <c r="W15" s="140" t="e">
        <f t="shared" si="28"/>
        <v>#REF!</v>
      </c>
      <c r="X15" s="140" t="e">
        <f t="shared" si="28"/>
        <v>#REF!</v>
      </c>
      <c r="Y15" s="140" t="e">
        <f t="shared" si="28"/>
        <v>#REF!</v>
      </c>
      <c r="Z15" s="140" t="e">
        <f t="shared" si="28"/>
        <v>#REF!</v>
      </c>
      <c r="AA15" s="140" t="e">
        <f t="shared" si="28"/>
        <v>#REF!</v>
      </c>
      <c r="AB15" s="140" t="e">
        <f t="shared" si="28"/>
        <v>#REF!</v>
      </c>
      <c r="AC15" s="140" t="e">
        <f t="shared" si="28"/>
        <v>#REF!</v>
      </c>
      <c r="AD15" s="140" t="e">
        <f t="shared" si="28"/>
        <v>#REF!</v>
      </c>
      <c r="AE15" s="140" t="e">
        <f t="shared" si="28"/>
        <v>#REF!</v>
      </c>
      <c r="AF15" s="140" t="e">
        <f t="shared" si="28"/>
        <v>#REF!</v>
      </c>
      <c r="AG15" s="140" t="e">
        <f t="shared" si="28"/>
        <v>#REF!</v>
      </c>
      <c r="AH15" s="140" t="e">
        <f>SUM(V15:AG15)</f>
        <v>#REF!</v>
      </c>
      <c r="AI15" s="202">
        <f>AI3+AI9</f>
        <v>5413</v>
      </c>
      <c r="AJ15" s="202">
        <f>AJ3+AJ9</f>
        <v>4796</v>
      </c>
      <c r="AK15" s="160" t="e">
        <f>AH15-AJ15</f>
        <v>#REF!</v>
      </c>
      <c r="AL15" s="160"/>
      <c r="AN15" s="301" t="s">
        <v>130</v>
      </c>
      <c r="AO15" s="301"/>
      <c r="AP15" s="139" t="s">
        <v>105</v>
      </c>
      <c r="AQ15" s="140" t="e">
        <f t="shared" ref="AQ15:BB15" si="29">AQ3+AQ9</f>
        <v>#REF!</v>
      </c>
      <c r="AR15" s="140" t="e">
        <f t="shared" si="29"/>
        <v>#REF!</v>
      </c>
      <c r="AS15" s="140" t="e">
        <f t="shared" si="29"/>
        <v>#REF!</v>
      </c>
      <c r="AT15" s="140" t="e">
        <f t="shared" si="29"/>
        <v>#REF!</v>
      </c>
      <c r="AU15" s="140" t="e">
        <f t="shared" si="29"/>
        <v>#REF!</v>
      </c>
      <c r="AV15" s="140" t="e">
        <f t="shared" si="29"/>
        <v>#REF!</v>
      </c>
      <c r="AW15" s="140" t="e">
        <f t="shared" si="29"/>
        <v>#REF!</v>
      </c>
      <c r="AX15" s="140" t="e">
        <f t="shared" si="29"/>
        <v>#REF!</v>
      </c>
      <c r="AY15" s="140" t="e">
        <f t="shared" si="29"/>
        <v>#REF!</v>
      </c>
      <c r="AZ15" s="140" t="e">
        <f t="shared" si="29"/>
        <v>#REF!</v>
      </c>
      <c r="BA15" s="140" t="e">
        <f t="shared" si="29"/>
        <v>#REF!</v>
      </c>
      <c r="BB15" s="140" t="e">
        <f t="shared" si="29"/>
        <v>#REF!</v>
      </c>
      <c r="BC15" s="140" t="e">
        <f t="shared" ref="BC15" si="30">BC3+BC9</f>
        <v>#REF!</v>
      </c>
      <c r="BD15" s="155"/>
      <c r="BE15" s="140" t="e">
        <f t="shared" ref="BE15:BQ16" si="31">BE3+BE9</f>
        <v>#REF!</v>
      </c>
      <c r="BF15" s="140" t="e">
        <f t="shared" si="31"/>
        <v>#REF!</v>
      </c>
      <c r="BG15" s="140" t="e">
        <f t="shared" si="31"/>
        <v>#REF!</v>
      </c>
      <c r="BH15" s="140" t="e">
        <f t="shared" si="31"/>
        <v>#REF!</v>
      </c>
      <c r="BI15" s="140" t="e">
        <f t="shared" si="31"/>
        <v>#REF!</v>
      </c>
      <c r="BJ15" s="140" t="e">
        <f t="shared" si="31"/>
        <v>#REF!</v>
      </c>
      <c r="BK15" s="140" t="e">
        <f t="shared" si="31"/>
        <v>#REF!</v>
      </c>
      <c r="BL15" s="140" t="e">
        <f t="shared" si="31"/>
        <v>#REF!</v>
      </c>
      <c r="BM15" s="140" t="e">
        <f t="shared" si="31"/>
        <v>#REF!</v>
      </c>
      <c r="BN15" s="140" t="e">
        <f t="shared" si="31"/>
        <v>#REF!</v>
      </c>
      <c r="BO15" s="140" t="e">
        <f t="shared" si="31"/>
        <v>#REF!</v>
      </c>
      <c r="BP15" s="140" t="e">
        <f t="shared" si="31"/>
        <v>#REF!</v>
      </c>
      <c r="BQ15" s="140" t="e">
        <f t="shared" si="31"/>
        <v>#REF!</v>
      </c>
      <c r="BS15" s="192"/>
      <c r="BT15" s="323"/>
      <c r="BU15" s="323"/>
      <c r="BV15" s="196"/>
    </row>
    <row r="16" spans="1:79">
      <c r="A16" s="302"/>
      <c r="B16" s="302"/>
      <c r="C16" s="141" t="s">
        <v>64</v>
      </c>
      <c r="D16" s="142">
        <v>40531984</v>
      </c>
      <c r="E16" s="142">
        <v>40531984</v>
      </c>
      <c r="F16" s="142" t="e">
        <f t="shared" ref="F16:Q16" si="32">F4+F10</f>
        <v>#REF!</v>
      </c>
      <c r="G16" s="142" t="e">
        <f t="shared" si="32"/>
        <v>#REF!</v>
      </c>
      <c r="H16" s="142" t="e">
        <f t="shared" si="32"/>
        <v>#REF!</v>
      </c>
      <c r="I16" s="142" t="e">
        <f t="shared" si="32"/>
        <v>#REF!</v>
      </c>
      <c r="J16" s="142" t="e">
        <f t="shared" si="32"/>
        <v>#REF!</v>
      </c>
      <c r="K16" s="142" t="e">
        <f t="shared" si="32"/>
        <v>#REF!</v>
      </c>
      <c r="L16" s="142" t="e">
        <f>SUM(F16:K16)</f>
        <v>#REF!</v>
      </c>
      <c r="M16" s="142" t="e">
        <f t="shared" si="32"/>
        <v>#REF!</v>
      </c>
      <c r="N16" s="142" t="e">
        <f t="shared" si="32"/>
        <v>#REF!</v>
      </c>
      <c r="O16" s="142" t="e">
        <f t="shared" si="32"/>
        <v>#REF!</v>
      </c>
      <c r="P16" s="142" t="e">
        <f t="shared" si="32"/>
        <v>#REF!</v>
      </c>
      <c r="Q16" s="142" t="e">
        <f t="shared" si="32"/>
        <v>#REF!</v>
      </c>
      <c r="R16" s="142" t="e">
        <f>R4+R10</f>
        <v>#REF!</v>
      </c>
      <c r="S16" s="142" t="e">
        <f>SUM(L16:R16)</f>
        <v>#REF!</v>
      </c>
      <c r="T16" s="203">
        <v>37257838</v>
      </c>
      <c r="U16" s="155" t="e">
        <f t="shared" si="7"/>
        <v>#REF!</v>
      </c>
      <c r="V16" s="142" t="e">
        <f t="shared" ref="V16:AG16" si="33">V4+V10</f>
        <v>#REF!</v>
      </c>
      <c r="W16" s="142" t="e">
        <f t="shared" si="33"/>
        <v>#REF!</v>
      </c>
      <c r="X16" s="142" t="e">
        <f t="shared" si="33"/>
        <v>#REF!</v>
      </c>
      <c r="Y16" s="142" t="e">
        <f t="shared" si="33"/>
        <v>#REF!</v>
      </c>
      <c r="Z16" s="142" t="e">
        <f t="shared" si="33"/>
        <v>#REF!</v>
      </c>
      <c r="AA16" s="142" t="e">
        <f t="shared" si="33"/>
        <v>#REF!</v>
      </c>
      <c r="AB16" s="142" t="e">
        <f t="shared" si="33"/>
        <v>#REF!</v>
      </c>
      <c r="AC16" s="142" t="e">
        <f t="shared" si="33"/>
        <v>#REF!</v>
      </c>
      <c r="AD16" s="142" t="e">
        <f t="shared" si="33"/>
        <v>#REF!</v>
      </c>
      <c r="AE16" s="142" t="e">
        <f t="shared" si="33"/>
        <v>#REF!</v>
      </c>
      <c r="AF16" s="142" t="e">
        <f t="shared" si="33"/>
        <v>#REF!</v>
      </c>
      <c r="AG16" s="142" t="e">
        <f t="shared" si="33"/>
        <v>#REF!</v>
      </c>
      <c r="AH16" s="142" t="e">
        <f>SUM(V16:AG16)</f>
        <v>#REF!</v>
      </c>
      <c r="AI16" s="203">
        <f>AI4+AI10</f>
        <v>40693522.650000006</v>
      </c>
      <c r="AJ16" s="203">
        <f>AJ4+AJ10</f>
        <v>38046405</v>
      </c>
      <c r="AK16" s="160" t="e">
        <f t="shared" si="9"/>
        <v>#REF!</v>
      </c>
      <c r="AL16" s="160"/>
      <c r="AN16" s="302"/>
      <c r="AO16" s="302"/>
      <c r="AP16" s="141" t="s">
        <v>64</v>
      </c>
      <c r="AQ16" s="142" t="e">
        <f t="shared" ref="AQ16:BB16" si="34">AQ4+AQ10</f>
        <v>#REF!</v>
      </c>
      <c r="AR16" s="142" t="e">
        <f t="shared" si="34"/>
        <v>#REF!</v>
      </c>
      <c r="AS16" s="142" t="e">
        <f t="shared" si="34"/>
        <v>#REF!</v>
      </c>
      <c r="AT16" s="142" t="e">
        <f t="shared" si="34"/>
        <v>#REF!</v>
      </c>
      <c r="AU16" s="142" t="e">
        <f t="shared" si="34"/>
        <v>#REF!</v>
      </c>
      <c r="AV16" s="142" t="e">
        <f t="shared" si="34"/>
        <v>#REF!</v>
      </c>
      <c r="AW16" s="142" t="e">
        <f t="shared" si="34"/>
        <v>#REF!</v>
      </c>
      <c r="AX16" s="142" t="e">
        <f t="shared" si="34"/>
        <v>#REF!</v>
      </c>
      <c r="AY16" s="142" t="e">
        <f t="shared" si="34"/>
        <v>#REF!</v>
      </c>
      <c r="AZ16" s="142" t="e">
        <f t="shared" si="34"/>
        <v>#REF!</v>
      </c>
      <c r="BA16" s="142" t="e">
        <f t="shared" si="34"/>
        <v>#REF!</v>
      </c>
      <c r="BB16" s="142" t="e">
        <f t="shared" si="34"/>
        <v>#REF!</v>
      </c>
      <c r="BC16" s="142" t="e">
        <f t="shared" ref="BC16" si="35">BC4+BC10</f>
        <v>#REF!</v>
      </c>
      <c r="BD16" s="155"/>
      <c r="BE16" s="142" t="e">
        <f t="shared" ref="BE16:BP16" si="36">BE4+BE10</f>
        <v>#REF!</v>
      </c>
      <c r="BF16" s="142" t="e">
        <f t="shared" si="36"/>
        <v>#REF!</v>
      </c>
      <c r="BG16" s="142" t="e">
        <f t="shared" si="36"/>
        <v>#REF!</v>
      </c>
      <c r="BH16" s="142" t="e">
        <f t="shared" si="36"/>
        <v>#REF!</v>
      </c>
      <c r="BI16" s="142" t="e">
        <f t="shared" si="36"/>
        <v>#REF!</v>
      </c>
      <c r="BJ16" s="142" t="e">
        <f t="shared" si="36"/>
        <v>#REF!</v>
      </c>
      <c r="BK16" s="142" t="e">
        <f t="shared" si="36"/>
        <v>#REF!</v>
      </c>
      <c r="BL16" s="142" t="e">
        <f t="shared" si="36"/>
        <v>#REF!</v>
      </c>
      <c r="BM16" s="142" t="e">
        <f t="shared" si="36"/>
        <v>#REF!</v>
      </c>
      <c r="BN16" s="142" t="e">
        <f t="shared" si="36"/>
        <v>#REF!</v>
      </c>
      <c r="BO16" s="142" t="e">
        <f t="shared" si="36"/>
        <v>#REF!</v>
      </c>
      <c r="BP16" s="142" t="e">
        <f t="shared" si="36"/>
        <v>#REF!</v>
      </c>
      <c r="BQ16" s="142" t="e">
        <f t="shared" si="31"/>
        <v>#REF!</v>
      </c>
      <c r="BS16" s="192"/>
      <c r="BT16" s="323"/>
      <c r="BU16" s="323"/>
      <c r="BV16" s="196"/>
    </row>
    <row r="18" spans="5:69">
      <c r="S18" s="156"/>
    </row>
    <row r="19" spans="5:69">
      <c r="E19" s="128" t="s">
        <v>165</v>
      </c>
      <c r="L19" s="128" t="s">
        <v>166</v>
      </c>
      <c r="S19" s="156" t="s">
        <v>167</v>
      </c>
      <c r="T19" s="146" t="s">
        <v>168</v>
      </c>
      <c r="U19" s="146"/>
    </row>
    <row r="20" spans="5:69" ht="14.4">
      <c r="E20" s="102">
        <v>130</v>
      </c>
      <c r="L20" s="128">
        <v>231</v>
      </c>
      <c r="S20" s="211">
        <v>280</v>
      </c>
      <c r="T20" s="212">
        <f>E20+L20+S20</f>
        <v>641</v>
      </c>
      <c r="U20" s="146"/>
    </row>
    <row r="21" spans="5:69" ht="14.4">
      <c r="E21" s="102">
        <v>1068034</v>
      </c>
      <c r="L21" s="128">
        <v>534267</v>
      </c>
      <c r="S21" s="211">
        <v>787092</v>
      </c>
      <c r="T21" s="212">
        <f>E21+L21+S21</f>
        <v>2389393</v>
      </c>
      <c r="U21" s="146"/>
      <c r="AN21" s="128" t="s">
        <v>149</v>
      </c>
      <c r="BE21" s="128" t="s">
        <v>153</v>
      </c>
    </row>
    <row r="22" spans="5:69" ht="26.4">
      <c r="L22" s="146"/>
      <c r="S22" s="156"/>
      <c r="T22" s="146"/>
      <c r="AH22" s="146"/>
      <c r="AN22" s="189" t="s">
        <v>128</v>
      </c>
      <c r="AO22" s="189" t="s">
        <v>129</v>
      </c>
      <c r="AP22" s="190" t="s">
        <v>26</v>
      </c>
      <c r="AQ22" s="187">
        <v>45658</v>
      </c>
      <c r="AR22" s="187">
        <v>45689</v>
      </c>
      <c r="AS22" s="187">
        <v>45717</v>
      </c>
      <c r="AT22" s="187">
        <v>45748</v>
      </c>
      <c r="AU22" s="187">
        <v>45778</v>
      </c>
      <c r="AV22" s="187">
        <v>45809</v>
      </c>
      <c r="AW22" s="187">
        <v>45839</v>
      </c>
      <c r="AX22" s="187">
        <v>45870</v>
      </c>
      <c r="AY22" s="187">
        <v>45901</v>
      </c>
      <c r="AZ22" s="187">
        <v>45931</v>
      </c>
      <c r="BA22" s="187">
        <v>45962</v>
      </c>
      <c r="BB22" s="187">
        <v>45992</v>
      </c>
      <c r="BC22" s="191" t="s">
        <v>150</v>
      </c>
      <c r="BD22" s="185"/>
      <c r="BE22" s="186">
        <v>46023</v>
      </c>
      <c r="BF22" s="187">
        <v>46054</v>
      </c>
      <c r="BG22" s="186">
        <v>46082</v>
      </c>
      <c r="BH22" s="187">
        <v>46113</v>
      </c>
      <c r="BI22" s="186">
        <v>46143</v>
      </c>
      <c r="BJ22" s="187">
        <v>46174</v>
      </c>
      <c r="BK22" s="186">
        <v>46204</v>
      </c>
      <c r="BL22" s="187">
        <v>46235</v>
      </c>
      <c r="BM22" s="186">
        <v>46266</v>
      </c>
      <c r="BN22" s="187">
        <v>46296</v>
      </c>
      <c r="BO22" s="186">
        <v>46327</v>
      </c>
      <c r="BP22" s="187">
        <v>46357</v>
      </c>
      <c r="BQ22" s="188" t="s">
        <v>107</v>
      </c>
    </row>
    <row r="23" spans="5:69">
      <c r="L23" s="146" t="e">
        <f>L11*2</f>
        <v>#REF!</v>
      </c>
      <c r="S23" s="156"/>
      <c r="AH23" s="219">
        <v>510</v>
      </c>
      <c r="AN23" s="304">
        <v>1</v>
      </c>
      <c r="AO23" s="312" t="s">
        <v>131</v>
      </c>
      <c r="AP23" s="131" t="s">
        <v>146</v>
      </c>
      <c r="AQ23" s="132">
        <f>AQ25+AQ27</f>
        <v>154.98560000000001</v>
      </c>
      <c r="AR23" s="132">
        <f t="shared" ref="AR23:BB23" si="37">AR25+AR27</f>
        <v>179.2021</v>
      </c>
      <c r="AS23" s="132">
        <f t="shared" si="37"/>
        <v>140.45570000000001</v>
      </c>
      <c r="AT23" s="132">
        <f t="shared" si="37"/>
        <v>188.88870000000003</v>
      </c>
      <c r="AU23" s="132">
        <f t="shared" si="37"/>
        <v>164.67220000000003</v>
      </c>
      <c r="AV23" s="132">
        <f t="shared" si="37"/>
        <v>179.20210000000003</v>
      </c>
      <c r="AW23" s="132">
        <f t="shared" si="37"/>
        <v>169.5155</v>
      </c>
      <c r="AX23" s="132">
        <f t="shared" si="37"/>
        <v>164.6722</v>
      </c>
      <c r="AY23" s="132">
        <f t="shared" si="37"/>
        <v>179.2021</v>
      </c>
      <c r="AZ23" s="132">
        <f t="shared" si="37"/>
        <v>208.26190000000003</v>
      </c>
      <c r="BA23" s="132">
        <f t="shared" si="37"/>
        <v>179.20210000000003</v>
      </c>
      <c r="BB23" s="132">
        <f t="shared" si="37"/>
        <v>154.98560000000003</v>
      </c>
      <c r="BC23" s="164">
        <f t="shared" ref="BC23:BC34" si="38">SUM(AQ23:BB23)</f>
        <v>2063.2458000000001</v>
      </c>
      <c r="BD23" s="155"/>
      <c r="BE23" s="132">
        <f>BE25+BE27</f>
        <v>173.900958</v>
      </c>
      <c r="BF23" s="132">
        <f t="shared" ref="BF23:BP23" si="39">BF25+BF27</f>
        <v>169.32461699999999</v>
      </c>
      <c r="BG23" s="132">
        <f t="shared" si="39"/>
        <v>169.32461700000002</v>
      </c>
      <c r="BH23" s="132">
        <f t="shared" si="39"/>
        <v>164.748276</v>
      </c>
      <c r="BI23" s="132">
        <f t="shared" si="39"/>
        <v>164.748276</v>
      </c>
      <c r="BJ23" s="132">
        <f t="shared" si="39"/>
        <v>151.01925300000002</v>
      </c>
      <c r="BK23" s="132">
        <f t="shared" si="39"/>
        <v>237.96973200000002</v>
      </c>
      <c r="BL23" s="132">
        <f t="shared" si="39"/>
        <v>274.58046000000002</v>
      </c>
      <c r="BM23" s="132">
        <f t="shared" si="39"/>
        <v>237.96973200000002</v>
      </c>
      <c r="BN23" s="132">
        <f t="shared" si="39"/>
        <v>260.85143700000003</v>
      </c>
      <c r="BO23" s="132">
        <f t="shared" si="39"/>
        <v>237.96973200000002</v>
      </c>
      <c r="BP23" s="132">
        <f t="shared" si="39"/>
        <v>228.81705000000002</v>
      </c>
      <c r="BQ23" s="132">
        <f t="shared" ref="BQ23:BQ34" si="40">SUM(BE23:BP23)</f>
        <v>2471.2241400000007</v>
      </c>
    </row>
    <row r="24" spans="5:69">
      <c r="L24" s="146" t="e">
        <f t="shared" ref="L24:L26" si="41">L12*2</f>
        <v>#REF!</v>
      </c>
      <c r="AH24" s="219" t="e">
        <f t="shared" ref="AH24:AH26" si="42">S12*1.05</f>
        <v>#REF!</v>
      </c>
      <c r="AN24" s="305"/>
      <c r="AO24" s="312"/>
      <c r="AP24" s="133" t="s">
        <v>147</v>
      </c>
      <c r="AQ24" s="134">
        <f>AQ26+AQ28</f>
        <v>1277531.7709000001</v>
      </c>
      <c r="AR24" s="134">
        <f t="shared" ref="AR24:BB24" si="43">AR26+AR28</f>
        <v>985078.78700000001</v>
      </c>
      <c r="AS24" s="134">
        <f t="shared" si="43"/>
        <v>1319770.1902000001</v>
      </c>
      <c r="AT24" s="134">
        <f t="shared" si="43"/>
        <v>1706945.94466</v>
      </c>
      <c r="AU24" s="134">
        <f t="shared" si="43"/>
        <v>742846.94946000003</v>
      </c>
      <c r="AV24" s="134">
        <f t="shared" si="43"/>
        <v>1605570.632477778</v>
      </c>
      <c r="AW24" s="134">
        <f t="shared" si="43"/>
        <v>826234.77205500007</v>
      </c>
      <c r="AX24" s="134">
        <f t="shared" si="43"/>
        <v>1253637.2158138889</v>
      </c>
      <c r="AY24" s="134">
        <f t="shared" si="43"/>
        <v>897754.08799999999</v>
      </c>
      <c r="AZ24" s="134">
        <f t="shared" si="43"/>
        <v>1773072.2345233331</v>
      </c>
      <c r="BA24" s="134">
        <f t="shared" si="43"/>
        <v>837593.76354499999</v>
      </c>
      <c r="BB24" s="134">
        <f t="shared" si="43"/>
        <v>1331509.3807399999</v>
      </c>
      <c r="BC24" s="165">
        <f t="shared" si="38"/>
        <v>14557545.729374999</v>
      </c>
      <c r="BD24" s="155"/>
      <c r="BE24" s="134">
        <f>BE26+BE28</f>
        <v>1044595.5966600002</v>
      </c>
      <c r="BF24" s="134">
        <f t="shared" ref="BF24:BP24" si="44">BF26+BF28</f>
        <v>750799.08080100012</v>
      </c>
      <c r="BG24" s="134">
        <f t="shared" si="44"/>
        <v>1300065.2566440001</v>
      </c>
      <c r="BH24" s="134">
        <f t="shared" si="44"/>
        <v>1456589.8478669999</v>
      </c>
      <c r="BI24" s="134">
        <f t="shared" si="44"/>
        <v>580531.737555</v>
      </c>
      <c r="BJ24" s="134">
        <f t="shared" si="44"/>
        <v>1399417.6197540001</v>
      </c>
      <c r="BK24" s="134">
        <f t="shared" si="44"/>
        <v>847849.54438800015</v>
      </c>
      <c r="BL24" s="134">
        <f t="shared" si="44"/>
        <v>1305739.9194840002</v>
      </c>
      <c r="BM24" s="134">
        <f t="shared" si="44"/>
        <v>860443.63482000004</v>
      </c>
      <c r="BN24" s="134">
        <f t="shared" si="44"/>
        <v>1708027.7514300002</v>
      </c>
      <c r="BO24" s="134">
        <f t="shared" si="44"/>
        <v>816277.367829</v>
      </c>
      <c r="BP24" s="134">
        <f t="shared" si="44"/>
        <v>1320411.66873</v>
      </c>
      <c r="BQ24" s="134">
        <f t="shared" si="40"/>
        <v>13390749.025962003</v>
      </c>
    </row>
    <row r="25" spans="5:69">
      <c r="L25" s="146" t="e">
        <f t="shared" si="41"/>
        <v>#REF!</v>
      </c>
      <c r="S25" s="156"/>
      <c r="AH25" s="219">
        <v>4319</v>
      </c>
      <c r="AN25" s="305"/>
      <c r="AO25" s="309" t="s">
        <v>126</v>
      </c>
      <c r="AP25" s="131" t="s">
        <v>146</v>
      </c>
      <c r="AQ25" s="136">
        <f>'TUNDA IKPP'!E211</f>
        <v>33.903100000000002</v>
      </c>
      <c r="AR25" s="136">
        <f>'TUNDA IKPP'!F211</f>
        <v>33.903100000000002</v>
      </c>
      <c r="AS25" s="136">
        <f>'TUNDA IKPP'!G211</f>
        <v>53.276299999999999</v>
      </c>
      <c r="AT25" s="136">
        <f>'TUNDA IKPP'!H211</f>
        <v>53.276300000000006</v>
      </c>
      <c r="AU25" s="136">
        <f>'TUNDA IKPP'!I211</f>
        <v>43.589700000000008</v>
      </c>
      <c r="AV25" s="136">
        <f>'TUNDA IKPP'!J211</f>
        <v>53.276300000000006</v>
      </c>
      <c r="AW25" s="136">
        <f>'TUNDA IKPP'!K211</f>
        <v>53.276299999999999</v>
      </c>
      <c r="AX25" s="136">
        <f>'TUNDA IKPP'!L211</f>
        <v>38.746400000000001</v>
      </c>
      <c r="AY25" s="136">
        <f>'TUNDA IKPP'!M211</f>
        <v>48.433</v>
      </c>
      <c r="AZ25" s="136">
        <f>'TUNDA IKPP'!N211</f>
        <v>62.962900000000005</v>
      </c>
      <c r="BA25" s="136">
        <f>'TUNDA IKPP'!O211</f>
        <v>48.433000000000007</v>
      </c>
      <c r="BB25" s="136">
        <f>'TUNDA IKPP'!P211</f>
        <v>43.589700000000008</v>
      </c>
      <c r="BC25" s="151">
        <f t="shared" si="38"/>
        <v>566.66610000000003</v>
      </c>
      <c r="BD25" s="150"/>
      <c r="BE25" s="136">
        <f>'TUNDA IKPP'!AB211</f>
        <v>64.068774000000005</v>
      </c>
      <c r="BF25" s="136">
        <f>'TUNDA IKPP'!AC211</f>
        <v>50.339751000000007</v>
      </c>
      <c r="BG25" s="136">
        <f>'TUNDA IKPP'!AD211</f>
        <v>27.458046000000003</v>
      </c>
      <c r="BH25" s="136">
        <f>'TUNDA IKPP'!AE211</f>
        <v>36.610728000000002</v>
      </c>
      <c r="BI25" s="136">
        <f>'TUNDA IKPP'!AF211</f>
        <v>32.034387000000002</v>
      </c>
      <c r="BJ25" s="136">
        <f>'TUNDA IKPP'!AG211</f>
        <v>32.034387000000002</v>
      </c>
      <c r="BK25" s="136">
        <f>'TUNDA IKPP'!AH211</f>
        <v>50.339751000000007</v>
      </c>
      <c r="BL25" s="136">
        <f>'TUNDA IKPP'!AI211</f>
        <v>64.068774000000005</v>
      </c>
      <c r="BM25" s="136">
        <f>'TUNDA IKPP'!AJ211</f>
        <v>50.339751000000007</v>
      </c>
      <c r="BN25" s="136">
        <f>'TUNDA IKPP'!AK211</f>
        <v>54.916092000000006</v>
      </c>
      <c r="BO25" s="136">
        <f>'TUNDA IKPP'!AL211</f>
        <v>36.610728000000002</v>
      </c>
      <c r="BP25" s="136">
        <f>'TUNDA IKPP'!AM211</f>
        <v>50.339751000000007</v>
      </c>
      <c r="BQ25" s="136">
        <f t="shared" si="40"/>
        <v>549.16092000000015</v>
      </c>
    </row>
    <row r="26" spans="5:69">
      <c r="L26" s="146" t="e">
        <f t="shared" si="41"/>
        <v>#REF!</v>
      </c>
      <c r="S26" s="156"/>
      <c r="AH26" s="219" t="e">
        <f t="shared" si="42"/>
        <v>#REF!</v>
      </c>
      <c r="AN26" s="305"/>
      <c r="AO26" s="310"/>
      <c r="AP26" s="133" t="s">
        <v>147</v>
      </c>
      <c r="AQ26" s="138">
        <f>'TUNDA IKPP'!E212</f>
        <v>863114.8064</v>
      </c>
      <c r="AR26" s="138">
        <f>'TUNDA IKPP'!F212</f>
        <v>460743.12899999996</v>
      </c>
      <c r="AS26" s="138">
        <f>'TUNDA IKPP'!G212</f>
        <v>944840.65060000005</v>
      </c>
      <c r="AT26" s="138">
        <f>'TUNDA IKPP'!H212</f>
        <v>1262489.8648999999</v>
      </c>
      <c r="AU26" s="138">
        <f>'TUNDA IKPP'!I212</f>
        <v>300238.58864999999</v>
      </c>
      <c r="AV26" s="138">
        <f>'TUNDA IKPP'!J212</f>
        <v>1090926.4177777779</v>
      </c>
      <c r="AW26" s="138">
        <f>'TUNDA IKPP'!K212</f>
        <v>430996.79122499999</v>
      </c>
      <c r="AX26" s="138">
        <f>'TUNDA IKPP'!L212</f>
        <v>792379.4861888889</v>
      </c>
      <c r="AY26" s="138">
        <f>'TUNDA IKPP'!M212</f>
        <v>384829.24479999999</v>
      </c>
      <c r="AZ26" s="138">
        <f>'TUNDA IKPP'!N212</f>
        <v>1297449.0349333333</v>
      </c>
      <c r="BA26" s="138">
        <f>'TUNDA IKPP'!O212</f>
        <v>346406.135075</v>
      </c>
      <c r="BB26" s="138">
        <f>'TUNDA IKPP'!P212</f>
        <v>895640.7947666666</v>
      </c>
      <c r="BC26" s="152">
        <f t="shared" si="38"/>
        <v>9070054.9443166666</v>
      </c>
      <c r="BD26" s="150"/>
      <c r="BE26" s="138">
        <f>'TUNDA IKPP'!AB212</f>
        <v>835662.74830500013</v>
      </c>
      <c r="BF26" s="138">
        <f>'TUNDA IKPP'!AC212</f>
        <v>435347.31933000003</v>
      </c>
      <c r="BG26" s="138">
        <f>'TUNDA IKPP'!AD212</f>
        <v>892761.75496200006</v>
      </c>
      <c r="BH26" s="138">
        <f>'TUNDA IKPP'!AE212</f>
        <v>1192905.655788</v>
      </c>
      <c r="BI26" s="138">
        <f>'TUNDA IKPP'!AF212</f>
        <v>283691.95493100001</v>
      </c>
      <c r="BJ26" s="138">
        <f>'TUNDA IKPP'!AG212</f>
        <v>1030802.5048860001</v>
      </c>
      <c r="BK26" s="138">
        <f>'TUNDA IKPP'!AH212</f>
        <v>407244.00924900005</v>
      </c>
      <c r="BL26" s="138">
        <f>'TUNDA IKPP'!AI212</f>
        <v>748707.69296400005</v>
      </c>
      <c r="BM26" s="138">
        <f>'TUNDA IKPP'!AJ212</f>
        <v>363617.75049600005</v>
      </c>
      <c r="BN26" s="138">
        <f>'TUNDA IKPP'!AK212</f>
        <v>1225937.6851260001</v>
      </c>
      <c r="BO26" s="138">
        <f>'TUNDA IKPP'!AL212</f>
        <v>327313.63734299998</v>
      </c>
      <c r="BP26" s="138">
        <f>'TUNDA IKPP'!AM212</f>
        <v>846275.283084</v>
      </c>
      <c r="BQ26" s="138">
        <f t="shared" si="40"/>
        <v>8590267.996464001</v>
      </c>
    </row>
    <row r="27" spans="5:69">
      <c r="E27" s="213"/>
      <c r="L27" s="146"/>
      <c r="S27" s="156"/>
      <c r="AN27" s="305"/>
      <c r="AO27" s="309" t="s">
        <v>127</v>
      </c>
      <c r="AP27" s="131" t="s">
        <v>146</v>
      </c>
      <c r="AQ27" s="136">
        <f>'TUNDA IKPP'!E213</f>
        <v>121.08250000000001</v>
      </c>
      <c r="AR27" s="136">
        <f>'TUNDA IKPP'!F213</f>
        <v>145.29900000000001</v>
      </c>
      <c r="AS27" s="136">
        <f>'TUNDA IKPP'!G213</f>
        <v>87.179400000000015</v>
      </c>
      <c r="AT27" s="136">
        <f>'TUNDA IKPP'!H213</f>
        <v>135.61240000000001</v>
      </c>
      <c r="AU27" s="136">
        <f>'TUNDA IKPP'!I213</f>
        <v>121.08250000000001</v>
      </c>
      <c r="AV27" s="136">
        <f>'TUNDA IKPP'!J213</f>
        <v>125.92580000000001</v>
      </c>
      <c r="AW27" s="136">
        <f>'TUNDA IKPP'!K213</f>
        <v>116.23920000000001</v>
      </c>
      <c r="AX27" s="136">
        <f>'TUNDA IKPP'!L213</f>
        <v>125.92580000000001</v>
      </c>
      <c r="AY27" s="136">
        <f>'TUNDA IKPP'!M213</f>
        <v>130.76910000000001</v>
      </c>
      <c r="AZ27" s="136">
        <f>'TUNDA IKPP'!N213</f>
        <v>145.29900000000001</v>
      </c>
      <c r="BA27" s="136">
        <f>'TUNDA IKPP'!O213</f>
        <v>130.76910000000001</v>
      </c>
      <c r="BB27" s="136">
        <f>'TUNDA IKPP'!P213</f>
        <v>111.39590000000001</v>
      </c>
      <c r="BC27" s="151">
        <f t="shared" si="38"/>
        <v>1496.5797</v>
      </c>
      <c r="BD27" s="150"/>
      <c r="BE27" s="136">
        <f>'TUNDA IKPP'!AB213</f>
        <v>109.832184</v>
      </c>
      <c r="BF27" s="136">
        <f>'TUNDA IKPP'!AC213</f>
        <v>118.984866</v>
      </c>
      <c r="BG27" s="136">
        <f>'TUNDA IKPP'!AD213</f>
        <v>141.86657100000002</v>
      </c>
      <c r="BH27" s="136">
        <f>'TUNDA IKPP'!AE213</f>
        <v>128.13754800000001</v>
      </c>
      <c r="BI27" s="136">
        <f>'TUNDA IKPP'!AF213</f>
        <v>132.71388899999999</v>
      </c>
      <c r="BJ27" s="136">
        <f>'TUNDA IKPP'!AG213</f>
        <v>118.98486600000001</v>
      </c>
      <c r="BK27" s="136">
        <f>'TUNDA IKPP'!AH213</f>
        <v>187.62998100000002</v>
      </c>
      <c r="BL27" s="136">
        <f>'TUNDA IKPP'!AI213</f>
        <v>210.511686</v>
      </c>
      <c r="BM27" s="136">
        <f>'TUNDA IKPP'!AJ213</f>
        <v>187.62998100000002</v>
      </c>
      <c r="BN27" s="136">
        <f>'TUNDA IKPP'!AK213</f>
        <v>205.93534500000001</v>
      </c>
      <c r="BO27" s="136">
        <f>'TUNDA IKPP'!AL213</f>
        <v>201.35900400000003</v>
      </c>
      <c r="BP27" s="136">
        <f>'TUNDA IKPP'!AM213</f>
        <v>178.47729900000002</v>
      </c>
      <c r="BQ27" s="136">
        <f t="shared" si="40"/>
        <v>1922.0632200000005</v>
      </c>
    </row>
    <row r="28" spans="5:69">
      <c r="E28" s="146">
        <f>S8*1.05</f>
        <v>2311092.6125000003</v>
      </c>
      <c r="L28" s="146"/>
      <c r="AN28" s="306"/>
      <c r="AO28" s="310"/>
      <c r="AP28" s="133" t="s">
        <v>147</v>
      </c>
      <c r="AQ28" s="138">
        <f>'TUNDA IKPP'!E214</f>
        <v>414416.96450000006</v>
      </c>
      <c r="AR28" s="138">
        <f>'TUNDA IKPP'!F214</f>
        <v>524335.65800000005</v>
      </c>
      <c r="AS28" s="138">
        <f>'TUNDA IKPP'!G214</f>
        <v>374929.53960000002</v>
      </c>
      <c r="AT28" s="138">
        <f>'TUNDA IKPP'!H214</f>
        <v>444456.07975999999</v>
      </c>
      <c r="AU28" s="138">
        <f>'TUNDA IKPP'!I214</f>
        <v>442608.36081000004</v>
      </c>
      <c r="AV28" s="138">
        <f>'TUNDA IKPP'!J214</f>
        <v>514644.21470000001</v>
      </c>
      <c r="AW28" s="138">
        <f>'TUNDA IKPP'!K214</f>
        <v>395237.98083000001</v>
      </c>
      <c r="AX28" s="138">
        <f>'TUNDA IKPP'!L214</f>
        <v>461257.72962500004</v>
      </c>
      <c r="AY28" s="138">
        <f>'TUNDA IKPP'!M214</f>
        <v>512924.8432</v>
      </c>
      <c r="AZ28" s="138">
        <f>'TUNDA IKPP'!N214</f>
        <v>475623.19958999997</v>
      </c>
      <c r="BA28" s="138">
        <f>'TUNDA IKPP'!O214</f>
        <v>491187.62847000005</v>
      </c>
      <c r="BB28" s="138">
        <f>'TUNDA IKPP'!P214</f>
        <v>435868.58597333333</v>
      </c>
      <c r="BC28" s="152">
        <f t="shared" si="38"/>
        <v>5487490.7850583335</v>
      </c>
      <c r="BD28" s="150"/>
      <c r="BE28" s="138">
        <f>'TUNDA IKPP'!AB214</f>
        <v>208932.84835500002</v>
      </c>
      <c r="BF28" s="138">
        <f>'TUNDA IKPP'!AC214</f>
        <v>315451.76147100003</v>
      </c>
      <c r="BG28" s="138">
        <f>'TUNDA IKPP'!AD214</f>
        <v>407303.501682</v>
      </c>
      <c r="BH28" s="138">
        <f>'TUNDA IKPP'!AE214</f>
        <v>263684.19207900006</v>
      </c>
      <c r="BI28" s="138">
        <f>'TUNDA IKPP'!AF214</f>
        <v>296839.78262399998</v>
      </c>
      <c r="BJ28" s="138">
        <f>'TUNDA IKPP'!AG214</f>
        <v>368615.11486800003</v>
      </c>
      <c r="BK28" s="138">
        <f>'TUNDA IKPP'!AH214</f>
        <v>440605.53513900004</v>
      </c>
      <c r="BL28" s="138">
        <f>'TUNDA IKPP'!AI214</f>
        <v>557032.22652000003</v>
      </c>
      <c r="BM28" s="138">
        <f>'TUNDA IKPP'!AJ214</f>
        <v>496825.88432400004</v>
      </c>
      <c r="BN28" s="138">
        <f>'TUNDA IKPP'!AK214</f>
        <v>482090.06630400004</v>
      </c>
      <c r="BO28" s="138">
        <f>'TUNDA IKPP'!AL214</f>
        <v>488963.73048600001</v>
      </c>
      <c r="BP28" s="138">
        <f>'TUNDA IKPP'!AM214</f>
        <v>474136.38564600004</v>
      </c>
      <c r="BQ28" s="138">
        <f t="shared" si="40"/>
        <v>4800481.0294980016</v>
      </c>
    </row>
    <row r="29" spans="5:69">
      <c r="L29" s="146">
        <f>L6*2.3</f>
        <v>2337541.1293650791</v>
      </c>
      <c r="AN29" s="304">
        <v>2</v>
      </c>
      <c r="AO29" s="307" t="s">
        <v>132</v>
      </c>
      <c r="AP29" s="131" t="s">
        <v>146</v>
      </c>
      <c r="AQ29" s="132" t="e">
        <f>AQ31+AQ33</f>
        <v>#REF!</v>
      </c>
      <c r="AR29" s="132" t="e">
        <f t="shared" ref="AR29:BB29" si="45">AR31+AR33</f>
        <v>#REF!</v>
      </c>
      <c r="AS29" s="132" t="e">
        <f t="shared" si="45"/>
        <v>#REF!</v>
      </c>
      <c r="AT29" s="132" t="e">
        <f t="shared" si="45"/>
        <v>#REF!</v>
      </c>
      <c r="AU29" s="132" t="e">
        <f t="shared" si="45"/>
        <v>#REF!</v>
      </c>
      <c r="AV29" s="132" t="e">
        <f t="shared" si="45"/>
        <v>#REF!</v>
      </c>
      <c r="AW29" s="132" t="e">
        <f t="shared" si="45"/>
        <v>#REF!</v>
      </c>
      <c r="AX29" s="132" t="e">
        <f t="shared" si="45"/>
        <v>#REF!</v>
      </c>
      <c r="AY29" s="132" t="e">
        <f t="shared" si="45"/>
        <v>#REF!</v>
      </c>
      <c r="AZ29" s="132" t="e">
        <f t="shared" si="45"/>
        <v>#REF!</v>
      </c>
      <c r="BA29" s="132" t="e">
        <f t="shared" si="45"/>
        <v>#REF!</v>
      </c>
      <c r="BB29" s="132" t="e">
        <f t="shared" si="45"/>
        <v>#REF!</v>
      </c>
      <c r="BC29" s="164" t="e">
        <f t="shared" si="38"/>
        <v>#REF!</v>
      </c>
      <c r="BD29" s="155"/>
      <c r="BE29" s="132" t="e">
        <f>BE31+BE33</f>
        <v>#REF!</v>
      </c>
      <c r="BF29" s="132" t="e">
        <f t="shared" ref="BF29:BP29" si="46">BF31+BF33</f>
        <v>#REF!</v>
      </c>
      <c r="BG29" s="132" t="e">
        <f t="shared" si="46"/>
        <v>#REF!</v>
      </c>
      <c r="BH29" s="132" t="e">
        <f t="shared" si="46"/>
        <v>#REF!</v>
      </c>
      <c r="BI29" s="132" t="e">
        <f t="shared" si="46"/>
        <v>#REF!</v>
      </c>
      <c r="BJ29" s="132" t="e">
        <f t="shared" si="46"/>
        <v>#REF!</v>
      </c>
      <c r="BK29" s="132" t="e">
        <f t="shared" si="46"/>
        <v>#REF!</v>
      </c>
      <c r="BL29" s="132" t="e">
        <f t="shared" si="46"/>
        <v>#REF!</v>
      </c>
      <c r="BM29" s="132" t="e">
        <f t="shared" si="46"/>
        <v>#REF!</v>
      </c>
      <c r="BN29" s="132" t="e">
        <f t="shared" si="46"/>
        <v>#REF!</v>
      </c>
      <c r="BO29" s="132" t="e">
        <f t="shared" si="46"/>
        <v>#REF!</v>
      </c>
      <c r="BP29" s="132" t="e">
        <f t="shared" si="46"/>
        <v>#REF!</v>
      </c>
      <c r="BQ29" s="132" t="e">
        <f t="shared" si="40"/>
        <v>#REF!</v>
      </c>
    </row>
    <row r="30" spans="5:69">
      <c r="L30" s="146"/>
      <c r="AN30" s="305"/>
      <c r="AO30" s="308"/>
      <c r="AP30" s="133" t="s">
        <v>147</v>
      </c>
      <c r="AQ30" s="134" t="e">
        <f>AQ32+AQ34</f>
        <v>#REF!</v>
      </c>
      <c r="AR30" s="134" t="e">
        <f t="shared" ref="AR30:BB30" si="47">AR32+AR34</f>
        <v>#REF!</v>
      </c>
      <c r="AS30" s="134" t="e">
        <f t="shared" si="47"/>
        <v>#REF!</v>
      </c>
      <c r="AT30" s="134" t="e">
        <f t="shared" si="47"/>
        <v>#REF!</v>
      </c>
      <c r="AU30" s="134" t="e">
        <f t="shared" si="47"/>
        <v>#REF!</v>
      </c>
      <c r="AV30" s="134" t="e">
        <f t="shared" si="47"/>
        <v>#REF!</v>
      </c>
      <c r="AW30" s="134" t="e">
        <f t="shared" si="47"/>
        <v>#REF!</v>
      </c>
      <c r="AX30" s="134" t="e">
        <f t="shared" si="47"/>
        <v>#REF!</v>
      </c>
      <c r="AY30" s="134" t="e">
        <f t="shared" si="47"/>
        <v>#REF!</v>
      </c>
      <c r="AZ30" s="134" t="e">
        <f t="shared" si="47"/>
        <v>#REF!</v>
      </c>
      <c r="BA30" s="134" t="e">
        <f t="shared" si="47"/>
        <v>#REF!</v>
      </c>
      <c r="BB30" s="134" t="e">
        <f t="shared" si="47"/>
        <v>#REF!</v>
      </c>
      <c r="BC30" s="165" t="e">
        <f t="shared" si="38"/>
        <v>#REF!</v>
      </c>
      <c r="BD30" s="155"/>
      <c r="BE30" s="134" t="e">
        <f>BE32+BE34</f>
        <v>#REF!</v>
      </c>
      <c r="BF30" s="134" t="e">
        <f t="shared" ref="BF30:BP30" si="48">BF32+BF34</f>
        <v>#REF!</v>
      </c>
      <c r="BG30" s="134" t="e">
        <f t="shared" si="48"/>
        <v>#REF!</v>
      </c>
      <c r="BH30" s="134" t="e">
        <f t="shared" si="48"/>
        <v>#REF!</v>
      </c>
      <c r="BI30" s="134" t="e">
        <f t="shared" si="48"/>
        <v>#REF!</v>
      </c>
      <c r="BJ30" s="134" t="e">
        <f t="shared" si="48"/>
        <v>#REF!</v>
      </c>
      <c r="BK30" s="134" t="e">
        <f t="shared" si="48"/>
        <v>#REF!</v>
      </c>
      <c r="BL30" s="134" t="e">
        <f t="shared" si="48"/>
        <v>#REF!</v>
      </c>
      <c r="BM30" s="134" t="e">
        <f t="shared" si="48"/>
        <v>#REF!</v>
      </c>
      <c r="BN30" s="134" t="e">
        <f t="shared" si="48"/>
        <v>#REF!</v>
      </c>
      <c r="BO30" s="134" t="e">
        <f t="shared" si="48"/>
        <v>#REF!</v>
      </c>
      <c r="BP30" s="134" t="e">
        <f t="shared" si="48"/>
        <v>#REF!</v>
      </c>
      <c r="BQ30" s="134" t="e">
        <f t="shared" si="40"/>
        <v>#REF!</v>
      </c>
    </row>
    <row r="31" spans="5:69">
      <c r="AN31" s="305"/>
      <c r="AO31" s="309" t="s">
        <v>126</v>
      </c>
      <c r="AP31" s="131" t="s">
        <v>146</v>
      </c>
      <c r="AQ31" s="136" t="e">
        <f>#REF!</f>
        <v>#REF!</v>
      </c>
      <c r="AR31" s="136" t="e">
        <f>#REF!</f>
        <v>#REF!</v>
      </c>
      <c r="AS31" s="136" t="e">
        <f>#REF!</f>
        <v>#REF!</v>
      </c>
      <c r="AT31" s="136" t="e">
        <f>#REF!</f>
        <v>#REF!</v>
      </c>
      <c r="AU31" s="136" t="e">
        <f>#REF!</f>
        <v>#REF!</v>
      </c>
      <c r="AV31" s="136" t="e">
        <f>#REF!</f>
        <v>#REF!</v>
      </c>
      <c r="AW31" s="136" t="e">
        <f>#REF!</f>
        <v>#REF!</v>
      </c>
      <c r="AX31" s="136" t="e">
        <f>#REF!</f>
        <v>#REF!</v>
      </c>
      <c r="AY31" s="136" t="e">
        <f>#REF!</f>
        <v>#REF!</v>
      </c>
      <c r="AZ31" s="136" t="e">
        <f>#REF!</f>
        <v>#REF!</v>
      </c>
      <c r="BA31" s="136" t="e">
        <f>#REF!</f>
        <v>#REF!</v>
      </c>
      <c r="BB31" s="136" t="e">
        <f>#REF!</f>
        <v>#REF!</v>
      </c>
      <c r="BC31" s="151" t="e">
        <f t="shared" si="38"/>
        <v>#REF!</v>
      </c>
      <c r="BD31" s="150"/>
      <c r="BE31" s="136" t="e">
        <f>#REF!</f>
        <v>#REF!</v>
      </c>
      <c r="BF31" s="136" t="e">
        <f>#REF!</f>
        <v>#REF!</v>
      </c>
      <c r="BG31" s="136" t="e">
        <f>#REF!</f>
        <v>#REF!</v>
      </c>
      <c r="BH31" s="136" t="e">
        <f>#REF!</f>
        <v>#REF!</v>
      </c>
      <c r="BI31" s="136" t="e">
        <f>#REF!</f>
        <v>#REF!</v>
      </c>
      <c r="BJ31" s="136" t="e">
        <f>#REF!</f>
        <v>#REF!</v>
      </c>
      <c r="BK31" s="136" t="e">
        <f>#REF!</f>
        <v>#REF!</v>
      </c>
      <c r="BL31" s="136" t="e">
        <f>#REF!</f>
        <v>#REF!</v>
      </c>
      <c r="BM31" s="136" t="e">
        <f>#REF!</f>
        <v>#REF!</v>
      </c>
      <c r="BN31" s="136" t="e">
        <f>#REF!</f>
        <v>#REF!</v>
      </c>
      <c r="BO31" s="136" t="e">
        <f>#REF!</f>
        <v>#REF!</v>
      </c>
      <c r="BP31" s="136" t="e">
        <f>#REF!</f>
        <v>#REF!</v>
      </c>
      <c r="BQ31" s="136" t="e">
        <f t="shared" si="40"/>
        <v>#REF!</v>
      </c>
    </row>
    <row r="32" spans="5:69">
      <c r="AN32" s="305"/>
      <c r="AO32" s="310"/>
      <c r="AP32" s="133" t="s">
        <v>147</v>
      </c>
      <c r="AQ32" s="138" t="e">
        <f>#REF!</f>
        <v>#REF!</v>
      </c>
      <c r="AR32" s="138" t="e">
        <f>#REF!</f>
        <v>#REF!</v>
      </c>
      <c r="AS32" s="138" t="e">
        <f>#REF!</f>
        <v>#REF!</v>
      </c>
      <c r="AT32" s="138" t="e">
        <f>#REF!</f>
        <v>#REF!</v>
      </c>
      <c r="AU32" s="138" t="e">
        <f>#REF!</f>
        <v>#REF!</v>
      </c>
      <c r="AV32" s="138" t="e">
        <f>#REF!</f>
        <v>#REF!</v>
      </c>
      <c r="AW32" s="138" t="e">
        <f>#REF!</f>
        <v>#REF!</v>
      </c>
      <c r="AX32" s="138" t="e">
        <f>#REF!</f>
        <v>#REF!</v>
      </c>
      <c r="AY32" s="138" t="e">
        <f>#REF!</f>
        <v>#REF!</v>
      </c>
      <c r="AZ32" s="138" t="e">
        <f>#REF!</f>
        <v>#REF!</v>
      </c>
      <c r="BA32" s="138" t="e">
        <f>#REF!</f>
        <v>#REF!</v>
      </c>
      <c r="BB32" s="138" t="e">
        <f>#REF!</f>
        <v>#REF!</v>
      </c>
      <c r="BC32" s="152" t="e">
        <f t="shared" si="38"/>
        <v>#REF!</v>
      </c>
      <c r="BD32" s="150"/>
      <c r="BE32" s="138" t="e">
        <f>#REF!</f>
        <v>#REF!</v>
      </c>
      <c r="BF32" s="138" t="e">
        <f>#REF!</f>
        <v>#REF!</v>
      </c>
      <c r="BG32" s="138" t="e">
        <f>#REF!</f>
        <v>#REF!</v>
      </c>
      <c r="BH32" s="138" t="e">
        <f>#REF!</f>
        <v>#REF!</v>
      </c>
      <c r="BI32" s="138" t="e">
        <f>#REF!</f>
        <v>#REF!</v>
      </c>
      <c r="BJ32" s="138" t="e">
        <f>#REF!</f>
        <v>#REF!</v>
      </c>
      <c r="BK32" s="138" t="e">
        <f>#REF!</f>
        <v>#REF!</v>
      </c>
      <c r="BL32" s="138" t="e">
        <f>#REF!</f>
        <v>#REF!</v>
      </c>
      <c r="BM32" s="138" t="e">
        <f>#REF!</f>
        <v>#REF!</v>
      </c>
      <c r="BN32" s="138" t="e">
        <f>#REF!</f>
        <v>#REF!</v>
      </c>
      <c r="BO32" s="138" t="e">
        <f>#REF!</f>
        <v>#REF!</v>
      </c>
      <c r="BP32" s="138" t="e">
        <f>#REF!</f>
        <v>#REF!</v>
      </c>
      <c r="BQ32" s="138" t="e">
        <f t="shared" si="40"/>
        <v>#REF!</v>
      </c>
    </row>
    <row r="33" spans="40:69">
      <c r="AN33" s="305"/>
      <c r="AO33" s="309" t="s">
        <v>127</v>
      </c>
      <c r="AP33" s="131" t="s">
        <v>146</v>
      </c>
      <c r="AQ33" s="136" t="e">
        <f>#REF!</f>
        <v>#REF!</v>
      </c>
      <c r="AR33" s="136" t="e">
        <f>#REF!</f>
        <v>#REF!</v>
      </c>
      <c r="AS33" s="136" t="e">
        <f>#REF!</f>
        <v>#REF!</v>
      </c>
      <c r="AT33" s="136" t="e">
        <f>#REF!</f>
        <v>#REF!</v>
      </c>
      <c r="AU33" s="136" t="e">
        <f>#REF!</f>
        <v>#REF!</v>
      </c>
      <c r="AV33" s="136" t="e">
        <f>#REF!</f>
        <v>#REF!</v>
      </c>
      <c r="AW33" s="136" t="e">
        <f>#REF!</f>
        <v>#REF!</v>
      </c>
      <c r="AX33" s="136" t="e">
        <f>#REF!</f>
        <v>#REF!</v>
      </c>
      <c r="AY33" s="136" t="e">
        <f>#REF!</f>
        <v>#REF!</v>
      </c>
      <c r="AZ33" s="136" t="e">
        <f>#REF!</f>
        <v>#REF!</v>
      </c>
      <c r="BA33" s="136" t="e">
        <f>#REF!</f>
        <v>#REF!</v>
      </c>
      <c r="BB33" s="136" t="e">
        <f>#REF!</f>
        <v>#REF!</v>
      </c>
      <c r="BC33" s="151" t="e">
        <f t="shared" si="38"/>
        <v>#REF!</v>
      </c>
      <c r="BD33" s="150"/>
      <c r="BE33" s="136" t="e">
        <f>#REF!</f>
        <v>#REF!</v>
      </c>
      <c r="BF33" s="136" t="e">
        <f>#REF!</f>
        <v>#REF!</v>
      </c>
      <c r="BG33" s="136" t="e">
        <f>#REF!</f>
        <v>#REF!</v>
      </c>
      <c r="BH33" s="136" t="e">
        <f>#REF!</f>
        <v>#REF!</v>
      </c>
      <c r="BI33" s="136" t="e">
        <f>#REF!</f>
        <v>#REF!</v>
      </c>
      <c r="BJ33" s="136" t="e">
        <f>#REF!</f>
        <v>#REF!</v>
      </c>
      <c r="BK33" s="136" t="e">
        <f>#REF!</f>
        <v>#REF!</v>
      </c>
      <c r="BL33" s="136" t="e">
        <f>#REF!</f>
        <v>#REF!</v>
      </c>
      <c r="BM33" s="136" t="e">
        <f>#REF!</f>
        <v>#REF!</v>
      </c>
      <c r="BN33" s="136" t="e">
        <f>#REF!</f>
        <v>#REF!</v>
      </c>
      <c r="BO33" s="136" t="e">
        <f>#REF!</f>
        <v>#REF!</v>
      </c>
      <c r="BP33" s="136" t="e">
        <f>#REF!</f>
        <v>#REF!</v>
      </c>
      <c r="BQ33" s="136" t="e">
        <f t="shared" si="40"/>
        <v>#REF!</v>
      </c>
    </row>
    <row r="34" spans="40:69">
      <c r="AN34" s="306"/>
      <c r="AO34" s="310"/>
      <c r="AP34" s="133" t="s">
        <v>147</v>
      </c>
      <c r="AQ34" s="138" t="e">
        <f>#REF!</f>
        <v>#REF!</v>
      </c>
      <c r="AR34" s="138" t="e">
        <f>#REF!</f>
        <v>#REF!</v>
      </c>
      <c r="AS34" s="138" t="e">
        <f>#REF!</f>
        <v>#REF!</v>
      </c>
      <c r="AT34" s="138" t="e">
        <f>#REF!</f>
        <v>#REF!</v>
      </c>
      <c r="AU34" s="138" t="e">
        <f>#REF!</f>
        <v>#REF!</v>
      </c>
      <c r="AV34" s="138" t="e">
        <f>#REF!</f>
        <v>#REF!</v>
      </c>
      <c r="AW34" s="138" t="e">
        <f>#REF!</f>
        <v>#REF!</v>
      </c>
      <c r="AX34" s="138" t="e">
        <f>#REF!</f>
        <v>#REF!</v>
      </c>
      <c r="AY34" s="138" t="e">
        <f>#REF!</f>
        <v>#REF!</v>
      </c>
      <c r="AZ34" s="138" t="e">
        <f>#REF!</f>
        <v>#REF!</v>
      </c>
      <c r="BA34" s="138" t="e">
        <f>#REF!</f>
        <v>#REF!</v>
      </c>
      <c r="BB34" s="138" t="e">
        <f>#REF!</f>
        <v>#REF!</v>
      </c>
      <c r="BC34" s="152" t="e">
        <f t="shared" si="38"/>
        <v>#REF!</v>
      </c>
      <c r="BD34" s="150"/>
      <c r="BE34" s="138" t="e">
        <f>#REF!</f>
        <v>#REF!</v>
      </c>
      <c r="BF34" s="138" t="e">
        <f>#REF!</f>
        <v>#REF!</v>
      </c>
      <c r="BG34" s="138" t="e">
        <f>#REF!</f>
        <v>#REF!</v>
      </c>
      <c r="BH34" s="138" t="e">
        <f>#REF!</f>
        <v>#REF!</v>
      </c>
      <c r="BI34" s="138" t="e">
        <f>#REF!</f>
        <v>#REF!</v>
      </c>
      <c r="BJ34" s="138" t="e">
        <f>#REF!</f>
        <v>#REF!</v>
      </c>
      <c r="BK34" s="138" t="e">
        <f>#REF!</f>
        <v>#REF!</v>
      </c>
      <c r="BL34" s="138" t="e">
        <f>#REF!</f>
        <v>#REF!</v>
      </c>
      <c r="BM34" s="138" t="e">
        <f>#REF!</f>
        <v>#REF!</v>
      </c>
      <c r="BN34" s="138" t="e">
        <f>#REF!</f>
        <v>#REF!</v>
      </c>
      <c r="BO34" s="138" t="e">
        <f>#REF!</f>
        <v>#REF!</v>
      </c>
      <c r="BP34" s="138" t="e">
        <f>#REF!</f>
        <v>#REF!</v>
      </c>
      <c r="BQ34" s="138" t="e">
        <f t="shared" si="40"/>
        <v>#REF!</v>
      </c>
    </row>
    <row r="35" spans="40:69">
      <c r="AN35" s="301" t="s">
        <v>130</v>
      </c>
      <c r="AO35" s="301"/>
      <c r="AP35" s="139" t="s">
        <v>105</v>
      </c>
      <c r="AQ35" s="140" t="e">
        <f t="shared" ref="AQ35:BC35" si="49">AQ23+AQ29</f>
        <v>#REF!</v>
      </c>
      <c r="AR35" s="140" t="e">
        <f t="shared" si="49"/>
        <v>#REF!</v>
      </c>
      <c r="AS35" s="140" t="e">
        <f t="shared" si="49"/>
        <v>#REF!</v>
      </c>
      <c r="AT35" s="140" t="e">
        <f t="shared" si="49"/>
        <v>#REF!</v>
      </c>
      <c r="AU35" s="140" t="e">
        <f t="shared" si="49"/>
        <v>#REF!</v>
      </c>
      <c r="AV35" s="140" t="e">
        <f t="shared" si="49"/>
        <v>#REF!</v>
      </c>
      <c r="AW35" s="140" t="e">
        <f t="shared" si="49"/>
        <v>#REF!</v>
      </c>
      <c r="AX35" s="140" t="e">
        <f t="shared" si="49"/>
        <v>#REF!</v>
      </c>
      <c r="AY35" s="140" t="e">
        <f t="shared" si="49"/>
        <v>#REF!</v>
      </c>
      <c r="AZ35" s="140" t="e">
        <f t="shared" si="49"/>
        <v>#REF!</v>
      </c>
      <c r="BA35" s="140" t="e">
        <f t="shared" si="49"/>
        <v>#REF!</v>
      </c>
      <c r="BB35" s="140" t="e">
        <f t="shared" si="49"/>
        <v>#REF!</v>
      </c>
      <c r="BC35" s="140" t="e">
        <f t="shared" si="49"/>
        <v>#REF!</v>
      </c>
      <c r="BD35" s="155"/>
      <c r="BE35" s="140" t="e">
        <f t="shared" ref="BE35:BQ35" si="50">BE23+BE29</f>
        <v>#REF!</v>
      </c>
      <c r="BF35" s="140" t="e">
        <f t="shared" si="50"/>
        <v>#REF!</v>
      </c>
      <c r="BG35" s="140" t="e">
        <f t="shared" si="50"/>
        <v>#REF!</v>
      </c>
      <c r="BH35" s="140" t="e">
        <f t="shared" si="50"/>
        <v>#REF!</v>
      </c>
      <c r="BI35" s="140" t="e">
        <f t="shared" si="50"/>
        <v>#REF!</v>
      </c>
      <c r="BJ35" s="140" t="e">
        <f t="shared" si="50"/>
        <v>#REF!</v>
      </c>
      <c r="BK35" s="140" t="e">
        <f t="shared" si="50"/>
        <v>#REF!</v>
      </c>
      <c r="BL35" s="140" t="e">
        <f t="shared" si="50"/>
        <v>#REF!</v>
      </c>
      <c r="BM35" s="140" t="e">
        <f t="shared" si="50"/>
        <v>#REF!</v>
      </c>
      <c r="BN35" s="140" t="e">
        <f t="shared" si="50"/>
        <v>#REF!</v>
      </c>
      <c r="BO35" s="140" t="e">
        <f t="shared" si="50"/>
        <v>#REF!</v>
      </c>
      <c r="BP35" s="140" t="e">
        <f t="shared" si="50"/>
        <v>#REF!</v>
      </c>
      <c r="BQ35" s="140" t="e">
        <f t="shared" si="50"/>
        <v>#REF!</v>
      </c>
    </row>
    <row r="36" spans="40:69">
      <c r="AN36" s="302"/>
      <c r="AO36" s="302"/>
      <c r="AP36" s="141" t="s">
        <v>64</v>
      </c>
      <c r="AQ36" s="142" t="e">
        <f t="shared" ref="AQ36:BB36" si="51">AQ24+AQ30</f>
        <v>#REF!</v>
      </c>
      <c r="AR36" s="142" t="e">
        <f t="shared" si="51"/>
        <v>#REF!</v>
      </c>
      <c r="AS36" s="142" t="e">
        <f t="shared" si="51"/>
        <v>#REF!</v>
      </c>
      <c r="AT36" s="142" t="e">
        <f t="shared" si="51"/>
        <v>#REF!</v>
      </c>
      <c r="AU36" s="142" t="e">
        <f t="shared" si="51"/>
        <v>#REF!</v>
      </c>
      <c r="AV36" s="142" t="e">
        <f t="shared" si="51"/>
        <v>#REF!</v>
      </c>
      <c r="AW36" s="142" t="e">
        <f t="shared" si="51"/>
        <v>#REF!</v>
      </c>
      <c r="AX36" s="142" t="e">
        <f t="shared" si="51"/>
        <v>#REF!</v>
      </c>
      <c r="AY36" s="142" t="e">
        <f t="shared" si="51"/>
        <v>#REF!</v>
      </c>
      <c r="AZ36" s="142" t="e">
        <f t="shared" si="51"/>
        <v>#REF!</v>
      </c>
      <c r="BA36" s="142" t="e">
        <f t="shared" si="51"/>
        <v>#REF!</v>
      </c>
      <c r="BB36" s="142" t="e">
        <f t="shared" si="51"/>
        <v>#REF!</v>
      </c>
      <c r="BC36" s="142" t="e">
        <f>BC24+BC30</f>
        <v>#REF!</v>
      </c>
      <c r="BD36" s="155"/>
      <c r="BE36" s="142" t="e">
        <f t="shared" ref="BE36:BQ36" si="52">BE24+BE30</f>
        <v>#REF!</v>
      </c>
      <c r="BF36" s="142" t="e">
        <f t="shared" si="52"/>
        <v>#REF!</v>
      </c>
      <c r="BG36" s="142" t="e">
        <f t="shared" si="52"/>
        <v>#REF!</v>
      </c>
      <c r="BH36" s="142" t="e">
        <f t="shared" si="52"/>
        <v>#REF!</v>
      </c>
      <c r="BI36" s="142" t="e">
        <f t="shared" si="52"/>
        <v>#REF!</v>
      </c>
      <c r="BJ36" s="142" t="e">
        <f t="shared" si="52"/>
        <v>#REF!</v>
      </c>
      <c r="BK36" s="142" t="e">
        <f t="shared" si="52"/>
        <v>#REF!</v>
      </c>
      <c r="BL36" s="142" t="e">
        <f t="shared" si="52"/>
        <v>#REF!</v>
      </c>
      <c r="BM36" s="142" t="e">
        <f t="shared" si="52"/>
        <v>#REF!</v>
      </c>
      <c r="BN36" s="142" t="e">
        <f t="shared" si="52"/>
        <v>#REF!</v>
      </c>
      <c r="BO36" s="142" t="e">
        <f t="shared" si="52"/>
        <v>#REF!</v>
      </c>
      <c r="BP36" s="142" t="e">
        <f t="shared" si="52"/>
        <v>#REF!</v>
      </c>
      <c r="BQ36" s="142" t="e">
        <f t="shared" si="52"/>
        <v>#REF!</v>
      </c>
    </row>
  </sheetData>
  <mergeCells count="37">
    <mergeCell ref="AN35:AO36"/>
    <mergeCell ref="AN23:AN28"/>
    <mergeCell ref="AO23:AO24"/>
    <mergeCell ref="AO25:AO26"/>
    <mergeCell ref="AO27:AO28"/>
    <mergeCell ref="AN29:AN34"/>
    <mergeCell ref="AO29:AO30"/>
    <mergeCell ref="AO31:AO32"/>
    <mergeCell ref="AO33:AO34"/>
    <mergeCell ref="AN15:AO16"/>
    <mergeCell ref="AN3:AN8"/>
    <mergeCell ref="AO3:AO4"/>
    <mergeCell ref="AO5:AO6"/>
    <mergeCell ref="AO7:AO8"/>
    <mergeCell ref="AN9:AN14"/>
    <mergeCell ref="AO9:AO10"/>
    <mergeCell ref="AO11:AO12"/>
    <mergeCell ref="AO13:AO14"/>
    <mergeCell ref="A15:B16"/>
    <mergeCell ref="A3:A8"/>
    <mergeCell ref="A9:A14"/>
    <mergeCell ref="B9:B10"/>
    <mergeCell ref="V1:AH1"/>
    <mergeCell ref="B3:B4"/>
    <mergeCell ref="F1:R1"/>
    <mergeCell ref="B5:B6"/>
    <mergeCell ref="B7:B8"/>
    <mergeCell ref="B11:B12"/>
    <mergeCell ref="B13:B14"/>
    <mergeCell ref="BT15:BU16"/>
    <mergeCell ref="BT4:BT5"/>
    <mergeCell ref="BT6:BT7"/>
    <mergeCell ref="BT8:BV8"/>
    <mergeCell ref="BT9:BT14"/>
    <mergeCell ref="BU9:BU10"/>
    <mergeCell ref="BU11:BU12"/>
    <mergeCell ref="BU13:BU14"/>
  </mergeCells>
  <pageMargins left="0.51181102362204722" right="0.31496062992125984" top="0.55118110236220474" bottom="0.55118110236220474" header="0.31496062992125984" footer="0.31496062992125984"/>
  <pageSetup paperSize="9" scale="93" orientation="landscape" r:id="rId1"/>
  <customProperties>
    <customPr name="FPMExcelClientCellBasedFunctionStatus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BI35"/>
  <sheetViews>
    <sheetView showGridLines="0" zoomScale="90" zoomScaleNormal="90" zoomScaleSheetLayoutView="90" workbookViewId="0">
      <selection activeCell="AI3" sqref="AI3"/>
    </sheetView>
  </sheetViews>
  <sheetFormatPr defaultColWidth="9.109375" defaultRowHeight="13.2" outlineLevelCol="1"/>
  <cols>
    <col min="1" max="1" width="6.6640625" style="125" customWidth="1"/>
    <col min="2" max="2" width="20.5546875" style="126" bestFit="1" customWidth="1"/>
    <col min="3" max="3" width="9.6640625" style="128" bestFit="1" customWidth="1"/>
    <col min="4" max="8" width="13.44140625" style="128" customWidth="1" outlineLevel="1"/>
    <col min="9" max="9" width="13.44140625" style="128" customWidth="1"/>
    <col min="10" max="16" width="13.44140625" style="128" customWidth="1" outlineLevel="1"/>
    <col min="17" max="17" width="13.44140625" style="128" customWidth="1"/>
    <col min="18" max="29" width="13.44140625" style="128" hidden="1" customWidth="1" outlineLevel="1"/>
    <col min="30" max="30" width="13.44140625" style="128" customWidth="1" collapsed="1"/>
    <col min="31" max="31" width="9.109375" style="128"/>
    <col min="32" max="34" width="9.109375" style="128" customWidth="1"/>
    <col min="35" max="39" width="9.109375" style="128" customWidth="1" outlineLevel="1"/>
    <col min="40" max="40" width="11.33203125" style="128" customWidth="1"/>
    <col min="41" max="47" width="10.109375" style="128" customWidth="1" outlineLevel="1"/>
    <col min="48" max="48" width="11.33203125" style="128" customWidth="1"/>
    <col min="49" max="60" width="10.109375" style="128" customWidth="1" outlineLevel="1"/>
    <col min="61" max="61" width="11.33203125" style="128" customWidth="1" collapsed="1"/>
    <col min="62" max="16384" width="9.109375" style="128"/>
  </cols>
  <sheetData>
    <row r="1" spans="1:61">
      <c r="A1" s="126" t="s">
        <v>98</v>
      </c>
      <c r="C1" s="127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127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</row>
    <row r="2" spans="1:61" ht="26.4">
      <c r="A2" s="143" t="s">
        <v>128</v>
      </c>
      <c r="B2" s="143" t="s">
        <v>129</v>
      </c>
      <c r="C2" s="144" t="s">
        <v>26</v>
      </c>
      <c r="D2" s="129">
        <v>45292</v>
      </c>
      <c r="E2" s="129">
        <v>45323</v>
      </c>
      <c r="F2" s="129">
        <v>45352</v>
      </c>
      <c r="G2" s="129">
        <v>45383</v>
      </c>
      <c r="H2" s="129">
        <v>45413</v>
      </c>
      <c r="I2" s="145" t="s">
        <v>133</v>
      </c>
      <c r="J2" s="129">
        <v>45444</v>
      </c>
      <c r="K2" s="129">
        <v>45474</v>
      </c>
      <c r="L2" s="129">
        <v>45505</v>
      </c>
      <c r="M2" s="129">
        <v>45536</v>
      </c>
      <c r="N2" s="129">
        <v>45566</v>
      </c>
      <c r="O2" s="129">
        <v>45597</v>
      </c>
      <c r="P2" s="129">
        <v>45627</v>
      </c>
      <c r="Q2" s="130" t="s">
        <v>122</v>
      </c>
      <c r="R2" s="129">
        <v>45658</v>
      </c>
      <c r="S2" s="129">
        <v>45689</v>
      </c>
      <c r="T2" s="129">
        <v>45717</v>
      </c>
      <c r="U2" s="129">
        <v>45748</v>
      </c>
      <c r="V2" s="129">
        <v>45778</v>
      </c>
      <c r="W2" s="129">
        <v>45809</v>
      </c>
      <c r="X2" s="129">
        <v>45839</v>
      </c>
      <c r="Y2" s="129">
        <v>45870</v>
      </c>
      <c r="Z2" s="129">
        <v>45901</v>
      </c>
      <c r="AA2" s="129">
        <v>45931</v>
      </c>
      <c r="AB2" s="129">
        <v>45962</v>
      </c>
      <c r="AC2" s="129">
        <v>45992</v>
      </c>
      <c r="AD2" s="130" t="s">
        <v>106</v>
      </c>
      <c r="AF2" s="143" t="s">
        <v>128</v>
      </c>
      <c r="AG2" s="143" t="s">
        <v>129</v>
      </c>
      <c r="AH2" s="144" t="s">
        <v>26</v>
      </c>
      <c r="AI2" s="129">
        <v>45292</v>
      </c>
      <c r="AJ2" s="129">
        <v>45323</v>
      </c>
      <c r="AK2" s="129">
        <v>45352</v>
      </c>
      <c r="AL2" s="129">
        <v>45383</v>
      </c>
      <c r="AM2" s="129">
        <v>45413</v>
      </c>
      <c r="AN2" s="145" t="s">
        <v>133</v>
      </c>
      <c r="AO2" s="129">
        <v>45444</v>
      </c>
      <c r="AP2" s="129">
        <v>45474</v>
      </c>
      <c r="AQ2" s="129">
        <v>45505</v>
      </c>
      <c r="AR2" s="129">
        <v>45536</v>
      </c>
      <c r="AS2" s="129">
        <v>45566</v>
      </c>
      <c r="AT2" s="129">
        <v>45597</v>
      </c>
      <c r="AU2" s="129">
        <v>45627</v>
      </c>
      <c r="AV2" s="130" t="s">
        <v>122</v>
      </c>
      <c r="AW2" s="129">
        <v>45658</v>
      </c>
      <c r="AX2" s="129">
        <v>45689</v>
      </c>
      <c r="AY2" s="129">
        <v>45717</v>
      </c>
      <c r="AZ2" s="129">
        <v>45748</v>
      </c>
      <c r="BA2" s="129">
        <v>45778</v>
      </c>
      <c r="BB2" s="129">
        <v>45809</v>
      </c>
      <c r="BC2" s="129">
        <v>45839</v>
      </c>
      <c r="BD2" s="129">
        <v>45870</v>
      </c>
      <c r="BE2" s="129">
        <v>45901</v>
      </c>
      <c r="BF2" s="129">
        <v>45931</v>
      </c>
      <c r="BG2" s="129">
        <v>45962</v>
      </c>
      <c r="BH2" s="129">
        <v>45992</v>
      </c>
      <c r="BI2" s="130" t="s">
        <v>106</v>
      </c>
    </row>
    <row r="3" spans="1:61">
      <c r="A3" s="304">
        <v>1</v>
      </c>
      <c r="B3" s="312" t="s">
        <v>131</v>
      </c>
      <c r="C3" s="131" t="s">
        <v>105</v>
      </c>
      <c r="D3" s="132">
        <f>D5+D7</f>
        <v>144</v>
      </c>
      <c r="E3" s="132">
        <f t="shared" ref="E3:P4" si="0">E5+E7</f>
        <v>112</v>
      </c>
      <c r="F3" s="132">
        <f t="shared" si="0"/>
        <v>126</v>
      </c>
      <c r="G3" s="132">
        <f t="shared" si="0"/>
        <v>360</v>
      </c>
      <c r="H3" s="132">
        <f t="shared" si="0"/>
        <v>126</v>
      </c>
      <c r="I3" s="132">
        <f>SUM(D3:H3)</f>
        <v>868</v>
      </c>
      <c r="J3" s="132">
        <f t="shared" si="0"/>
        <v>90.272048629125607</v>
      </c>
      <c r="K3" s="132">
        <f t="shared" si="0"/>
        <v>171.08046511216361</v>
      </c>
      <c r="L3" s="132">
        <f t="shared" si="0"/>
        <v>207.34201803312186</v>
      </c>
      <c r="M3" s="132">
        <f t="shared" si="0"/>
        <v>186.19840539336448</v>
      </c>
      <c r="N3" s="132">
        <f t="shared" si="0"/>
        <v>172.34013628758521</v>
      </c>
      <c r="O3" s="132">
        <f t="shared" si="0"/>
        <v>205.28077465231252</v>
      </c>
      <c r="P3" s="132">
        <f t="shared" si="0"/>
        <v>170.77462118879674</v>
      </c>
      <c r="Q3" s="132">
        <f t="shared" ref="Q3:Q16" si="1">SUM(I3:P3)</f>
        <v>2071.2884692964699</v>
      </c>
      <c r="R3" s="132">
        <f>R5+R7</f>
        <v>76</v>
      </c>
      <c r="S3" s="132">
        <f t="shared" ref="S3:AC4" si="2">S5+S7</f>
        <v>74</v>
      </c>
      <c r="T3" s="132">
        <f t="shared" si="2"/>
        <v>354</v>
      </c>
      <c r="U3" s="132">
        <f t="shared" si="2"/>
        <v>72</v>
      </c>
      <c r="V3" s="132">
        <f t="shared" si="2"/>
        <v>72</v>
      </c>
      <c r="W3" s="132">
        <f t="shared" si="2"/>
        <v>66</v>
      </c>
      <c r="X3" s="132">
        <f t="shared" si="2"/>
        <v>104</v>
      </c>
      <c r="Y3" s="132">
        <f t="shared" si="2"/>
        <v>120</v>
      </c>
      <c r="Z3" s="132">
        <f t="shared" si="2"/>
        <v>104</v>
      </c>
      <c r="AA3" s="132">
        <f t="shared" si="2"/>
        <v>114</v>
      </c>
      <c r="AB3" s="132">
        <f t="shared" si="2"/>
        <v>104</v>
      </c>
      <c r="AC3" s="132">
        <f t="shared" si="2"/>
        <v>100</v>
      </c>
      <c r="AD3" s="132">
        <f>SUM(R3:AC3)</f>
        <v>1360</v>
      </c>
      <c r="AF3" s="304">
        <v>1</v>
      </c>
      <c r="AG3" s="312" t="s">
        <v>131</v>
      </c>
      <c r="AH3" s="131" t="s">
        <v>105</v>
      </c>
      <c r="AI3" s="132">
        <v>72</v>
      </c>
      <c r="AJ3" s="132">
        <v>58</v>
      </c>
      <c r="AK3" s="132">
        <v>63</v>
      </c>
      <c r="AL3" s="132">
        <v>182</v>
      </c>
      <c r="AM3" s="132">
        <v>63</v>
      </c>
      <c r="AN3" s="132">
        <v>438</v>
      </c>
      <c r="AO3" s="132">
        <v>45.136024314562803</v>
      </c>
      <c r="AP3" s="132">
        <v>85.540232556081804</v>
      </c>
      <c r="AQ3" s="132">
        <v>103.67100901656093</v>
      </c>
      <c r="AR3" s="132">
        <v>93.099202696682241</v>
      </c>
      <c r="AS3" s="132">
        <v>86.170068143792605</v>
      </c>
      <c r="AT3" s="132">
        <v>102.64038732615626</v>
      </c>
      <c r="AU3" s="132">
        <v>85.387310594398372</v>
      </c>
      <c r="AV3" s="132">
        <v>1039.6442346482349</v>
      </c>
      <c r="AW3" s="132">
        <v>73.44</v>
      </c>
      <c r="AX3" s="132">
        <v>57.120000000000005</v>
      </c>
      <c r="AY3" s="132">
        <v>64.259999999999991</v>
      </c>
      <c r="AZ3" s="132">
        <v>183.6</v>
      </c>
      <c r="BA3" s="132">
        <v>64.259999999999991</v>
      </c>
      <c r="BB3" s="132">
        <v>46.038744800854062</v>
      </c>
      <c r="BC3" s="132">
        <v>87.251037207203439</v>
      </c>
      <c r="BD3" s="132">
        <v>105.74442919689214</v>
      </c>
      <c r="BE3" s="132">
        <v>94.961186750615894</v>
      </c>
      <c r="BF3" s="132">
        <v>87.893469506668453</v>
      </c>
      <c r="BG3" s="132">
        <v>104.69319507267939</v>
      </c>
      <c r="BH3" s="132">
        <v>87.095056806286351</v>
      </c>
      <c r="BI3" s="132">
        <v>1056.3571193411997</v>
      </c>
    </row>
    <row r="4" spans="1:61">
      <c r="A4" s="305"/>
      <c r="B4" s="312"/>
      <c r="C4" s="133" t="s">
        <v>64</v>
      </c>
      <c r="D4" s="134">
        <f>D6+D8</f>
        <v>930284</v>
      </c>
      <c r="E4" s="134">
        <f t="shared" si="0"/>
        <v>861602</v>
      </c>
      <c r="F4" s="134">
        <f t="shared" si="0"/>
        <v>1053226</v>
      </c>
      <c r="G4" s="134">
        <f t="shared" si="0"/>
        <v>2764490</v>
      </c>
      <c r="H4" s="134">
        <f t="shared" si="0"/>
        <v>909596</v>
      </c>
      <c r="I4" s="134">
        <f t="shared" ref="I4:I14" si="3">SUM(D4:H4)</f>
        <v>6519198</v>
      </c>
      <c r="J4" s="134">
        <f t="shared" si="0"/>
        <v>297965.53810810519</v>
      </c>
      <c r="K4" s="134">
        <f t="shared" si="0"/>
        <v>801075.41066716437</v>
      </c>
      <c r="L4" s="134">
        <f t="shared" si="0"/>
        <v>983732.1672374456</v>
      </c>
      <c r="M4" s="134">
        <f t="shared" si="0"/>
        <v>867671.25492009358</v>
      </c>
      <c r="N4" s="134">
        <f t="shared" si="0"/>
        <v>884537.11840521358</v>
      </c>
      <c r="O4" s="134">
        <f t="shared" si="0"/>
        <v>947673.30232575117</v>
      </c>
      <c r="P4" s="134">
        <f t="shared" si="0"/>
        <v>763956.90113762161</v>
      </c>
      <c r="Q4" s="134">
        <f t="shared" si="1"/>
        <v>12065809.692801395</v>
      </c>
      <c r="R4" s="155">
        <f>R6+R8</f>
        <v>456520</v>
      </c>
      <c r="S4" s="155">
        <f t="shared" si="2"/>
        <v>328122</v>
      </c>
      <c r="T4" s="155">
        <f t="shared" si="2"/>
        <v>2786392.4615384615</v>
      </c>
      <c r="U4" s="155">
        <f t="shared" si="2"/>
        <v>636574</v>
      </c>
      <c r="V4" s="155">
        <f t="shared" si="2"/>
        <v>253710</v>
      </c>
      <c r="W4" s="155">
        <f t="shared" si="2"/>
        <v>611588</v>
      </c>
      <c r="X4" s="155">
        <f t="shared" si="2"/>
        <v>370536</v>
      </c>
      <c r="Y4" s="155">
        <f t="shared" si="2"/>
        <v>570648</v>
      </c>
      <c r="Z4" s="155">
        <f t="shared" si="2"/>
        <v>376040</v>
      </c>
      <c r="AA4" s="155">
        <f t="shared" si="2"/>
        <v>746460</v>
      </c>
      <c r="AB4" s="155">
        <f t="shared" si="2"/>
        <v>356738</v>
      </c>
      <c r="AC4" s="155">
        <f t="shared" si="2"/>
        <v>577060</v>
      </c>
      <c r="AD4" s="134">
        <f>SUM(R4:AC4)</f>
        <v>8070388.461538462</v>
      </c>
      <c r="AF4" s="305"/>
      <c r="AG4" s="312"/>
      <c r="AH4" s="133" t="s">
        <v>64</v>
      </c>
      <c r="AI4" s="134">
        <v>465142</v>
      </c>
      <c r="AJ4" s="134">
        <v>434175</v>
      </c>
      <c r="AK4" s="134">
        <v>526613</v>
      </c>
      <c r="AL4" s="134">
        <v>1383182</v>
      </c>
      <c r="AM4" s="134">
        <v>454798</v>
      </c>
      <c r="AN4" s="134">
        <v>3263910</v>
      </c>
      <c r="AO4" s="134">
        <v>148982.76905405259</v>
      </c>
      <c r="AP4" s="134">
        <v>400537.70533358218</v>
      </c>
      <c r="AQ4" s="134">
        <v>491866.0836187228</v>
      </c>
      <c r="AR4" s="134">
        <v>433835.62746004679</v>
      </c>
      <c r="AS4" s="134">
        <v>442268.55920260679</v>
      </c>
      <c r="AT4" s="134">
        <v>473836.65116287558</v>
      </c>
      <c r="AU4" s="134">
        <v>381978.4505688108</v>
      </c>
      <c r="AV4" s="134">
        <v>6037215.8464006977</v>
      </c>
      <c r="AW4" s="134">
        <v>474444.84</v>
      </c>
      <c r="AX4" s="134">
        <v>439417.02</v>
      </c>
      <c r="AY4" s="134">
        <v>537145.26</v>
      </c>
      <c r="AZ4" s="134">
        <v>1409889.9000000001</v>
      </c>
      <c r="BA4" s="134">
        <v>463893.96</v>
      </c>
      <c r="BB4" s="134">
        <v>151962.42443513364</v>
      </c>
      <c r="BC4" s="134">
        <v>408548.45944025379</v>
      </c>
      <c r="BD4" s="134">
        <v>501703.40529109724</v>
      </c>
      <c r="BE4" s="134">
        <v>442512.34000924777</v>
      </c>
      <c r="BF4" s="134">
        <v>451113.93038665893</v>
      </c>
      <c r="BG4" s="134">
        <v>483313.38418613304</v>
      </c>
      <c r="BH4" s="134">
        <v>389618.01958018693</v>
      </c>
      <c r="BI4" s="134">
        <v>6153562.9433287112</v>
      </c>
    </row>
    <row r="5" spans="1:61">
      <c r="A5" s="305"/>
      <c r="B5" s="309" t="s">
        <v>126</v>
      </c>
      <c r="C5" s="135" t="s">
        <v>105</v>
      </c>
      <c r="D5" s="136">
        <v>32</v>
      </c>
      <c r="E5" s="136">
        <v>30</v>
      </c>
      <c r="F5" s="136">
        <v>32</v>
      </c>
      <c r="G5" s="136">
        <v>16</v>
      </c>
      <c r="H5" s="136">
        <v>28</v>
      </c>
      <c r="I5" s="136">
        <f t="shared" si="3"/>
        <v>138</v>
      </c>
      <c r="J5" s="136">
        <v>11.236279164712924</v>
      </c>
      <c r="K5" s="136">
        <v>38.38333382429353</v>
      </c>
      <c r="L5" s="136">
        <v>42.247730677371997</v>
      </c>
      <c r="M5" s="136">
        <v>39.056492153079546</v>
      </c>
      <c r="N5" s="136">
        <v>39.450553953550056</v>
      </c>
      <c r="O5" s="136">
        <v>40.078305188011242</v>
      </c>
      <c r="P5" s="136">
        <v>32.970545421642107</v>
      </c>
      <c r="Q5" s="151">
        <f>SUM(I5:P5)</f>
        <v>381.42324038266139</v>
      </c>
      <c r="R5" s="136">
        <f>'PANDU IKPP'!W95</f>
        <v>28</v>
      </c>
      <c r="S5" s="136">
        <f>'PANDU IKPP'!X95</f>
        <v>22</v>
      </c>
      <c r="T5" s="136">
        <f>'PANDU IKPP'!Y95</f>
        <v>12</v>
      </c>
      <c r="U5" s="136">
        <f>'PANDU IKPP'!Z95</f>
        <v>16</v>
      </c>
      <c r="V5" s="136">
        <f>'PANDU IKPP'!AA95</f>
        <v>14</v>
      </c>
      <c r="W5" s="136">
        <f>'PANDU IKPP'!AB95</f>
        <v>14</v>
      </c>
      <c r="X5" s="136">
        <f>'PANDU IKPP'!AC95</f>
        <v>22</v>
      </c>
      <c r="Y5" s="136">
        <f>'PANDU IKPP'!AD95</f>
        <v>28</v>
      </c>
      <c r="Z5" s="136">
        <f>'PANDU IKPP'!AE95</f>
        <v>22</v>
      </c>
      <c r="AA5" s="136">
        <f>'PANDU IKPP'!AF95</f>
        <v>24</v>
      </c>
      <c r="AB5" s="136">
        <f>'PANDU IKPP'!AG95</f>
        <v>16</v>
      </c>
      <c r="AC5" s="136">
        <f>'PANDU IKPP'!AH95</f>
        <v>22</v>
      </c>
      <c r="AD5" s="153">
        <f>SUM(R5:AC5)</f>
        <v>240</v>
      </c>
      <c r="AF5" s="305"/>
      <c r="AG5" s="309" t="s">
        <v>126</v>
      </c>
      <c r="AH5" s="135" t="s">
        <v>105</v>
      </c>
      <c r="AI5" s="136">
        <v>16</v>
      </c>
      <c r="AJ5" s="136">
        <v>17</v>
      </c>
      <c r="AK5" s="136">
        <v>16</v>
      </c>
      <c r="AL5" s="136">
        <v>10</v>
      </c>
      <c r="AM5" s="136">
        <v>14</v>
      </c>
      <c r="AN5" s="136">
        <v>73</v>
      </c>
      <c r="AO5" s="136">
        <v>5.6181395823564619</v>
      </c>
      <c r="AP5" s="136">
        <v>19.191666912146765</v>
      </c>
      <c r="AQ5" s="136">
        <v>21.123865338685999</v>
      </c>
      <c r="AR5" s="136">
        <v>19.528246076539773</v>
      </c>
      <c r="AS5" s="136">
        <v>19.725276976775028</v>
      </c>
      <c r="AT5" s="136">
        <v>20.039152594005621</v>
      </c>
      <c r="AU5" s="136">
        <v>16.485272710821054</v>
      </c>
      <c r="AV5" s="136">
        <v>194.7116201913307</v>
      </c>
      <c r="AW5" s="136">
        <v>16.32</v>
      </c>
      <c r="AX5" s="136">
        <v>15.3</v>
      </c>
      <c r="AY5" s="136">
        <v>16.32</v>
      </c>
      <c r="AZ5" s="136">
        <v>8.16</v>
      </c>
      <c r="BA5" s="136">
        <v>14.280000000000001</v>
      </c>
      <c r="BB5" s="136">
        <v>5.7305023740035912</v>
      </c>
      <c r="BC5" s="136">
        <v>19.575500250389702</v>
      </c>
      <c r="BD5" s="136">
        <v>21.546342645459717</v>
      </c>
      <c r="BE5" s="136">
        <v>19.918810998070569</v>
      </c>
      <c r="BF5" s="136">
        <v>20.119782516310526</v>
      </c>
      <c r="BG5" s="136">
        <v>20.439935645885736</v>
      </c>
      <c r="BH5" s="136">
        <v>16.814978165037473</v>
      </c>
      <c r="BI5" s="136">
        <v>194.52585259515729</v>
      </c>
    </row>
    <row r="6" spans="1:61">
      <c r="A6" s="305"/>
      <c r="B6" s="310"/>
      <c r="C6" s="137" t="s">
        <v>64</v>
      </c>
      <c r="D6" s="138">
        <v>621990</v>
      </c>
      <c r="E6" s="138">
        <v>659680</v>
      </c>
      <c r="F6" s="138">
        <v>878958</v>
      </c>
      <c r="G6" s="138">
        <v>248600</v>
      </c>
      <c r="H6" s="138">
        <v>669776</v>
      </c>
      <c r="I6" s="138">
        <f t="shared" si="3"/>
        <v>3079004</v>
      </c>
      <c r="J6" s="138">
        <v>166638.19883952971</v>
      </c>
      <c r="K6" s="138">
        <v>558411.67393595271</v>
      </c>
      <c r="L6" s="138">
        <v>689394.71211784985</v>
      </c>
      <c r="M6" s="138">
        <v>584049.09006873437</v>
      </c>
      <c r="N6" s="138">
        <v>637165.72230382729</v>
      </c>
      <c r="O6" s="138">
        <v>654026.10809031478</v>
      </c>
      <c r="P6" s="138">
        <v>532706.0665988226</v>
      </c>
      <c r="Q6" s="152">
        <f t="shared" si="1"/>
        <v>6901395.5719550317</v>
      </c>
      <c r="R6" s="138">
        <f>'PANDU IKPP'!W96</f>
        <v>365210</v>
      </c>
      <c r="S6" s="138">
        <f>'PANDU IKPP'!X96</f>
        <v>190260</v>
      </c>
      <c r="T6" s="138">
        <f>'PANDU IKPP'!Y96</f>
        <v>390164</v>
      </c>
      <c r="U6" s="138">
        <f>'PANDU IKPP'!Z96</f>
        <v>521336</v>
      </c>
      <c r="V6" s="138">
        <f>'PANDU IKPP'!AA96</f>
        <v>123982</v>
      </c>
      <c r="W6" s="138">
        <f>'PANDU IKPP'!AB96</f>
        <v>450492</v>
      </c>
      <c r="X6" s="138">
        <f>'PANDU IKPP'!AC96</f>
        <v>177978</v>
      </c>
      <c r="Y6" s="138">
        <f>'PANDU IKPP'!AD96</f>
        <v>327208</v>
      </c>
      <c r="Z6" s="138">
        <f>'PANDU IKPP'!AE96</f>
        <v>158912</v>
      </c>
      <c r="AA6" s="138">
        <f>'PANDU IKPP'!AF96</f>
        <v>535772</v>
      </c>
      <c r="AB6" s="138">
        <f>'PANDU IKPP'!AG96</f>
        <v>143046</v>
      </c>
      <c r="AC6" s="138">
        <f>'PANDU IKPP'!AH96</f>
        <v>369848</v>
      </c>
      <c r="AD6" s="154">
        <f t="shared" ref="AD6:AD14" si="4">SUM(R6:AC6)</f>
        <v>3754208</v>
      </c>
      <c r="AF6" s="305"/>
      <c r="AG6" s="310"/>
      <c r="AH6" s="137" t="s">
        <v>64</v>
      </c>
      <c r="AI6" s="138">
        <v>310995</v>
      </c>
      <c r="AJ6" s="138">
        <v>333214</v>
      </c>
      <c r="AK6" s="138">
        <v>439479</v>
      </c>
      <c r="AL6" s="138">
        <v>125237</v>
      </c>
      <c r="AM6" s="138">
        <v>334888</v>
      </c>
      <c r="AN6" s="138">
        <v>1543813</v>
      </c>
      <c r="AO6" s="138">
        <v>83319.099419764854</v>
      </c>
      <c r="AP6" s="138">
        <v>279205.83696797636</v>
      </c>
      <c r="AQ6" s="138">
        <v>344697.35605892492</v>
      </c>
      <c r="AR6" s="138">
        <v>292024.54503436718</v>
      </c>
      <c r="AS6" s="138">
        <v>318582.86115191365</v>
      </c>
      <c r="AT6" s="138">
        <v>327013.05404515739</v>
      </c>
      <c r="AU6" s="138">
        <v>266353.0332994113</v>
      </c>
      <c r="AV6" s="138">
        <v>3455008.7859775159</v>
      </c>
      <c r="AW6" s="138">
        <v>317214.90000000002</v>
      </c>
      <c r="AX6" s="138">
        <v>336436.80000000005</v>
      </c>
      <c r="AY6" s="138">
        <v>448268.57999999996</v>
      </c>
      <c r="AZ6" s="138">
        <v>126786</v>
      </c>
      <c r="BA6" s="138">
        <v>341585.76</v>
      </c>
      <c r="BB6" s="138">
        <v>84985.481408160151</v>
      </c>
      <c r="BC6" s="138">
        <v>284789.95370733587</v>
      </c>
      <c r="BD6" s="138">
        <v>351591.30318010342</v>
      </c>
      <c r="BE6" s="138">
        <v>297865.03593505453</v>
      </c>
      <c r="BF6" s="138">
        <v>324954.51837495191</v>
      </c>
      <c r="BG6" s="138">
        <v>333553.31512606051</v>
      </c>
      <c r="BH6" s="138">
        <v>271680.09396539949</v>
      </c>
      <c r="BI6" s="138">
        <v>3519711.7416970665</v>
      </c>
    </row>
    <row r="7" spans="1:61">
      <c r="A7" s="305"/>
      <c r="B7" s="309" t="s">
        <v>127</v>
      </c>
      <c r="C7" s="135" t="s">
        <v>105</v>
      </c>
      <c r="D7" s="136">
        <v>112</v>
      </c>
      <c r="E7" s="136">
        <v>82</v>
      </c>
      <c r="F7" s="136">
        <v>94</v>
      </c>
      <c r="G7" s="136">
        <v>344</v>
      </c>
      <c r="H7" s="136">
        <v>98</v>
      </c>
      <c r="I7" s="136">
        <f t="shared" si="3"/>
        <v>730</v>
      </c>
      <c r="J7" s="136">
        <v>79.035769464412681</v>
      </c>
      <c r="K7" s="136">
        <v>132.69713128787006</v>
      </c>
      <c r="L7" s="136">
        <v>165.09428735574986</v>
      </c>
      <c r="M7" s="136">
        <v>147.14191324028494</v>
      </c>
      <c r="N7" s="136">
        <v>132.88958233403514</v>
      </c>
      <c r="O7" s="136">
        <v>165.20246946430129</v>
      </c>
      <c r="P7" s="136">
        <v>137.80407576715464</v>
      </c>
      <c r="Q7" s="151">
        <f t="shared" si="1"/>
        <v>1689.8652289138086</v>
      </c>
      <c r="R7" s="150">
        <f>'PANDU IKPP'!W97</f>
        <v>48</v>
      </c>
      <c r="S7" s="150">
        <f>'PANDU IKPP'!X97</f>
        <v>52</v>
      </c>
      <c r="T7" s="150">
        <f>'PANDU IKPP'!Y97</f>
        <v>342</v>
      </c>
      <c r="U7" s="150">
        <f>'PANDU IKPP'!Z97</f>
        <v>56</v>
      </c>
      <c r="V7" s="150">
        <f>'PANDU IKPP'!AA97</f>
        <v>58</v>
      </c>
      <c r="W7" s="150">
        <f>'PANDU IKPP'!AB97</f>
        <v>52</v>
      </c>
      <c r="X7" s="150">
        <f>'PANDU IKPP'!AC97</f>
        <v>82</v>
      </c>
      <c r="Y7" s="150">
        <f>'PANDU IKPP'!AD97</f>
        <v>92</v>
      </c>
      <c r="Z7" s="150">
        <f>'PANDU IKPP'!AE97</f>
        <v>82</v>
      </c>
      <c r="AA7" s="150">
        <f>'PANDU IKPP'!AF97</f>
        <v>90</v>
      </c>
      <c r="AB7" s="150">
        <f>'PANDU IKPP'!AG97</f>
        <v>88</v>
      </c>
      <c r="AC7" s="150">
        <f>'PANDU IKPP'!AH97</f>
        <v>78</v>
      </c>
      <c r="AD7" s="153">
        <f t="shared" si="4"/>
        <v>1120</v>
      </c>
      <c r="AF7" s="305"/>
      <c r="AG7" s="309" t="s">
        <v>127</v>
      </c>
      <c r="AH7" s="135" t="s">
        <v>105</v>
      </c>
      <c r="AI7" s="136">
        <v>56</v>
      </c>
      <c r="AJ7" s="136">
        <v>41</v>
      </c>
      <c r="AK7" s="136">
        <v>47</v>
      </c>
      <c r="AL7" s="136">
        <v>172</v>
      </c>
      <c r="AM7" s="136">
        <v>49</v>
      </c>
      <c r="AN7" s="136">
        <v>365</v>
      </c>
      <c r="AO7" s="136">
        <v>39.51788473220634</v>
      </c>
      <c r="AP7" s="136">
        <v>66.348565643935032</v>
      </c>
      <c r="AQ7" s="136">
        <v>82.547143677874928</v>
      </c>
      <c r="AR7" s="136">
        <v>73.570956620142468</v>
      </c>
      <c r="AS7" s="136">
        <v>66.44479116701757</v>
      </c>
      <c r="AT7" s="136">
        <v>82.601234732150644</v>
      </c>
      <c r="AU7" s="136">
        <v>68.902037883577322</v>
      </c>
      <c r="AV7" s="136">
        <v>844.93261445690428</v>
      </c>
      <c r="AW7" s="136">
        <v>57.12</v>
      </c>
      <c r="AX7" s="136">
        <v>41.82</v>
      </c>
      <c r="AY7" s="136">
        <v>47.94</v>
      </c>
      <c r="AZ7" s="136">
        <v>175.44</v>
      </c>
      <c r="BA7" s="136">
        <v>49.98</v>
      </c>
      <c r="BB7" s="136">
        <v>40.30824242685047</v>
      </c>
      <c r="BC7" s="136">
        <v>67.67553695681373</v>
      </c>
      <c r="BD7" s="136">
        <v>84.198086551432425</v>
      </c>
      <c r="BE7" s="136">
        <v>75.042375752545325</v>
      </c>
      <c r="BF7" s="136">
        <v>67.77368699035793</v>
      </c>
      <c r="BG7" s="136">
        <v>84.253259426793647</v>
      </c>
      <c r="BH7" s="136">
        <v>70.280078641248878</v>
      </c>
      <c r="BI7" s="136">
        <v>861.83126674604262</v>
      </c>
    </row>
    <row r="8" spans="1:61">
      <c r="A8" s="306"/>
      <c r="B8" s="310"/>
      <c r="C8" s="137" t="s">
        <v>64</v>
      </c>
      <c r="D8" s="138">
        <v>308294</v>
      </c>
      <c r="E8" s="138">
        <v>201922</v>
      </c>
      <c r="F8" s="138">
        <v>174268</v>
      </c>
      <c r="G8" s="138">
        <v>2515890</v>
      </c>
      <c r="H8" s="138">
        <v>239820</v>
      </c>
      <c r="I8" s="138">
        <f t="shared" si="3"/>
        <v>3440194</v>
      </c>
      <c r="J8" s="138">
        <v>131327.33926857545</v>
      </c>
      <c r="K8" s="138">
        <v>242663.73673121168</v>
      </c>
      <c r="L8" s="138">
        <v>294337.45511959575</v>
      </c>
      <c r="M8" s="138">
        <v>283622.16485135927</v>
      </c>
      <c r="N8" s="138">
        <v>247371.39610138632</v>
      </c>
      <c r="O8" s="138">
        <v>293647.19423543633</v>
      </c>
      <c r="P8" s="138">
        <v>231250.83453879895</v>
      </c>
      <c r="Q8" s="152">
        <f t="shared" si="1"/>
        <v>5164414.1208463637</v>
      </c>
      <c r="R8" s="138">
        <f>'PANDU IKPP'!W98</f>
        <v>91310</v>
      </c>
      <c r="S8" s="138">
        <f>'PANDU IKPP'!X98</f>
        <v>137862</v>
      </c>
      <c r="T8" s="138">
        <f>'PANDU IKPP'!Y98</f>
        <v>2396228.4615384615</v>
      </c>
      <c r="U8" s="138">
        <f>'PANDU IKPP'!Z98</f>
        <v>115238</v>
      </c>
      <c r="V8" s="138">
        <f>'PANDU IKPP'!AA98</f>
        <v>129728</v>
      </c>
      <c r="W8" s="138">
        <f>'PANDU IKPP'!AB98</f>
        <v>161096</v>
      </c>
      <c r="X8" s="138">
        <f>'PANDU IKPP'!AC98</f>
        <v>192558</v>
      </c>
      <c r="Y8" s="138">
        <f>'PANDU IKPP'!AD98</f>
        <v>243440</v>
      </c>
      <c r="Z8" s="138">
        <f>'PANDU IKPP'!AE98</f>
        <v>217128</v>
      </c>
      <c r="AA8" s="138">
        <f>'PANDU IKPP'!AF98</f>
        <v>210688</v>
      </c>
      <c r="AB8" s="138">
        <f>'PANDU IKPP'!AG98</f>
        <v>213692</v>
      </c>
      <c r="AC8" s="138">
        <f>'PANDU IKPP'!AH98</f>
        <v>207212</v>
      </c>
      <c r="AD8" s="154">
        <f t="shared" si="4"/>
        <v>4316180.461538462</v>
      </c>
      <c r="AF8" s="306"/>
      <c r="AG8" s="310"/>
      <c r="AH8" s="137" t="s">
        <v>64</v>
      </c>
      <c r="AI8" s="138">
        <v>154147</v>
      </c>
      <c r="AJ8" s="138">
        <v>100961</v>
      </c>
      <c r="AK8" s="138">
        <v>87134</v>
      </c>
      <c r="AL8" s="138">
        <v>1257945</v>
      </c>
      <c r="AM8" s="138">
        <v>119910</v>
      </c>
      <c r="AN8" s="138">
        <v>1720097</v>
      </c>
      <c r="AO8" s="138">
        <v>65663.669634287726</v>
      </c>
      <c r="AP8" s="138">
        <v>121331.86836560584</v>
      </c>
      <c r="AQ8" s="138">
        <v>147168.72755979787</v>
      </c>
      <c r="AR8" s="138">
        <v>141811.08242567963</v>
      </c>
      <c r="AS8" s="138">
        <v>123685.69805069316</v>
      </c>
      <c r="AT8" s="138">
        <v>146823.59711771816</v>
      </c>
      <c r="AU8" s="138">
        <v>115625.41726939948</v>
      </c>
      <c r="AV8" s="138">
        <v>2582207.0604231819</v>
      </c>
      <c r="AW8" s="138">
        <v>157229.94</v>
      </c>
      <c r="AX8" s="138">
        <v>102980.22</v>
      </c>
      <c r="AY8" s="138">
        <v>88876.680000000008</v>
      </c>
      <c r="AZ8" s="138">
        <v>1283103.9000000001</v>
      </c>
      <c r="BA8" s="138">
        <v>122308.2</v>
      </c>
      <c r="BB8" s="138">
        <v>66976.943026973488</v>
      </c>
      <c r="BC8" s="138">
        <v>123758.50573291793</v>
      </c>
      <c r="BD8" s="138">
        <v>150112.10211099384</v>
      </c>
      <c r="BE8" s="138">
        <v>144647.30407419323</v>
      </c>
      <c r="BF8" s="138">
        <v>126159.41201170703</v>
      </c>
      <c r="BG8" s="138">
        <v>149760.06906007256</v>
      </c>
      <c r="BH8" s="138">
        <v>117937.92561478745</v>
      </c>
      <c r="BI8" s="138">
        <v>2633851.2016316457</v>
      </c>
    </row>
    <row r="9" spans="1:61">
      <c r="A9" s="304">
        <v>2</v>
      </c>
      <c r="B9" s="307" t="s">
        <v>132</v>
      </c>
      <c r="C9" s="135" t="s">
        <v>105</v>
      </c>
      <c r="D9" s="132">
        <f>D11+D13</f>
        <v>584</v>
      </c>
      <c r="E9" s="132">
        <f t="shared" ref="E9:P10" si="5">E11+E13</f>
        <v>500</v>
      </c>
      <c r="F9" s="132">
        <f t="shared" si="5"/>
        <v>554</v>
      </c>
      <c r="G9" s="132">
        <f t="shared" si="5"/>
        <v>516</v>
      </c>
      <c r="H9" s="132">
        <f t="shared" si="5"/>
        <v>528</v>
      </c>
      <c r="I9" s="132">
        <f t="shared" si="3"/>
        <v>2682</v>
      </c>
      <c r="J9" s="132">
        <f t="shared" si="5"/>
        <v>510</v>
      </c>
      <c r="K9" s="132">
        <f t="shared" si="5"/>
        <v>546</v>
      </c>
      <c r="L9" s="132">
        <f t="shared" si="5"/>
        <v>682</v>
      </c>
      <c r="M9" s="132">
        <f t="shared" si="5"/>
        <v>734</v>
      </c>
      <c r="N9" s="132">
        <f t="shared" si="5"/>
        <v>702</v>
      </c>
      <c r="O9" s="132">
        <f t="shared" si="5"/>
        <v>692</v>
      </c>
      <c r="P9" s="132">
        <f t="shared" si="5"/>
        <v>736</v>
      </c>
      <c r="Q9" s="132">
        <f t="shared" si="1"/>
        <v>7284</v>
      </c>
      <c r="R9" s="155" t="e">
        <f>R11+R13</f>
        <v>#REF!</v>
      </c>
      <c r="S9" s="155" t="e">
        <f t="shared" ref="S9:AC10" si="6">S11+S13</f>
        <v>#REF!</v>
      </c>
      <c r="T9" s="155" t="e">
        <f t="shared" si="6"/>
        <v>#REF!</v>
      </c>
      <c r="U9" s="155" t="e">
        <f t="shared" si="6"/>
        <v>#REF!</v>
      </c>
      <c r="V9" s="155" t="e">
        <f t="shared" si="6"/>
        <v>#REF!</v>
      </c>
      <c r="W9" s="155" t="e">
        <f t="shared" si="6"/>
        <v>#REF!</v>
      </c>
      <c r="X9" s="155" t="e">
        <f t="shared" si="6"/>
        <v>#REF!</v>
      </c>
      <c r="Y9" s="155" t="e">
        <f t="shared" si="6"/>
        <v>#REF!</v>
      </c>
      <c r="Z9" s="155" t="e">
        <f t="shared" si="6"/>
        <v>#REF!</v>
      </c>
      <c r="AA9" s="155" t="e">
        <f t="shared" si="6"/>
        <v>#REF!</v>
      </c>
      <c r="AB9" s="155" t="e">
        <f t="shared" si="6"/>
        <v>#REF!</v>
      </c>
      <c r="AC9" s="155" t="e">
        <f t="shared" si="6"/>
        <v>#REF!</v>
      </c>
      <c r="AD9" s="132" t="e">
        <f t="shared" si="4"/>
        <v>#REF!</v>
      </c>
      <c r="AF9" s="304">
        <v>2</v>
      </c>
      <c r="AG9" s="307" t="s">
        <v>132</v>
      </c>
      <c r="AH9" s="135" t="s">
        <v>105</v>
      </c>
      <c r="AI9" s="132">
        <v>292</v>
      </c>
      <c r="AJ9" s="132">
        <v>250</v>
      </c>
      <c r="AK9" s="132">
        <v>277</v>
      </c>
      <c r="AL9" s="132">
        <v>258</v>
      </c>
      <c r="AM9" s="132">
        <v>264</v>
      </c>
      <c r="AN9" s="132">
        <v>1341</v>
      </c>
      <c r="AO9" s="132">
        <v>255</v>
      </c>
      <c r="AP9" s="132">
        <v>252</v>
      </c>
      <c r="AQ9" s="132">
        <v>323.17494068993238</v>
      </c>
      <c r="AR9" s="132">
        <v>349.02572069627854</v>
      </c>
      <c r="AS9" s="132">
        <v>332.80450864113817</v>
      </c>
      <c r="AT9" s="132">
        <v>328.37651340478965</v>
      </c>
      <c r="AU9" s="132">
        <v>340.25557581126338</v>
      </c>
      <c r="AV9" s="132">
        <v>3521.6372592434022</v>
      </c>
      <c r="AW9" s="132">
        <v>340.75999999999993</v>
      </c>
      <c r="AX9" s="132">
        <v>297.5</v>
      </c>
      <c r="AY9" s="132">
        <v>325.31</v>
      </c>
      <c r="AZ9" s="132">
        <v>305.74</v>
      </c>
      <c r="BA9" s="132">
        <v>311.92</v>
      </c>
      <c r="BB9" s="132">
        <v>302.64999999999998</v>
      </c>
      <c r="BC9" s="132">
        <v>299.56</v>
      </c>
      <c r="BD9" s="132">
        <v>372.87018891063036</v>
      </c>
      <c r="BE9" s="132">
        <v>399.49649231716688</v>
      </c>
      <c r="BF9" s="132">
        <v>382.78864390037228</v>
      </c>
      <c r="BG9" s="132">
        <v>378.2278088069333</v>
      </c>
      <c r="BH9" s="132">
        <v>390.46324308560122</v>
      </c>
      <c r="BI9" s="132">
        <v>4107.2863770207041</v>
      </c>
    </row>
    <row r="10" spans="1:61">
      <c r="A10" s="305"/>
      <c r="B10" s="308"/>
      <c r="C10" s="137" t="s">
        <v>64</v>
      </c>
      <c r="D10" s="134">
        <f>D12+D14</f>
        <v>5436210</v>
      </c>
      <c r="E10" s="134">
        <f t="shared" si="5"/>
        <v>5151824</v>
      </c>
      <c r="F10" s="134">
        <f t="shared" si="5"/>
        <v>7183242</v>
      </c>
      <c r="G10" s="134">
        <f t="shared" si="5"/>
        <v>5487022</v>
      </c>
      <c r="H10" s="134">
        <f t="shared" si="5"/>
        <v>5263868</v>
      </c>
      <c r="I10" s="134">
        <f t="shared" si="3"/>
        <v>28522166</v>
      </c>
      <c r="J10" s="134">
        <f t="shared" si="5"/>
        <v>3491642.9077510322</v>
      </c>
      <c r="K10" s="134">
        <f t="shared" si="5"/>
        <v>2680531.8435116988</v>
      </c>
      <c r="L10" s="134">
        <f t="shared" si="5"/>
        <v>2246908.6800733833</v>
      </c>
      <c r="M10" s="134">
        <f t="shared" si="5"/>
        <v>2671101.6012540706</v>
      </c>
      <c r="N10" s="134">
        <f t="shared" si="5"/>
        <v>2521303.3857122068</v>
      </c>
      <c r="O10" s="134">
        <f t="shared" si="5"/>
        <v>2623993.758930956</v>
      </c>
      <c r="P10" s="134">
        <f t="shared" si="5"/>
        <v>2587389.5184918367</v>
      </c>
      <c r="Q10" s="134">
        <f t="shared" si="1"/>
        <v>47345037.69572518</v>
      </c>
      <c r="R10" s="134" t="e">
        <f>R12+R14</f>
        <v>#REF!</v>
      </c>
      <c r="S10" s="134" t="e">
        <f t="shared" si="6"/>
        <v>#REF!</v>
      </c>
      <c r="T10" s="134" t="e">
        <f t="shared" si="6"/>
        <v>#REF!</v>
      </c>
      <c r="U10" s="134" t="e">
        <f t="shared" si="6"/>
        <v>#REF!</v>
      </c>
      <c r="V10" s="134" t="e">
        <f t="shared" si="6"/>
        <v>#REF!</v>
      </c>
      <c r="W10" s="134" t="e">
        <f t="shared" si="6"/>
        <v>#REF!</v>
      </c>
      <c r="X10" s="134" t="e">
        <f t="shared" si="6"/>
        <v>#REF!</v>
      </c>
      <c r="Y10" s="134" t="e">
        <f t="shared" si="6"/>
        <v>#REF!</v>
      </c>
      <c r="Z10" s="134" t="e">
        <f t="shared" si="6"/>
        <v>#REF!</v>
      </c>
      <c r="AA10" s="134" t="e">
        <f t="shared" si="6"/>
        <v>#REF!</v>
      </c>
      <c r="AB10" s="134" t="e">
        <f t="shared" si="6"/>
        <v>#REF!</v>
      </c>
      <c r="AC10" s="134" t="e">
        <f t="shared" si="6"/>
        <v>#REF!</v>
      </c>
      <c r="AD10" s="134" t="e">
        <f t="shared" si="4"/>
        <v>#REF!</v>
      </c>
      <c r="AF10" s="305"/>
      <c r="AG10" s="308"/>
      <c r="AH10" s="137" t="s">
        <v>64</v>
      </c>
      <c r="AI10" s="134">
        <v>2718105</v>
      </c>
      <c r="AJ10" s="134">
        <v>2575912</v>
      </c>
      <c r="AK10" s="134">
        <v>3591621</v>
      </c>
      <c r="AL10" s="134">
        <v>2743511</v>
      </c>
      <c r="AM10" s="134">
        <v>2631934</v>
      </c>
      <c r="AN10" s="134">
        <v>14261083</v>
      </c>
      <c r="AO10" s="134">
        <v>2594157</v>
      </c>
      <c r="AP10" s="134">
        <v>2512076</v>
      </c>
      <c r="AQ10" s="134">
        <v>2332269.0370813049</v>
      </c>
      <c r="AR10" s="134">
        <v>2541234.5742530357</v>
      </c>
      <c r="AS10" s="134">
        <v>2290931.0689002373</v>
      </c>
      <c r="AT10" s="134">
        <v>2431265.3278055703</v>
      </c>
      <c r="AU10" s="134">
        <v>2445923.5732512027</v>
      </c>
      <c r="AV10" s="134">
        <v>31408939.581291351</v>
      </c>
      <c r="AW10" s="134">
        <v>3044657.1833333336</v>
      </c>
      <c r="AX10" s="134">
        <v>2898198.3933333335</v>
      </c>
      <c r="AY10" s="134">
        <v>3932533.1606933335</v>
      </c>
      <c r="AZ10" s="134">
        <v>3070825.3633333333</v>
      </c>
      <c r="BA10" s="134">
        <v>2955901.0533333337</v>
      </c>
      <c r="BB10" s="134">
        <v>2981634.5475858133</v>
      </c>
      <c r="BC10" s="134">
        <v>2497316.9424224459</v>
      </c>
      <c r="BD10" s="134">
        <v>2647246.1415270772</v>
      </c>
      <c r="BE10" s="134">
        <v>2862480.6448139595</v>
      </c>
      <c r="BF10" s="134">
        <v>2604668.0343005774</v>
      </c>
      <c r="BG10" s="134">
        <v>2749212.3209730708</v>
      </c>
      <c r="BH10" s="134">
        <v>2764310.3137820722</v>
      </c>
      <c r="BI10" s="134">
        <v>35008984.099431679</v>
      </c>
    </row>
    <row r="11" spans="1:61">
      <c r="A11" s="305"/>
      <c r="B11" s="309" t="s">
        <v>126</v>
      </c>
      <c r="C11" s="135" t="s">
        <v>105</v>
      </c>
      <c r="D11" s="136">
        <v>106</v>
      </c>
      <c r="E11" s="136">
        <v>92</v>
      </c>
      <c r="F11" s="136">
        <v>126</v>
      </c>
      <c r="G11" s="136">
        <v>82</v>
      </c>
      <c r="H11" s="136">
        <v>80</v>
      </c>
      <c r="I11" s="136">
        <f t="shared" si="3"/>
        <v>486</v>
      </c>
      <c r="J11" s="136">
        <v>84</v>
      </c>
      <c r="K11" s="136">
        <v>98</v>
      </c>
      <c r="L11" s="136">
        <v>118</v>
      </c>
      <c r="M11" s="136">
        <v>112</v>
      </c>
      <c r="N11" s="136">
        <v>120</v>
      </c>
      <c r="O11" s="136">
        <v>106</v>
      </c>
      <c r="P11" s="136">
        <v>128</v>
      </c>
      <c r="Q11" s="136">
        <f t="shared" si="1"/>
        <v>1252</v>
      </c>
      <c r="R11" s="136" t="e">
        <f>#REF!</f>
        <v>#REF!</v>
      </c>
      <c r="S11" s="136" t="e">
        <f>#REF!</f>
        <v>#REF!</v>
      </c>
      <c r="T11" s="136" t="e">
        <f>#REF!</f>
        <v>#REF!</v>
      </c>
      <c r="U11" s="136" t="e">
        <f>#REF!</f>
        <v>#REF!</v>
      </c>
      <c r="V11" s="136" t="e">
        <f>#REF!</f>
        <v>#REF!</v>
      </c>
      <c r="W11" s="136" t="e">
        <f>#REF!</f>
        <v>#REF!</v>
      </c>
      <c r="X11" s="136" t="e">
        <f>#REF!</f>
        <v>#REF!</v>
      </c>
      <c r="Y11" s="136" t="e">
        <f>#REF!</f>
        <v>#REF!</v>
      </c>
      <c r="Z11" s="136" t="e">
        <f>#REF!</f>
        <v>#REF!</v>
      </c>
      <c r="AA11" s="136" t="e">
        <f>#REF!</f>
        <v>#REF!</v>
      </c>
      <c r="AB11" s="136" t="e">
        <f>#REF!</f>
        <v>#REF!</v>
      </c>
      <c r="AC11" s="136" t="e">
        <f>#REF!</f>
        <v>#REF!</v>
      </c>
      <c r="AD11" s="136" t="e">
        <f t="shared" si="4"/>
        <v>#REF!</v>
      </c>
      <c r="AF11" s="305"/>
      <c r="AG11" s="309" t="s">
        <v>126</v>
      </c>
      <c r="AH11" s="135" t="s">
        <v>105</v>
      </c>
      <c r="AI11" s="136">
        <v>53</v>
      </c>
      <c r="AJ11" s="136">
        <v>46</v>
      </c>
      <c r="AK11" s="136">
        <v>63</v>
      </c>
      <c r="AL11" s="136">
        <v>41</v>
      </c>
      <c r="AM11" s="136">
        <v>40</v>
      </c>
      <c r="AN11" s="136">
        <v>243</v>
      </c>
      <c r="AO11" s="136">
        <v>42</v>
      </c>
      <c r="AP11" s="136">
        <v>48</v>
      </c>
      <c r="AQ11" s="136">
        <v>58.286965031931985</v>
      </c>
      <c r="AR11" s="136">
        <v>59.604584203043338</v>
      </c>
      <c r="AS11" s="136">
        <v>59.082527378664722</v>
      </c>
      <c r="AT11" s="136">
        <v>55.547405402174036</v>
      </c>
      <c r="AU11" s="136">
        <v>57.423255494534146</v>
      </c>
      <c r="AV11" s="136">
        <v>622.9447375103482</v>
      </c>
      <c r="AW11" s="136">
        <v>54.589999999999996</v>
      </c>
      <c r="AX11" s="136">
        <v>47.38</v>
      </c>
      <c r="AY11" s="136">
        <v>64.89</v>
      </c>
      <c r="AZ11" s="136">
        <v>42.230000000000004</v>
      </c>
      <c r="BA11" s="136">
        <v>41.2</v>
      </c>
      <c r="BB11" s="136">
        <v>43.260000000000005</v>
      </c>
      <c r="BC11" s="136">
        <v>49.44</v>
      </c>
      <c r="BD11" s="136">
        <v>60.03557398288995</v>
      </c>
      <c r="BE11" s="136">
        <v>61.392721729134635</v>
      </c>
      <c r="BF11" s="136">
        <v>60.855003200024662</v>
      </c>
      <c r="BG11" s="136">
        <v>57.213827564239253</v>
      </c>
      <c r="BH11" s="136">
        <v>59.145953159370166</v>
      </c>
      <c r="BI11" s="136">
        <v>641.63307963565865</v>
      </c>
    </row>
    <row r="12" spans="1:61">
      <c r="A12" s="305"/>
      <c r="B12" s="310"/>
      <c r="C12" s="137" t="s">
        <v>64</v>
      </c>
      <c r="D12" s="138">
        <v>2093358</v>
      </c>
      <c r="E12" s="138">
        <v>1554362</v>
      </c>
      <c r="F12" s="138">
        <v>3270424</v>
      </c>
      <c r="G12" s="138">
        <v>1635054</v>
      </c>
      <c r="H12" s="138">
        <v>1340090</v>
      </c>
      <c r="I12" s="138">
        <f t="shared" si="3"/>
        <v>9893288</v>
      </c>
      <c r="J12" s="138">
        <v>974054.2294455599</v>
      </c>
      <c r="K12" s="138">
        <v>866872.394255928</v>
      </c>
      <c r="L12" s="138">
        <v>634825.97220183536</v>
      </c>
      <c r="M12" s="138">
        <v>943105.70964408445</v>
      </c>
      <c r="N12" s="138">
        <v>900542.20443415677</v>
      </c>
      <c r="O12" s="138">
        <v>695122.89393378666</v>
      </c>
      <c r="P12" s="138">
        <v>793355.72981572628</v>
      </c>
      <c r="Q12" s="138">
        <f>SUM(I12:P12)</f>
        <v>15701167.133731078</v>
      </c>
      <c r="R12" s="138" t="e">
        <f>#REF!</f>
        <v>#REF!</v>
      </c>
      <c r="S12" s="138" t="e">
        <f>#REF!</f>
        <v>#REF!</v>
      </c>
      <c r="T12" s="138" t="e">
        <f>#REF!</f>
        <v>#REF!</v>
      </c>
      <c r="U12" s="138" t="e">
        <f>#REF!</f>
        <v>#REF!</v>
      </c>
      <c r="V12" s="138" t="e">
        <f>#REF!</f>
        <v>#REF!</v>
      </c>
      <c r="W12" s="138" t="e">
        <f>#REF!</f>
        <v>#REF!</v>
      </c>
      <c r="X12" s="138" t="e">
        <f>#REF!</f>
        <v>#REF!</v>
      </c>
      <c r="Y12" s="138" t="e">
        <f>#REF!</f>
        <v>#REF!</v>
      </c>
      <c r="Z12" s="138" t="e">
        <f>#REF!</f>
        <v>#REF!</v>
      </c>
      <c r="AA12" s="138" t="e">
        <f>#REF!</f>
        <v>#REF!</v>
      </c>
      <c r="AB12" s="138" t="e">
        <f>#REF!</f>
        <v>#REF!</v>
      </c>
      <c r="AC12" s="138" t="e">
        <f>#REF!</f>
        <v>#REF!</v>
      </c>
      <c r="AD12" s="138" t="e">
        <f t="shared" si="4"/>
        <v>#REF!</v>
      </c>
      <c r="AF12" s="305"/>
      <c r="AG12" s="310"/>
      <c r="AH12" s="137" t="s">
        <v>64</v>
      </c>
      <c r="AI12" s="138">
        <v>1046679</v>
      </c>
      <c r="AJ12" s="138">
        <v>777181</v>
      </c>
      <c r="AK12" s="138">
        <v>1635212</v>
      </c>
      <c r="AL12" s="138">
        <v>817527</v>
      </c>
      <c r="AM12" s="138">
        <v>670045</v>
      </c>
      <c r="AN12" s="138">
        <v>4946644</v>
      </c>
      <c r="AO12" s="138">
        <v>723685</v>
      </c>
      <c r="AP12" s="138">
        <v>673088</v>
      </c>
      <c r="AQ12" s="138">
        <v>771351.54450895172</v>
      </c>
      <c r="AR12" s="138">
        <v>857478.32182262675</v>
      </c>
      <c r="AS12" s="138">
        <v>669068.37988567748</v>
      </c>
      <c r="AT12" s="138">
        <v>789965.413054795</v>
      </c>
      <c r="AU12" s="138">
        <v>781963.37173376803</v>
      </c>
      <c r="AV12" s="138">
        <v>10213244.03100582</v>
      </c>
      <c r="AW12" s="138">
        <v>1078079.3699999999</v>
      </c>
      <c r="AX12" s="138">
        <v>800496.43</v>
      </c>
      <c r="AY12" s="138">
        <v>1684268.36</v>
      </c>
      <c r="AZ12" s="138">
        <v>842052.80999999982</v>
      </c>
      <c r="BA12" s="138">
        <v>690146.35</v>
      </c>
      <c r="BB12" s="138">
        <v>745395.54999999993</v>
      </c>
      <c r="BC12" s="138">
        <v>693280.64</v>
      </c>
      <c r="BD12" s="138">
        <v>794492.09084422013</v>
      </c>
      <c r="BE12" s="138">
        <v>883202.6714773057</v>
      </c>
      <c r="BF12" s="138">
        <v>689140.43128224777</v>
      </c>
      <c r="BG12" s="138">
        <v>813664.37544643891</v>
      </c>
      <c r="BH12" s="138">
        <v>805422.27288578101</v>
      </c>
      <c r="BI12" s="138">
        <v>10519641.351935992</v>
      </c>
    </row>
    <row r="13" spans="1:61">
      <c r="A13" s="305"/>
      <c r="B13" s="309" t="s">
        <v>127</v>
      </c>
      <c r="C13" s="135" t="s">
        <v>105</v>
      </c>
      <c r="D13" s="136">
        <v>478</v>
      </c>
      <c r="E13" s="136">
        <v>408</v>
      </c>
      <c r="F13" s="136">
        <v>428</v>
      </c>
      <c r="G13" s="136">
        <v>434</v>
      </c>
      <c r="H13" s="136">
        <v>448</v>
      </c>
      <c r="I13" s="136">
        <f t="shared" si="3"/>
        <v>2196</v>
      </c>
      <c r="J13" s="136">
        <v>426</v>
      </c>
      <c r="K13" s="136">
        <v>448</v>
      </c>
      <c r="L13" s="136">
        <v>564</v>
      </c>
      <c r="M13" s="136">
        <v>622</v>
      </c>
      <c r="N13" s="136">
        <v>582</v>
      </c>
      <c r="O13" s="136">
        <v>586</v>
      </c>
      <c r="P13" s="136">
        <v>608</v>
      </c>
      <c r="Q13" s="136">
        <f t="shared" si="1"/>
        <v>6032</v>
      </c>
      <c r="R13" s="150" t="e">
        <f>#REF!</f>
        <v>#REF!</v>
      </c>
      <c r="S13" s="150" t="e">
        <f>#REF!</f>
        <v>#REF!</v>
      </c>
      <c r="T13" s="150" t="e">
        <f>#REF!</f>
        <v>#REF!</v>
      </c>
      <c r="U13" s="150" t="e">
        <f>#REF!</f>
        <v>#REF!</v>
      </c>
      <c r="V13" s="150" t="e">
        <f>#REF!</f>
        <v>#REF!</v>
      </c>
      <c r="W13" s="150" t="e">
        <f>#REF!</f>
        <v>#REF!</v>
      </c>
      <c r="X13" s="150" t="e">
        <f>#REF!</f>
        <v>#REF!</v>
      </c>
      <c r="Y13" s="150" t="e">
        <f>#REF!</f>
        <v>#REF!</v>
      </c>
      <c r="Z13" s="150" t="e">
        <f>#REF!</f>
        <v>#REF!</v>
      </c>
      <c r="AA13" s="150" t="e">
        <f>#REF!</f>
        <v>#REF!</v>
      </c>
      <c r="AB13" s="150" t="e">
        <f>#REF!</f>
        <v>#REF!</v>
      </c>
      <c r="AC13" s="150" t="e">
        <f>#REF!</f>
        <v>#REF!</v>
      </c>
      <c r="AD13" s="136" t="e">
        <f t="shared" si="4"/>
        <v>#REF!</v>
      </c>
      <c r="AF13" s="305"/>
      <c r="AG13" s="309" t="s">
        <v>127</v>
      </c>
      <c r="AH13" s="135" t="s">
        <v>105</v>
      </c>
      <c r="AI13" s="136">
        <v>239</v>
      </c>
      <c r="AJ13" s="136">
        <v>204</v>
      </c>
      <c r="AK13" s="136">
        <v>214</v>
      </c>
      <c r="AL13" s="136">
        <v>217</v>
      </c>
      <c r="AM13" s="136">
        <v>224</v>
      </c>
      <c r="AN13" s="136">
        <v>1098</v>
      </c>
      <c r="AO13" s="136">
        <v>213</v>
      </c>
      <c r="AP13" s="136">
        <v>204</v>
      </c>
      <c r="AQ13" s="136">
        <v>264.88797565800041</v>
      </c>
      <c r="AR13" s="136">
        <v>289.42113649323522</v>
      </c>
      <c r="AS13" s="136">
        <v>273.72198126247343</v>
      </c>
      <c r="AT13" s="136">
        <v>272.82910800261561</v>
      </c>
      <c r="AU13" s="136">
        <v>282.83232031672924</v>
      </c>
      <c r="AV13" s="136">
        <v>2898.692521733054</v>
      </c>
      <c r="AW13" s="136">
        <v>286.16999999999996</v>
      </c>
      <c r="AX13" s="136">
        <v>250.12</v>
      </c>
      <c r="AY13" s="136">
        <v>260.42</v>
      </c>
      <c r="AZ13" s="136">
        <v>263.51</v>
      </c>
      <c r="BA13" s="136">
        <v>270.72000000000003</v>
      </c>
      <c r="BB13" s="136">
        <v>259.39</v>
      </c>
      <c r="BC13" s="136">
        <v>250.12</v>
      </c>
      <c r="BD13" s="136">
        <v>312.8346149277404</v>
      </c>
      <c r="BE13" s="136">
        <v>338.10377058803226</v>
      </c>
      <c r="BF13" s="136">
        <v>321.93364070034761</v>
      </c>
      <c r="BG13" s="136">
        <v>321.01398124269406</v>
      </c>
      <c r="BH13" s="136">
        <v>331.31728992623107</v>
      </c>
      <c r="BI13" s="136">
        <v>3465.6532973850453</v>
      </c>
    </row>
    <row r="14" spans="1:61">
      <c r="A14" s="306"/>
      <c r="B14" s="310"/>
      <c r="C14" s="137" t="s">
        <v>64</v>
      </c>
      <c r="D14" s="138">
        <v>3342852</v>
      </c>
      <c r="E14" s="138">
        <v>3597462</v>
      </c>
      <c r="F14" s="138">
        <v>3912818</v>
      </c>
      <c r="G14" s="138">
        <v>3851968</v>
      </c>
      <c r="H14" s="138">
        <v>3923778</v>
      </c>
      <c r="I14" s="138">
        <f t="shared" si="3"/>
        <v>18628878</v>
      </c>
      <c r="J14" s="138">
        <v>2517588.6783054722</v>
      </c>
      <c r="K14" s="138">
        <v>1813659.449255771</v>
      </c>
      <c r="L14" s="138">
        <v>1612082.7078715481</v>
      </c>
      <c r="M14" s="138">
        <v>1727995.8916099863</v>
      </c>
      <c r="N14" s="138">
        <v>1620761.1812780502</v>
      </c>
      <c r="O14" s="138">
        <v>1928870.8649971695</v>
      </c>
      <c r="P14" s="138">
        <v>1794033.7886761106</v>
      </c>
      <c r="Q14" s="138">
        <f t="shared" si="1"/>
        <v>31643870.561994109</v>
      </c>
      <c r="R14" s="138" t="e">
        <f>#REF!</f>
        <v>#REF!</v>
      </c>
      <c r="S14" s="138" t="e">
        <f>#REF!</f>
        <v>#REF!</v>
      </c>
      <c r="T14" s="138" t="e">
        <f>#REF!</f>
        <v>#REF!</v>
      </c>
      <c r="U14" s="138" t="e">
        <f>#REF!</f>
        <v>#REF!</v>
      </c>
      <c r="V14" s="138" t="e">
        <f>#REF!</f>
        <v>#REF!</v>
      </c>
      <c r="W14" s="138" t="e">
        <f>#REF!</f>
        <v>#REF!</v>
      </c>
      <c r="X14" s="138" t="e">
        <f>#REF!</f>
        <v>#REF!</v>
      </c>
      <c r="Y14" s="138" t="e">
        <f>#REF!</f>
        <v>#REF!</v>
      </c>
      <c r="Z14" s="138" t="e">
        <f>#REF!</f>
        <v>#REF!</v>
      </c>
      <c r="AA14" s="138" t="e">
        <f>#REF!</f>
        <v>#REF!</v>
      </c>
      <c r="AB14" s="138" t="e">
        <f>#REF!</f>
        <v>#REF!</v>
      </c>
      <c r="AC14" s="138" t="e">
        <f>#REF!</f>
        <v>#REF!</v>
      </c>
      <c r="AD14" s="138" t="e">
        <f t="shared" si="4"/>
        <v>#REF!</v>
      </c>
      <c r="AF14" s="306"/>
      <c r="AG14" s="310"/>
      <c r="AH14" s="137" t="s">
        <v>64</v>
      </c>
      <c r="AI14" s="138">
        <v>1671426</v>
      </c>
      <c r="AJ14" s="138">
        <v>1798731</v>
      </c>
      <c r="AK14" s="138">
        <v>1956409</v>
      </c>
      <c r="AL14" s="138">
        <v>1925984</v>
      </c>
      <c r="AM14" s="138">
        <v>1961889</v>
      </c>
      <c r="AN14" s="138">
        <v>9314439</v>
      </c>
      <c r="AO14" s="138">
        <v>1870472</v>
      </c>
      <c r="AP14" s="138">
        <v>1838988</v>
      </c>
      <c r="AQ14" s="138">
        <v>1560917.4925723532</v>
      </c>
      <c r="AR14" s="138">
        <v>1683756.2524304087</v>
      </c>
      <c r="AS14" s="138">
        <v>1621862.6890145598</v>
      </c>
      <c r="AT14" s="138">
        <v>1641299.9147507753</v>
      </c>
      <c r="AU14" s="138">
        <v>1663960.2015174348</v>
      </c>
      <c r="AV14" s="138">
        <v>21195695.550285533</v>
      </c>
      <c r="AW14" s="138">
        <v>1966577.8133333335</v>
      </c>
      <c r="AX14" s="138">
        <v>2097701.9633333334</v>
      </c>
      <c r="AY14" s="138">
        <v>2248264.8006933336</v>
      </c>
      <c r="AZ14" s="138">
        <v>2228772.5533333332</v>
      </c>
      <c r="BA14" s="138">
        <v>2265754.7033333336</v>
      </c>
      <c r="BB14" s="138">
        <v>2236238.9975858135</v>
      </c>
      <c r="BC14" s="138">
        <v>1804036.302422446</v>
      </c>
      <c r="BD14" s="138">
        <v>1852754.0506828572</v>
      </c>
      <c r="BE14" s="138">
        <v>1979277.973336654</v>
      </c>
      <c r="BF14" s="138">
        <v>1915527.6030183297</v>
      </c>
      <c r="BG14" s="138">
        <v>1935547.945526632</v>
      </c>
      <c r="BH14" s="138">
        <v>1958888.0408962911</v>
      </c>
      <c r="BI14" s="138">
        <v>24489342.747495692</v>
      </c>
    </row>
    <row r="15" spans="1:61">
      <c r="A15" s="301" t="s">
        <v>130</v>
      </c>
      <c r="B15" s="301"/>
      <c r="C15" s="139" t="s">
        <v>105</v>
      </c>
      <c r="D15" s="140">
        <f t="shared" ref="D15:P16" si="7">D3+D9</f>
        <v>728</v>
      </c>
      <c r="E15" s="140">
        <f t="shared" si="7"/>
        <v>612</v>
      </c>
      <c r="F15" s="140">
        <f t="shared" si="7"/>
        <v>680</v>
      </c>
      <c r="G15" s="140">
        <f t="shared" si="7"/>
        <v>876</v>
      </c>
      <c r="H15" s="140">
        <f t="shared" si="7"/>
        <v>654</v>
      </c>
      <c r="I15" s="140">
        <f t="shared" si="7"/>
        <v>3550</v>
      </c>
      <c r="J15" s="140">
        <f t="shared" si="7"/>
        <v>600.27204862912561</v>
      </c>
      <c r="K15" s="140">
        <f t="shared" si="7"/>
        <v>717.08046511216367</v>
      </c>
      <c r="L15" s="140">
        <f t="shared" si="7"/>
        <v>889.3420180331218</v>
      </c>
      <c r="M15" s="140">
        <f t="shared" si="7"/>
        <v>920.19840539336451</v>
      </c>
      <c r="N15" s="140">
        <f t="shared" si="7"/>
        <v>874.34013628758521</v>
      </c>
      <c r="O15" s="140">
        <f t="shared" si="7"/>
        <v>897.28077465231252</v>
      </c>
      <c r="P15" s="140">
        <f t="shared" si="7"/>
        <v>906.7746211887968</v>
      </c>
      <c r="Q15" s="140">
        <f t="shared" si="1"/>
        <v>9355.288469296469</v>
      </c>
      <c r="R15" s="140" t="e">
        <f t="shared" ref="R15:AC16" si="8">R3+R9</f>
        <v>#REF!</v>
      </c>
      <c r="S15" s="140" t="e">
        <f t="shared" si="8"/>
        <v>#REF!</v>
      </c>
      <c r="T15" s="140" t="e">
        <f t="shared" si="8"/>
        <v>#REF!</v>
      </c>
      <c r="U15" s="140" t="e">
        <f t="shared" si="8"/>
        <v>#REF!</v>
      </c>
      <c r="V15" s="140" t="e">
        <f t="shared" si="8"/>
        <v>#REF!</v>
      </c>
      <c r="W15" s="140" t="e">
        <f t="shared" si="8"/>
        <v>#REF!</v>
      </c>
      <c r="X15" s="140" t="e">
        <f t="shared" si="8"/>
        <v>#REF!</v>
      </c>
      <c r="Y15" s="140" t="e">
        <f t="shared" si="8"/>
        <v>#REF!</v>
      </c>
      <c r="Z15" s="140" t="e">
        <f t="shared" si="8"/>
        <v>#REF!</v>
      </c>
      <c r="AA15" s="140" t="e">
        <f t="shared" si="8"/>
        <v>#REF!</v>
      </c>
      <c r="AB15" s="140" t="e">
        <f t="shared" si="8"/>
        <v>#REF!</v>
      </c>
      <c r="AC15" s="140" t="e">
        <f t="shared" si="8"/>
        <v>#REF!</v>
      </c>
      <c r="AD15" s="140" t="e">
        <f>SUM(R15:AC15)</f>
        <v>#REF!</v>
      </c>
      <c r="AF15" s="301" t="s">
        <v>130</v>
      </c>
      <c r="AG15" s="301"/>
      <c r="AH15" s="139" t="s">
        <v>105</v>
      </c>
      <c r="AI15" s="140">
        <v>364</v>
      </c>
      <c r="AJ15" s="140">
        <v>308</v>
      </c>
      <c r="AK15" s="140">
        <v>340</v>
      </c>
      <c r="AL15" s="140">
        <v>440</v>
      </c>
      <c r="AM15" s="140">
        <v>327</v>
      </c>
      <c r="AN15" s="140">
        <v>1779</v>
      </c>
      <c r="AO15" s="140">
        <v>300.1360243145628</v>
      </c>
      <c r="AP15" s="140">
        <v>337.54023255608183</v>
      </c>
      <c r="AQ15" s="140">
        <v>426.84594970649334</v>
      </c>
      <c r="AR15" s="140">
        <v>442.1249233929608</v>
      </c>
      <c r="AS15" s="140">
        <v>418.97457678493078</v>
      </c>
      <c r="AT15" s="140">
        <v>431.01690073094591</v>
      </c>
      <c r="AU15" s="140">
        <v>425.64288640566178</v>
      </c>
      <c r="AV15" s="140">
        <v>4561.2814938916363</v>
      </c>
      <c r="AW15" s="140">
        <v>414.19999999999993</v>
      </c>
      <c r="AX15" s="140">
        <v>354.62</v>
      </c>
      <c r="AY15" s="140">
        <v>389.57</v>
      </c>
      <c r="AZ15" s="140">
        <v>489.34000000000003</v>
      </c>
      <c r="BA15" s="140">
        <v>376.18</v>
      </c>
      <c r="BB15" s="140">
        <v>348.68874480085401</v>
      </c>
      <c r="BC15" s="140">
        <v>386.81103720720341</v>
      </c>
      <c r="BD15" s="140">
        <v>478.61461810752252</v>
      </c>
      <c r="BE15" s="140">
        <v>494.45767906778281</v>
      </c>
      <c r="BF15" s="140">
        <v>470.68211340704073</v>
      </c>
      <c r="BG15" s="140">
        <v>482.92100387961267</v>
      </c>
      <c r="BH15" s="140">
        <v>477.5582998918876</v>
      </c>
      <c r="BI15" s="140">
        <v>5163.6434963619031</v>
      </c>
    </row>
    <row r="16" spans="1:61">
      <c r="A16" s="302"/>
      <c r="B16" s="302"/>
      <c r="C16" s="141" t="s">
        <v>64</v>
      </c>
      <c r="D16" s="142">
        <f t="shared" si="7"/>
        <v>6366494</v>
      </c>
      <c r="E16" s="142">
        <f t="shared" si="7"/>
        <v>6013426</v>
      </c>
      <c r="F16" s="142">
        <f t="shared" si="7"/>
        <v>8236468</v>
      </c>
      <c r="G16" s="142">
        <f t="shared" si="7"/>
        <v>8251512</v>
      </c>
      <c r="H16" s="142">
        <f t="shared" si="7"/>
        <v>6173464</v>
      </c>
      <c r="I16" s="142">
        <f t="shared" si="7"/>
        <v>35041364</v>
      </c>
      <c r="J16" s="142">
        <f t="shared" si="7"/>
        <v>3789608.4458591375</v>
      </c>
      <c r="K16" s="142">
        <f t="shared" si="7"/>
        <v>3481607.254178863</v>
      </c>
      <c r="L16" s="142">
        <f t="shared" si="7"/>
        <v>3230640.847310829</v>
      </c>
      <c r="M16" s="142">
        <f t="shared" si="7"/>
        <v>3538772.8561741645</v>
      </c>
      <c r="N16" s="142">
        <f t="shared" si="7"/>
        <v>3405840.5041174204</v>
      </c>
      <c r="O16" s="142">
        <f t="shared" si="7"/>
        <v>3571667.0612567072</v>
      </c>
      <c r="P16" s="142">
        <f t="shared" si="7"/>
        <v>3351346.4196294583</v>
      </c>
      <c r="Q16" s="142">
        <f t="shared" si="1"/>
        <v>59410847.388526574</v>
      </c>
      <c r="R16" s="142" t="e">
        <f t="shared" si="8"/>
        <v>#REF!</v>
      </c>
      <c r="S16" s="142" t="e">
        <f t="shared" si="8"/>
        <v>#REF!</v>
      </c>
      <c r="T16" s="142" t="e">
        <f t="shared" si="8"/>
        <v>#REF!</v>
      </c>
      <c r="U16" s="142" t="e">
        <f t="shared" si="8"/>
        <v>#REF!</v>
      </c>
      <c r="V16" s="142" t="e">
        <f t="shared" si="8"/>
        <v>#REF!</v>
      </c>
      <c r="W16" s="142" t="e">
        <f t="shared" si="8"/>
        <v>#REF!</v>
      </c>
      <c r="X16" s="142" t="e">
        <f t="shared" si="8"/>
        <v>#REF!</v>
      </c>
      <c r="Y16" s="142" t="e">
        <f t="shared" si="8"/>
        <v>#REF!</v>
      </c>
      <c r="Z16" s="142" t="e">
        <f t="shared" si="8"/>
        <v>#REF!</v>
      </c>
      <c r="AA16" s="142" t="e">
        <f t="shared" si="8"/>
        <v>#REF!</v>
      </c>
      <c r="AB16" s="142" t="e">
        <f t="shared" si="8"/>
        <v>#REF!</v>
      </c>
      <c r="AC16" s="142" t="e">
        <f t="shared" si="8"/>
        <v>#REF!</v>
      </c>
      <c r="AD16" s="142" t="e">
        <f>SUM(R16:AC16)</f>
        <v>#REF!</v>
      </c>
      <c r="AF16" s="302"/>
      <c r="AG16" s="302"/>
      <c r="AH16" s="141" t="s">
        <v>64</v>
      </c>
      <c r="AI16" s="142">
        <v>3183247</v>
      </c>
      <c r="AJ16" s="142">
        <v>3010087</v>
      </c>
      <c r="AK16" s="142">
        <v>4118234</v>
      </c>
      <c r="AL16" s="142">
        <v>4126693</v>
      </c>
      <c r="AM16" s="142">
        <v>3086732</v>
      </c>
      <c r="AN16" s="142">
        <v>17524993</v>
      </c>
      <c r="AO16" s="142">
        <v>2743139.7690540524</v>
      </c>
      <c r="AP16" s="142">
        <v>2912613.7053335821</v>
      </c>
      <c r="AQ16" s="142">
        <v>2824135.1207000278</v>
      </c>
      <c r="AR16" s="142">
        <v>2975070.2017130824</v>
      </c>
      <c r="AS16" s="142">
        <v>2733199.6281028441</v>
      </c>
      <c r="AT16" s="142">
        <v>2905101.9789684461</v>
      </c>
      <c r="AU16" s="142">
        <v>2827902.0238200137</v>
      </c>
      <c r="AV16" s="142">
        <v>37446155.427692048</v>
      </c>
      <c r="AW16" s="142">
        <v>3519102.0233333334</v>
      </c>
      <c r="AX16" s="142">
        <v>3337615.4133333336</v>
      </c>
      <c r="AY16" s="142">
        <v>4469678.4206933333</v>
      </c>
      <c r="AZ16" s="142">
        <v>4480715.2633333337</v>
      </c>
      <c r="BA16" s="142">
        <v>3419795.0133333337</v>
      </c>
      <c r="BB16" s="142">
        <v>3133596.9720209469</v>
      </c>
      <c r="BC16" s="142">
        <v>2905865.4018626995</v>
      </c>
      <c r="BD16" s="142">
        <v>3148949.5468181744</v>
      </c>
      <c r="BE16" s="142">
        <v>3304992.9848232074</v>
      </c>
      <c r="BF16" s="142">
        <v>3055781.9646872361</v>
      </c>
      <c r="BG16" s="142">
        <v>3232525.7051592041</v>
      </c>
      <c r="BH16" s="142">
        <v>3153928.333362259</v>
      </c>
      <c r="BI16" s="142">
        <v>41162547.042760395</v>
      </c>
    </row>
    <row r="19" spans="1:61">
      <c r="Q19" s="146"/>
    </row>
    <row r="20" spans="1:61">
      <c r="A20" s="126" t="s">
        <v>134</v>
      </c>
      <c r="Q20" s="146"/>
    </row>
    <row r="21" spans="1:61" ht="26.4">
      <c r="A21" s="143" t="s">
        <v>128</v>
      </c>
      <c r="B21" s="143" t="s">
        <v>129</v>
      </c>
      <c r="C21" s="144" t="s">
        <v>26</v>
      </c>
      <c r="D21" s="129">
        <v>45292</v>
      </c>
      <c r="E21" s="129">
        <v>45323</v>
      </c>
      <c r="F21" s="129">
        <v>45352</v>
      </c>
      <c r="G21" s="129">
        <v>45383</v>
      </c>
      <c r="H21" s="129">
        <v>45413</v>
      </c>
      <c r="I21" s="145" t="s">
        <v>133</v>
      </c>
      <c r="J21" s="129">
        <v>45444</v>
      </c>
      <c r="K21" s="129">
        <v>45474</v>
      </c>
      <c r="L21" s="129">
        <v>45505</v>
      </c>
      <c r="M21" s="129">
        <v>45536</v>
      </c>
      <c r="N21" s="129">
        <v>45566</v>
      </c>
      <c r="O21" s="129">
        <v>45597</v>
      </c>
      <c r="P21" s="129">
        <v>45627</v>
      </c>
      <c r="Q21" s="130" t="s">
        <v>122</v>
      </c>
      <c r="R21" s="129">
        <v>45658</v>
      </c>
      <c r="S21" s="129">
        <v>45689</v>
      </c>
      <c r="T21" s="129">
        <v>45717</v>
      </c>
      <c r="U21" s="129">
        <v>45748</v>
      </c>
      <c r="V21" s="129">
        <v>45778</v>
      </c>
      <c r="W21" s="129">
        <v>45809</v>
      </c>
      <c r="X21" s="129">
        <v>45839</v>
      </c>
      <c r="Y21" s="129">
        <v>45870</v>
      </c>
      <c r="Z21" s="129">
        <v>45901</v>
      </c>
      <c r="AA21" s="129">
        <v>45931</v>
      </c>
      <c r="AB21" s="129">
        <v>45962</v>
      </c>
      <c r="AC21" s="129">
        <v>45992</v>
      </c>
      <c r="AD21" s="130" t="s">
        <v>106</v>
      </c>
      <c r="AF21" s="143" t="s">
        <v>128</v>
      </c>
      <c r="AG21" s="143" t="s">
        <v>129</v>
      </c>
      <c r="AH21" s="144" t="s">
        <v>26</v>
      </c>
      <c r="AI21" s="129">
        <v>45292</v>
      </c>
      <c r="AJ21" s="129">
        <v>45323</v>
      </c>
      <c r="AK21" s="129">
        <v>45352</v>
      </c>
      <c r="AL21" s="129">
        <v>45383</v>
      </c>
      <c r="AM21" s="129">
        <v>45413</v>
      </c>
      <c r="AN21" s="145" t="s">
        <v>133</v>
      </c>
      <c r="AO21" s="129">
        <v>45444</v>
      </c>
      <c r="AP21" s="129">
        <v>45474</v>
      </c>
      <c r="AQ21" s="129">
        <v>45505</v>
      </c>
      <c r="AR21" s="129">
        <v>45536</v>
      </c>
      <c r="AS21" s="129">
        <v>45566</v>
      </c>
      <c r="AT21" s="129">
        <v>45597</v>
      </c>
      <c r="AU21" s="129">
        <v>45627</v>
      </c>
      <c r="AV21" s="130" t="s">
        <v>122</v>
      </c>
      <c r="AW21" s="129">
        <v>45658</v>
      </c>
      <c r="AX21" s="129">
        <v>45689</v>
      </c>
      <c r="AY21" s="129">
        <v>45717</v>
      </c>
      <c r="AZ21" s="129">
        <v>45748</v>
      </c>
      <c r="BA21" s="129">
        <v>45778</v>
      </c>
      <c r="BB21" s="129">
        <v>45809</v>
      </c>
      <c r="BC21" s="129">
        <v>45839</v>
      </c>
      <c r="BD21" s="129">
        <v>45870</v>
      </c>
      <c r="BE21" s="129">
        <v>45901</v>
      </c>
      <c r="BF21" s="129">
        <v>45931</v>
      </c>
      <c r="BG21" s="129">
        <v>45962</v>
      </c>
      <c r="BH21" s="129">
        <v>45992</v>
      </c>
      <c r="BI21" s="130" t="s">
        <v>106</v>
      </c>
    </row>
    <row r="22" spans="1:61">
      <c r="A22" s="304">
        <v>1</v>
      </c>
      <c r="B22" s="312" t="s">
        <v>131</v>
      </c>
      <c r="C22" s="131" t="s">
        <v>105</v>
      </c>
      <c r="D22" s="132">
        <f>D24+D26</f>
        <v>408</v>
      </c>
      <c r="E22" s="132">
        <f t="shared" ref="E22:H22" si="9">E24+E26</f>
        <v>336</v>
      </c>
      <c r="F22" s="132">
        <f t="shared" si="9"/>
        <v>378</v>
      </c>
      <c r="G22" s="132">
        <f t="shared" si="9"/>
        <v>1080</v>
      </c>
      <c r="H22" s="132">
        <f t="shared" si="9"/>
        <v>378</v>
      </c>
      <c r="I22" s="132">
        <f>SUM(D22:H22)</f>
        <v>2580</v>
      </c>
      <c r="J22" s="132">
        <f t="shared" ref="J22:P22" si="10">J24+J26</f>
        <v>270.81614588737682</v>
      </c>
      <c r="K22" s="132">
        <f t="shared" si="10"/>
        <v>513.24139533649077</v>
      </c>
      <c r="L22" s="132">
        <f t="shared" si="10"/>
        <v>622.02605409936564</v>
      </c>
      <c r="M22" s="132">
        <f t="shared" si="10"/>
        <v>558.59521618009342</v>
      </c>
      <c r="N22" s="132">
        <f t="shared" si="10"/>
        <v>517.02040886275563</v>
      </c>
      <c r="O22" s="132">
        <f t="shared" si="10"/>
        <v>615.84232395693755</v>
      </c>
      <c r="P22" s="132">
        <f t="shared" si="10"/>
        <v>512.32386356639029</v>
      </c>
      <c r="Q22" s="132">
        <f t="shared" ref="Q22:Q23" si="11">SUM(I22:P22)</f>
        <v>6189.8654078894106</v>
      </c>
      <c r="R22" s="132">
        <f>R24+R26</f>
        <v>173.900958</v>
      </c>
      <c r="S22" s="132">
        <f t="shared" ref="S22:AC22" si="12">S24+S26</f>
        <v>169.32461699999999</v>
      </c>
      <c r="T22" s="132">
        <f t="shared" si="12"/>
        <v>169.32461700000002</v>
      </c>
      <c r="U22" s="132">
        <f t="shared" si="12"/>
        <v>164.748276</v>
      </c>
      <c r="V22" s="132">
        <f t="shared" si="12"/>
        <v>164.748276</v>
      </c>
      <c r="W22" s="132">
        <f t="shared" si="12"/>
        <v>151.01925300000002</v>
      </c>
      <c r="X22" s="132">
        <f t="shared" si="12"/>
        <v>237.96973200000002</v>
      </c>
      <c r="Y22" s="132">
        <f t="shared" si="12"/>
        <v>274.58046000000002</v>
      </c>
      <c r="Z22" s="132">
        <f t="shared" si="12"/>
        <v>237.96973200000002</v>
      </c>
      <c r="AA22" s="132">
        <f t="shared" si="12"/>
        <v>260.85143700000003</v>
      </c>
      <c r="AB22" s="132">
        <f t="shared" si="12"/>
        <v>237.96973200000002</v>
      </c>
      <c r="AC22" s="132">
        <f t="shared" si="12"/>
        <v>228.81705000000002</v>
      </c>
      <c r="AD22" s="132">
        <f>SUM(R22:AC22)</f>
        <v>2471.2241400000007</v>
      </c>
      <c r="AF22" s="304">
        <v>1</v>
      </c>
      <c r="AG22" s="312" t="s">
        <v>131</v>
      </c>
      <c r="AH22" s="131" t="s">
        <v>105</v>
      </c>
      <c r="AI22" s="132">
        <v>72</v>
      </c>
      <c r="AJ22" s="132">
        <v>58</v>
      </c>
      <c r="AK22" s="132">
        <v>63</v>
      </c>
      <c r="AL22" s="132">
        <v>182</v>
      </c>
      <c r="AM22" s="132">
        <v>63</v>
      </c>
      <c r="AN22" s="132">
        <v>438</v>
      </c>
      <c r="AO22" s="132">
        <v>45.136024314562803</v>
      </c>
      <c r="AP22" s="132">
        <v>85.540232556081804</v>
      </c>
      <c r="AQ22" s="132">
        <v>103.67100901656093</v>
      </c>
      <c r="AR22" s="132">
        <v>93.099202696682241</v>
      </c>
      <c r="AS22" s="132">
        <v>86.170068143792605</v>
      </c>
      <c r="AT22" s="132">
        <v>102.64038732615626</v>
      </c>
      <c r="AU22" s="132">
        <v>85.387310594398372</v>
      </c>
      <c r="AV22" s="132">
        <v>1039.6442346482349</v>
      </c>
      <c r="AW22" s="132">
        <v>73.44</v>
      </c>
      <c r="AX22" s="132">
        <v>57.120000000000005</v>
      </c>
      <c r="AY22" s="132">
        <v>64.259999999999991</v>
      </c>
      <c r="AZ22" s="132">
        <v>183.6</v>
      </c>
      <c r="BA22" s="132">
        <v>64.259999999999991</v>
      </c>
      <c r="BB22" s="132">
        <v>46.038744800854062</v>
      </c>
      <c r="BC22" s="132">
        <v>87.251037207203439</v>
      </c>
      <c r="BD22" s="132">
        <v>105.74442919689214</v>
      </c>
      <c r="BE22" s="132">
        <v>94.961186750615894</v>
      </c>
      <c r="BF22" s="132">
        <v>87.893469506668453</v>
      </c>
      <c r="BG22" s="132">
        <v>104.69319507267939</v>
      </c>
      <c r="BH22" s="132">
        <v>87.095056806286351</v>
      </c>
      <c r="BI22" s="132">
        <v>1056.3571193411997</v>
      </c>
    </row>
    <row r="23" spans="1:61">
      <c r="A23" s="305"/>
      <c r="B23" s="312"/>
      <c r="C23" s="133" t="s">
        <v>64</v>
      </c>
      <c r="D23" s="134">
        <f>D25+D27</f>
        <v>2756574</v>
      </c>
      <c r="E23" s="134">
        <f t="shared" ref="E23:H23" si="13">E25+E27</f>
        <v>2584806</v>
      </c>
      <c r="F23" s="134">
        <f t="shared" si="13"/>
        <v>3159678</v>
      </c>
      <c r="G23" s="134">
        <f t="shared" si="13"/>
        <v>8293470</v>
      </c>
      <c r="H23" s="134">
        <f t="shared" si="13"/>
        <v>2728788</v>
      </c>
      <c r="I23" s="134">
        <f t="shared" ref="I23:I33" si="14">SUM(D23:H23)</f>
        <v>19523316</v>
      </c>
      <c r="J23" s="134">
        <f t="shared" ref="J23:P23" si="15">J25+J27</f>
        <v>893896.61432431545</v>
      </c>
      <c r="K23" s="134">
        <f t="shared" si="15"/>
        <v>2403226.2320014932</v>
      </c>
      <c r="L23" s="134">
        <f t="shared" si="15"/>
        <v>2951196.5017123367</v>
      </c>
      <c r="M23" s="134">
        <f t="shared" si="15"/>
        <v>2603013.764760281</v>
      </c>
      <c r="N23" s="134">
        <f t="shared" si="15"/>
        <v>2653611.3552156407</v>
      </c>
      <c r="O23" s="134">
        <f t="shared" si="15"/>
        <v>2843019.906977253</v>
      </c>
      <c r="P23" s="134">
        <f t="shared" si="15"/>
        <v>2291870.7034128644</v>
      </c>
      <c r="Q23" s="134">
        <f t="shared" si="11"/>
        <v>36163151.078404188</v>
      </c>
      <c r="R23" s="134">
        <f>R25+R27</f>
        <v>1044595.5966600002</v>
      </c>
      <c r="S23" s="134">
        <f t="shared" ref="S23:AC23" si="16">S25+S27</f>
        <v>750799.08080100012</v>
      </c>
      <c r="T23" s="134">
        <f t="shared" si="16"/>
        <v>1300065.2566440001</v>
      </c>
      <c r="U23" s="134">
        <f t="shared" si="16"/>
        <v>1456589.8478669999</v>
      </c>
      <c r="V23" s="134">
        <f t="shared" si="16"/>
        <v>580531.737555</v>
      </c>
      <c r="W23" s="134">
        <f t="shared" si="16"/>
        <v>1399417.6197540001</v>
      </c>
      <c r="X23" s="134">
        <f t="shared" si="16"/>
        <v>847849.54438800015</v>
      </c>
      <c r="Y23" s="134">
        <f t="shared" si="16"/>
        <v>1305739.9194840002</v>
      </c>
      <c r="Z23" s="134">
        <f t="shared" si="16"/>
        <v>860443.63482000004</v>
      </c>
      <c r="AA23" s="134">
        <f t="shared" si="16"/>
        <v>1708027.7514300002</v>
      </c>
      <c r="AB23" s="134">
        <f t="shared" si="16"/>
        <v>816277.367829</v>
      </c>
      <c r="AC23" s="134">
        <f t="shared" si="16"/>
        <v>1320411.66873</v>
      </c>
      <c r="AD23" s="134">
        <f>SUM(R23:AC23)</f>
        <v>13390749.025962003</v>
      </c>
      <c r="AF23" s="305"/>
      <c r="AG23" s="312"/>
      <c r="AH23" s="133" t="s">
        <v>64</v>
      </c>
      <c r="AI23" s="134">
        <v>465142</v>
      </c>
      <c r="AJ23" s="134">
        <v>434175</v>
      </c>
      <c r="AK23" s="134">
        <v>526613</v>
      </c>
      <c r="AL23" s="134">
        <v>1383182</v>
      </c>
      <c r="AM23" s="134">
        <v>454798</v>
      </c>
      <c r="AN23" s="134">
        <v>3263910</v>
      </c>
      <c r="AO23" s="134">
        <v>148982.76905405259</v>
      </c>
      <c r="AP23" s="134">
        <v>400537.70533358218</v>
      </c>
      <c r="AQ23" s="134">
        <v>491866.0836187228</v>
      </c>
      <c r="AR23" s="134">
        <v>433835.62746004679</v>
      </c>
      <c r="AS23" s="134">
        <v>442268.55920260679</v>
      </c>
      <c r="AT23" s="134">
        <v>473836.65116287558</v>
      </c>
      <c r="AU23" s="134">
        <v>381978.4505688108</v>
      </c>
      <c r="AV23" s="134">
        <v>6037215.8464006977</v>
      </c>
      <c r="AW23" s="134">
        <v>474444.84</v>
      </c>
      <c r="AX23" s="134">
        <v>439417.02</v>
      </c>
      <c r="AY23" s="134">
        <v>537145.26</v>
      </c>
      <c r="AZ23" s="134">
        <v>1409889.9000000001</v>
      </c>
      <c r="BA23" s="134">
        <v>463893.96</v>
      </c>
      <c r="BB23" s="134">
        <v>151962.42443513364</v>
      </c>
      <c r="BC23" s="134">
        <v>408548.45944025379</v>
      </c>
      <c r="BD23" s="134">
        <v>501703.40529109724</v>
      </c>
      <c r="BE23" s="134">
        <v>442512.34000924777</v>
      </c>
      <c r="BF23" s="134">
        <v>451113.93038665893</v>
      </c>
      <c r="BG23" s="134">
        <v>483313.38418613304</v>
      </c>
      <c r="BH23" s="134">
        <v>389618.01958018693</v>
      </c>
      <c r="BI23" s="134">
        <v>6153562.9433287112</v>
      </c>
    </row>
    <row r="24" spans="1:61">
      <c r="A24" s="305"/>
      <c r="B24" s="309" t="s">
        <v>126</v>
      </c>
      <c r="C24" s="135" t="s">
        <v>105</v>
      </c>
      <c r="D24" s="136">
        <v>96</v>
      </c>
      <c r="E24" s="136">
        <v>90</v>
      </c>
      <c r="F24" s="136">
        <v>96</v>
      </c>
      <c r="G24" s="136">
        <v>48</v>
      </c>
      <c r="H24" s="136">
        <v>84</v>
      </c>
      <c r="I24" s="136">
        <f t="shared" si="14"/>
        <v>414</v>
      </c>
      <c r="J24" s="136">
        <v>33.708837494138777</v>
      </c>
      <c r="K24" s="136">
        <v>115.1500014728806</v>
      </c>
      <c r="L24" s="136">
        <v>126.74319203211599</v>
      </c>
      <c r="M24" s="136">
        <v>117.16947645923862</v>
      </c>
      <c r="N24" s="136">
        <v>118.35166186065015</v>
      </c>
      <c r="O24" s="136">
        <v>120.23491556403373</v>
      </c>
      <c r="P24" s="136">
        <v>98.911636264926329</v>
      </c>
      <c r="Q24" s="136">
        <f>SUM(I24:P24)</f>
        <v>1144.2697211479842</v>
      </c>
      <c r="R24" s="136">
        <f>'TUNDA IKPP'!AB211</f>
        <v>64.068774000000005</v>
      </c>
      <c r="S24" s="136">
        <f>'TUNDA IKPP'!AC211</f>
        <v>50.339751000000007</v>
      </c>
      <c r="T24" s="136">
        <f>'TUNDA IKPP'!AD211</f>
        <v>27.458046000000003</v>
      </c>
      <c r="U24" s="136">
        <f>'TUNDA IKPP'!AE211</f>
        <v>36.610728000000002</v>
      </c>
      <c r="V24" s="136">
        <f>'TUNDA IKPP'!AF211</f>
        <v>32.034387000000002</v>
      </c>
      <c r="W24" s="136">
        <f>'TUNDA IKPP'!AG211</f>
        <v>32.034387000000002</v>
      </c>
      <c r="X24" s="136">
        <f>'TUNDA IKPP'!AH211</f>
        <v>50.339751000000007</v>
      </c>
      <c r="Y24" s="136">
        <f>'TUNDA IKPP'!AI211</f>
        <v>64.068774000000005</v>
      </c>
      <c r="Z24" s="136">
        <f>'TUNDA IKPP'!AJ211</f>
        <v>50.339751000000007</v>
      </c>
      <c r="AA24" s="136">
        <f>'TUNDA IKPP'!AK211</f>
        <v>54.916092000000006</v>
      </c>
      <c r="AB24" s="136">
        <f>'TUNDA IKPP'!AL211</f>
        <v>36.610728000000002</v>
      </c>
      <c r="AC24" s="136">
        <f>'TUNDA IKPP'!AM211</f>
        <v>50.339751000000007</v>
      </c>
      <c r="AD24" s="136">
        <f>SUM(R24:AC24)</f>
        <v>549.16092000000015</v>
      </c>
      <c r="AF24" s="305"/>
      <c r="AG24" s="309" t="s">
        <v>126</v>
      </c>
      <c r="AH24" s="135" t="s">
        <v>105</v>
      </c>
      <c r="AI24" s="136">
        <v>16</v>
      </c>
      <c r="AJ24" s="136">
        <v>17</v>
      </c>
      <c r="AK24" s="136">
        <v>16</v>
      </c>
      <c r="AL24" s="136">
        <v>10</v>
      </c>
      <c r="AM24" s="136">
        <v>14</v>
      </c>
      <c r="AN24" s="136">
        <v>73</v>
      </c>
      <c r="AO24" s="136">
        <v>5.6181395823564619</v>
      </c>
      <c r="AP24" s="136">
        <v>19.191666912146765</v>
      </c>
      <c r="AQ24" s="136">
        <v>21.123865338685999</v>
      </c>
      <c r="AR24" s="136">
        <v>19.528246076539773</v>
      </c>
      <c r="AS24" s="136">
        <v>19.725276976775028</v>
      </c>
      <c r="AT24" s="136">
        <v>20.039152594005621</v>
      </c>
      <c r="AU24" s="136">
        <v>16.485272710821054</v>
      </c>
      <c r="AV24" s="136">
        <v>194.7116201913307</v>
      </c>
      <c r="AW24" s="136">
        <v>16.32</v>
      </c>
      <c r="AX24" s="136">
        <v>15.3</v>
      </c>
      <c r="AY24" s="136">
        <v>16.32</v>
      </c>
      <c r="AZ24" s="136">
        <v>8.16</v>
      </c>
      <c r="BA24" s="136">
        <v>14.280000000000001</v>
      </c>
      <c r="BB24" s="136">
        <v>5.7305023740035912</v>
      </c>
      <c r="BC24" s="136">
        <v>19.575500250389702</v>
      </c>
      <c r="BD24" s="136">
        <v>21.546342645459717</v>
      </c>
      <c r="BE24" s="136">
        <v>19.918810998070569</v>
      </c>
      <c r="BF24" s="136">
        <v>20.119782516310526</v>
      </c>
      <c r="BG24" s="136">
        <v>20.439935645885736</v>
      </c>
      <c r="BH24" s="136">
        <v>16.814978165037473</v>
      </c>
      <c r="BI24" s="136">
        <v>194.52585259515729</v>
      </c>
    </row>
    <row r="25" spans="1:61">
      <c r="A25" s="305"/>
      <c r="B25" s="310"/>
      <c r="C25" s="137" t="s">
        <v>64</v>
      </c>
      <c r="D25" s="138">
        <v>1865970</v>
      </c>
      <c r="E25" s="138">
        <v>1979040</v>
      </c>
      <c r="F25" s="138">
        <v>2636874</v>
      </c>
      <c r="G25" s="138">
        <v>745800</v>
      </c>
      <c r="H25" s="138">
        <v>2009328</v>
      </c>
      <c r="I25" s="138">
        <f t="shared" si="14"/>
        <v>9237012</v>
      </c>
      <c r="J25" s="138">
        <v>499914.59651858918</v>
      </c>
      <c r="K25" s="138">
        <v>1675235.0218078583</v>
      </c>
      <c r="L25" s="138">
        <v>2068184.1363535495</v>
      </c>
      <c r="M25" s="138">
        <v>1752147.2702062032</v>
      </c>
      <c r="N25" s="138">
        <v>1911497.1669114819</v>
      </c>
      <c r="O25" s="138">
        <v>1962078.3242709441</v>
      </c>
      <c r="P25" s="138">
        <v>1598118.1997964676</v>
      </c>
      <c r="Q25" s="138">
        <f t="shared" ref="Q25:Q30" si="17">SUM(I25:P25)</f>
        <v>20704186.715865094</v>
      </c>
      <c r="R25" s="138">
        <f>'TUNDA IKPP'!AB212</f>
        <v>835662.74830500013</v>
      </c>
      <c r="S25" s="138">
        <f>'TUNDA IKPP'!AC212</f>
        <v>435347.31933000003</v>
      </c>
      <c r="T25" s="138">
        <f>'TUNDA IKPP'!AD212</f>
        <v>892761.75496200006</v>
      </c>
      <c r="U25" s="138">
        <f>'TUNDA IKPP'!AE212</f>
        <v>1192905.655788</v>
      </c>
      <c r="V25" s="138">
        <f>'TUNDA IKPP'!AF212</f>
        <v>283691.95493100001</v>
      </c>
      <c r="W25" s="138">
        <f>'TUNDA IKPP'!AG212</f>
        <v>1030802.5048860001</v>
      </c>
      <c r="X25" s="138">
        <f>'TUNDA IKPP'!AH212</f>
        <v>407244.00924900005</v>
      </c>
      <c r="Y25" s="138">
        <f>'TUNDA IKPP'!AI212</f>
        <v>748707.69296400005</v>
      </c>
      <c r="Z25" s="138">
        <f>'TUNDA IKPP'!AJ212</f>
        <v>363617.75049600005</v>
      </c>
      <c r="AA25" s="138">
        <f>'TUNDA IKPP'!AK212</f>
        <v>1225937.6851260001</v>
      </c>
      <c r="AB25" s="138">
        <f>'TUNDA IKPP'!AL212</f>
        <v>327313.63734299998</v>
      </c>
      <c r="AC25" s="138">
        <f>'TUNDA IKPP'!AM212</f>
        <v>846275.283084</v>
      </c>
      <c r="AD25" s="138">
        <f t="shared" ref="AD25:AD33" si="18">SUM(R25:AC25)</f>
        <v>8590267.996464001</v>
      </c>
      <c r="AF25" s="305"/>
      <c r="AG25" s="310"/>
      <c r="AH25" s="137" t="s">
        <v>64</v>
      </c>
      <c r="AI25" s="138">
        <v>310995</v>
      </c>
      <c r="AJ25" s="138">
        <v>333214</v>
      </c>
      <c r="AK25" s="138">
        <v>439479</v>
      </c>
      <c r="AL25" s="138">
        <v>125237</v>
      </c>
      <c r="AM25" s="138">
        <v>334888</v>
      </c>
      <c r="AN25" s="138">
        <v>1543813</v>
      </c>
      <c r="AO25" s="138">
        <v>83319.099419764854</v>
      </c>
      <c r="AP25" s="138">
        <v>279205.83696797636</v>
      </c>
      <c r="AQ25" s="138">
        <v>344697.35605892492</v>
      </c>
      <c r="AR25" s="138">
        <v>292024.54503436718</v>
      </c>
      <c r="AS25" s="138">
        <v>318582.86115191365</v>
      </c>
      <c r="AT25" s="138">
        <v>327013.05404515739</v>
      </c>
      <c r="AU25" s="138">
        <v>266353.0332994113</v>
      </c>
      <c r="AV25" s="138">
        <v>3455008.7859775159</v>
      </c>
      <c r="AW25" s="138">
        <v>317214.90000000002</v>
      </c>
      <c r="AX25" s="138">
        <v>336436.80000000005</v>
      </c>
      <c r="AY25" s="138">
        <v>448268.57999999996</v>
      </c>
      <c r="AZ25" s="138">
        <v>126786</v>
      </c>
      <c r="BA25" s="138">
        <v>341585.76</v>
      </c>
      <c r="BB25" s="138">
        <v>84985.481408160151</v>
      </c>
      <c r="BC25" s="138">
        <v>284789.95370733587</v>
      </c>
      <c r="BD25" s="138">
        <v>351591.30318010342</v>
      </c>
      <c r="BE25" s="138">
        <v>297865.03593505453</v>
      </c>
      <c r="BF25" s="138">
        <v>324954.51837495191</v>
      </c>
      <c r="BG25" s="138">
        <v>333553.31512606051</v>
      </c>
      <c r="BH25" s="138">
        <v>271680.09396539949</v>
      </c>
      <c r="BI25" s="138">
        <v>3519711.7416970665</v>
      </c>
    </row>
    <row r="26" spans="1:61">
      <c r="A26" s="305"/>
      <c r="B26" s="309" t="s">
        <v>127</v>
      </c>
      <c r="C26" s="135" t="s">
        <v>105</v>
      </c>
      <c r="D26" s="136">
        <v>312</v>
      </c>
      <c r="E26" s="136">
        <v>246</v>
      </c>
      <c r="F26" s="136">
        <v>282</v>
      </c>
      <c r="G26" s="136">
        <v>1032</v>
      </c>
      <c r="H26" s="136">
        <v>294</v>
      </c>
      <c r="I26" s="136">
        <f t="shared" si="14"/>
        <v>2166</v>
      </c>
      <c r="J26" s="136">
        <v>237.10730839323804</v>
      </c>
      <c r="K26" s="136">
        <v>398.09139386361016</v>
      </c>
      <c r="L26" s="136">
        <v>495.2828620672496</v>
      </c>
      <c r="M26" s="136">
        <v>441.42573972085484</v>
      </c>
      <c r="N26" s="136">
        <v>398.66874700210548</v>
      </c>
      <c r="O26" s="136">
        <v>495.60740839290384</v>
      </c>
      <c r="P26" s="136">
        <v>413.41222730146393</v>
      </c>
      <c r="Q26" s="136">
        <f t="shared" si="17"/>
        <v>5045.5956867414261</v>
      </c>
      <c r="R26" s="150">
        <f>'TUNDA IKPP'!AB213</f>
        <v>109.832184</v>
      </c>
      <c r="S26" s="150">
        <f>'TUNDA IKPP'!AC213</f>
        <v>118.984866</v>
      </c>
      <c r="T26" s="150">
        <f>'TUNDA IKPP'!AD213</f>
        <v>141.86657100000002</v>
      </c>
      <c r="U26" s="150">
        <f>'TUNDA IKPP'!AE213</f>
        <v>128.13754800000001</v>
      </c>
      <c r="V26" s="150">
        <f>'TUNDA IKPP'!AF213</f>
        <v>132.71388899999999</v>
      </c>
      <c r="W26" s="150">
        <f>'TUNDA IKPP'!AG213</f>
        <v>118.98486600000001</v>
      </c>
      <c r="X26" s="150">
        <f>'TUNDA IKPP'!AH213</f>
        <v>187.62998100000002</v>
      </c>
      <c r="Y26" s="150">
        <f>'TUNDA IKPP'!AI213</f>
        <v>210.511686</v>
      </c>
      <c r="Z26" s="150">
        <f>'TUNDA IKPP'!AJ213</f>
        <v>187.62998100000002</v>
      </c>
      <c r="AA26" s="150">
        <f>'TUNDA IKPP'!AK213</f>
        <v>205.93534500000001</v>
      </c>
      <c r="AB26" s="150">
        <f>'TUNDA IKPP'!AL213</f>
        <v>201.35900400000003</v>
      </c>
      <c r="AC26" s="150">
        <f>'TUNDA IKPP'!AM213</f>
        <v>178.47729900000002</v>
      </c>
      <c r="AD26" s="136">
        <f t="shared" si="18"/>
        <v>1922.0632200000005</v>
      </c>
      <c r="AF26" s="305"/>
      <c r="AG26" s="309" t="s">
        <v>127</v>
      </c>
      <c r="AH26" s="135" t="s">
        <v>105</v>
      </c>
      <c r="AI26" s="136">
        <v>56</v>
      </c>
      <c r="AJ26" s="136">
        <v>41</v>
      </c>
      <c r="AK26" s="136">
        <v>47</v>
      </c>
      <c r="AL26" s="136">
        <v>172</v>
      </c>
      <c r="AM26" s="136">
        <v>49</v>
      </c>
      <c r="AN26" s="136">
        <v>365</v>
      </c>
      <c r="AO26" s="136">
        <v>39.51788473220634</v>
      </c>
      <c r="AP26" s="136">
        <v>66.348565643935032</v>
      </c>
      <c r="AQ26" s="136">
        <v>82.547143677874928</v>
      </c>
      <c r="AR26" s="136">
        <v>73.570956620142468</v>
      </c>
      <c r="AS26" s="136">
        <v>66.44479116701757</v>
      </c>
      <c r="AT26" s="136">
        <v>82.601234732150644</v>
      </c>
      <c r="AU26" s="136">
        <v>68.902037883577322</v>
      </c>
      <c r="AV26" s="136">
        <v>844.93261445690428</v>
      </c>
      <c r="AW26" s="136">
        <v>57.12</v>
      </c>
      <c r="AX26" s="136">
        <v>41.82</v>
      </c>
      <c r="AY26" s="136">
        <v>47.94</v>
      </c>
      <c r="AZ26" s="136">
        <v>175.44</v>
      </c>
      <c r="BA26" s="136">
        <v>49.98</v>
      </c>
      <c r="BB26" s="136">
        <v>40.30824242685047</v>
      </c>
      <c r="BC26" s="136">
        <v>67.67553695681373</v>
      </c>
      <c r="BD26" s="136">
        <v>84.198086551432425</v>
      </c>
      <c r="BE26" s="136">
        <v>75.042375752545325</v>
      </c>
      <c r="BF26" s="136">
        <v>67.77368699035793</v>
      </c>
      <c r="BG26" s="136">
        <v>84.253259426793647</v>
      </c>
      <c r="BH26" s="136">
        <v>70.280078641248878</v>
      </c>
      <c r="BI26" s="136">
        <v>861.83126674604262</v>
      </c>
    </row>
    <row r="27" spans="1:61">
      <c r="A27" s="306"/>
      <c r="B27" s="310"/>
      <c r="C27" s="137" t="s">
        <v>64</v>
      </c>
      <c r="D27" s="138">
        <v>890604</v>
      </c>
      <c r="E27" s="138">
        <v>605766</v>
      </c>
      <c r="F27" s="138">
        <v>522804</v>
      </c>
      <c r="G27" s="138">
        <v>7547670</v>
      </c>
      <c r="H27" s="138">
        <v>719460</v>
      </c>
      <c r="I27" s="138">
        <f t="shared" si="14"/>
        <v>10286304</v>
      </c>
      <c r="J27" s="138">
        <v>393982.01780572633</v>
      </c>
      <c r="K27" s="138">
        <v>727991.21019363496</v>
      </c>
      <c r="L27" s="138">
        <v>883012.36535878724</v>
      </c>
      <c r="M27" s="138">
        <v>850866.49455407786</v>
      </c>
      <c r="N27" s="138">
        <v>742114.18830415898</v>
      </c>
      <c r="O27" s="138">
        <v>880941.58270630904</v>
      </c>
      <c r="P27" s="138">
        <v>693752.5036163968</v>
      </c>
      <c r="Q27" s="138">
        <f t="shared" si="17"/>
        <v>15458964.362539094</v>
      </c>
      <c r="R27" s="138">
        <f>'TUNDA IKPP'!AB214</f>
        <v>208932.84835500002</v>
      </c>
      <c r="S27" s="138">
        <f>'TUNDA IKPP'!AC214</f>
        <v>315451.76147100003</v>
      </c>
      <c r="T27" s="138">
        <f>'TUNDA IKPP'!AD214</f>
        <v>407303.501682</v>
      </c>
      <c r="U27" s="138">
        <f>'TUNDA IKPP'!AE214</f>
        <v>263684.19207900006</v>
      </c>
      <c r="V27" s="138">
        <f>'TUNDA IKPP'!AF214</f>
        <v>296839.78262399998</v>
      </c>
      <c r="W27" s="138">
        <f>'TUNDA IKPP'!AG214</f>
        <v>368615.11486800003</v>
      </c>
      <c r="X27" s="138">
        <f>'TUNDA IKPP'!AH214</f>
        <v>440605.53513900004</v>
      </c>
      <c r="Y27" s="138">
        <f>'TUNDA IKPP'!AI214</f>
        <v>557032.22652000003</v>
      </c>
      <c r="Z27" s="138">
        <f>'TUNDA IKPP'!AJ214</f>
        <v>496825.88432400004</v>
      </c>
      <c r="AA27" s="138">
        <f>'TUNDA IKPP'!AK214</f>
        <v>482090.06630400004</v>
      </c>
      <c r="AB27" s="138">
        <f>'TUNDA IKPP'!AL214</f>
        <v>488963.73048600001</v>
      </c>
      <c r="AC27" s="138">
        <f>'TUNDA IKPP'!AM214</f>
        <v>474136.38564600004</v>
      </c>
      <c r="AD27" s="138">
        <f t="shared" si="18"/>
        <v>4800481.0294980016</v>
      </c>
      <c r="AF27" s="306"/>
      <c r="AG27" s="310"/>
      <c r="AH27" s="137" t="s">
        <v>64</v>
      </c>
      <c r="AI27" s="138">
        <v>154147</v>
      </c>
      <c r="AJ27" s="138">
        <v>100961</v>
      </c>
      <c r="AK27" s="138">
        <v>87134</v>
      </c>
      <c r="AL27" s="138">
        <v>1257945</v>
      </c>
      <c r="AM27" s="138">
        <v>119910</v>
      </c>
      <c r="AN27" s="138">
        <v>1720097</v>
      </c>
      <c r="AO27" s="138">
        <v>65663.669634287726</v>
      </c>
      <c r="AP27" s="138">
        <v>121331.86836560584</v>
      </c>
      <c r="AQ27" s="138">
        <v>147168.72755979787</v>
      </c>
      <c r="AR27" s="138">
        <v>141811.08242567963</v>
      </c>
      <c r="AS27" s="138">
        <v>123685.69805069316</v>
      </c>
      <c r="AT27" s="138">
        <v>146823.59711771816</v>
      </c>
      <c r="AU27" s="138">
        <v>115625.41726939948</v>
      </c>
      <c r="AV27" s="138">
        <v>2582207.0604231819</v>
      </c>
      <c r="AW27" s="138">
        <v>157229.94</v>
      </c>
      <c r="AX27" s="138">
        <v>102980.22</v>
      </c>
      <c r="AY27" s="138">
        <v>88876.680000000008</v>
      </c>
      <c r="AZ27" s="138">
        <v>1283103.9000000001</v>
      </c>
      <c r="BA27" s="138">
        <v>122308.2</v>
      </c>
      <c r="BB27" s="138">
        <v>66976.943026973488</v>
      </c>
      <c r="BC27" s="138">
        <v>123758.50573291793</v>
      </c>
      <c r="BD27" s="138">
        <v>150112.10211099384</v>
      </c>
      <c r="BE27" s="138">
        <v>144647.30407419323</v>
      </c>
      <c r="BF27" s="138">
        <v>126159.41201170703</v>
      </c>
      <c r="BG27" s="138">
        <v>149760.06906007256</v>
      </c>
      <c r="BH27" s="138">
        <v>117937.92561478745</v>
      </c>
      <c r="BI27" s="138">
        <v>2633851.2016316457</v>
      </c>
    </row>
    <row r="28" spans="1:61">
      <c r="A28" s="304">
        <v>2</v>
      </c>
      <c r="B28" s="307" t="s">
        <v>132</v>
      </c>
      <c r="C28" s="135" t="s">
        <v>105</v>
      </c>
      <c r="D28" s="132">
        <f>D30+D32</f>
        <v>1536.7793286010501</v>
      </c>
      <c r="E28" s="132">
        <f t="shared" ref="E28:H28" si="19">E30+E32</f>
        <v>1309.1083169564499</v>
      </c>
      <c r="F28" s="132">
        <f t="shared" si="19"/>
        <v>1485.8529181016002</v>
      </c>
      <c r="G28" s="132">
        <f t="shared" si="19"/>
        <v>1345.05637142665</v>
      </c>
      <c r="H28" s="132">
        <f t="shared" si="19"/>
        <v>1366.0260698676</v>
      </c>
      <c r="I28" s="132">
        <f t="shared" si="14"/>
        <v>7042.8230049533504</v>
      </c>
      <c r="J28" s="132">
        <f t="shared" ref="J28:P28" si="20">J30+J32</f>
        <v>1033.0783270080003</v>
      </c>
      <c r="K28" s="132">
        <f t="shared" si="20"/>
        <v>1121.6278978944001</v>
      </c>
      <c r="L28" s="132">
        <f t="shared" si="20"/>
        <v>1353.2190832896001</v>
      </c>
      <c r="M28" s="132">
        <f t="shared" si="20"/>
        <v>1475.8261814400003</v>
      </c>
      <c r="N28" s="132">
        <f t="shared" si="20"/>
        <v>1414.5226323648001</v>
      </c>
      <c r="O28" s="132">
        <f t="shared" si="20"/>
        <v>1375.9241014656</v>
      </c>
      <c r="P28" s="132">
        <f t="shared" si="20"/>
        <v>1475.82618144</v>
      </c>
      <c r="Q28" s="132">
        <f t="shared" si="17"/>
        <v>16292.847409855751</v>
      </c>
      <c r="R28" s="132" t="e">
        <f>R30+R32</f>
        <v>#REF!</v>
      </c>
      <c r="S28" s="132" t="e">
        <f t="shared" ref="S28:AC28" si="21">S30+S32</f>
        <v>#REF!</v>
      </c>
      <c r="T28" s="132" t="e">
        <f t="shared" si="21"/>
        <v>#REF!</v>
      </c>
      <c r="U28" s="132" t="e">
        <f t="shared" si="21"/>
        <v>#REF!</v>
      </c>
      <c r="V28" s="132" t="e">
        <f t="shared" si="21"/>
        <v>#REF!</v>
      </c>
      <c r="W28" s="132" t="e">
        <f t="shared" si="21"/>
        <v>#REF!</v>
      </c>
      <c r="X28" s="132" t="e">
        <f t="shared" si="21"/>
        <v>#REF!</v>
      </c>
      <c r="Y28" s="132" t="e">
        <f t="shared" si="21"/>
        <v>#REF!</v>
      </c>
      <c r="Z28" s="132" t="e">
        <f t="shared" si="21"/>
        <v>#REF!</v>
      </c>
      <c r="AA28" s="132" t="e">
        <f t="shared" si="21"/>
        <v>#REF!</v>
      </c>
      <c r="AB28" s="132" t="e">
        <f t="shared" si="21"/>
        <v>#REF!</v>
      </c>
      <c r="AC28" s="132" t="e">
        <f t="shared" si="21"/>
        <v>#REF!</v>
      </c>
      <c r="AD28" s="132" t="e">
        <f t="shared" si="18"/>
        <v>#REF!</v>
      </c>
      <c r="AF28" s="304">
        <v>2</v>
      </c>
      <c r="AG28" s="307" t="s">
        <v>132</v>
      </c>
      <c r="AH28" s="135" t="s">
        <v>105</v>
      </c>
      <c r="AI28" s="132">
        <v>292</v>
      </c>
      <c r="AJ28" s="132">
        <v>250</v>
      </c>
      <c r="AK28" s="132">
        <v>277</v>
      </c>
      <c r="AL28" s="132">
        <v>258</v>
      </c>
      <c r="AM28" s="132">
        <v>264</v>
      </c>
      <c r="AN28" s="132">
        <v>1341</v>
      </c>
      <c r="AO28" s="132">
        <v>255</v>
      </c>
      <c r="AP28" s="132">
        <v>252</v>
      </c>
      <c r="AQ28" s="132">
        <v>323.17494068993238</v>
      </c>
      <c r="AR28" s="132">
        <v>349.02572069627854</v>
      </c>
      <c r="AS28" s="132">
        <v>332.80450864113817</v>
      </c>
      <c r="AT28" s="132">
        <v>328.37651340478965</v>
      </c>
      <c r="AU28" s="132">
        <v>340.25557581126338</v>
      </c>
      <c r="AV28" s="132">
        <v>3521.6372592434022</v>
      </c>
      <c r="AW28" s="132">
        <v>340.75999999999993</v>
      </c>
      <c r="AX28" s="132">
        <v>297.5</v>
      </c>
      <c r="AY28" s="132">
        <v>325.31</v>
      </c>
      <c r="AZ28" s="132">
        <v>305.74</v>
      </c>
      <c r="BA28" s="132">
        <v>311.92</v>
      </c>
      <c r="BB28" s="132">
        <v>302.64999999999998</v>
      </c>
      <c r="BC28" s="132">
        <v>299.56</v>
      </c>
      <c r="BD28" s="132">
        <v>372.87018891063036</v>
      </c>
      <c r="BE28" s="132">
        <v>399.49649231716688</v>
      </c>
      <c r="BF28" s="132">
        <v>382.78864390037228</v>
      </c>
      <c r="BG28" s="132">
        <v>378.2278088069333</v>
      </c>
      <c r="BH28" s="132">
        <v>390.46324308560122</v>
      </c>
      <c r="BI28" s="132">
        <v>4107.2863770207041</v>
      </c>
    </row>
    <row r="29" spans="1:61">
      <c r="A29" s="305"/>
      <c r="B29" s="308"/>
      <c r="C29" s="137" t="s">
        <v>64</v>
      </c>
      <c r="D29" s="134">
        <f>D31+D33</f>
        <v>15586980.556800131</v>
      </c>
      <c r="E29" s="134">
        <f t="shared" ref="E29:H29" si="22">E31+E33</f>
        <v>14832562.703003693</v>
      </c>
      <c r="F29" s="134">
        <f t="shared" si="22"/>
        <v>20957772.673879512</v>
      </c>
      <c r="G29" s="134">
        <f t="shared" si="22"/>
        <v>15794011.393836426</v>
      </c>
      <c r="H29" s="134">
        <f t="shared" si="22"/>
        <v>15096367.500733253</v>
      </c>
      <c r="I29" s="134">
        <f t="shared" si="14"/>
        <v>82267694.828253016</v>
      </c>
      <c r="J29" s="134">
        <f t="shared" ref="J29:P29" si="23">J31+J33</f>
        <v>11372126.223704064</v>
      </c>
      <c r="K29" s="134">
        <f t="shared" si="23"/>
        <v>8625425.3997601513</v>
      </c>
      <c r="L29" s="134">
        <f t="shared" si="23"/>
        <v>7118933.2552435417</v>
      </c>
      <c r="M29" s="134">
        <f t="shared" si="23"/>
        <v>8630681.54268343</v>
      </c>
      <c r="N29" s="134">
        <f t="shared" si="23"/>
        <v>8072121.029517822</v>
      </c>
      <c r="O29" s="134">
        <f t="shared" si="23"/>
        <v>8394700.6590350512</v>
      </c>
      <c r="P29" s="134">
        <f t="shared" si="23"/>
        <v>8304277.8033822943</v>
      </c>
      <c r="Q29" s="134">
        <f t="shared" si="17"/>
        <v>142785960.74157941</v>
      </c>
      <c r="R29" s="134" t="e">
        <f>R31+R33</f>
        <v>#REF!</v>
      </c>
      <c r="S29" s="134" t="e">
        <f t="shared" ref="S29:AC29" si="24">S31+S33</f>
        <v>#REF!</v>
      </c>
      <c r="T29" s="134" t="e">
        <f t="shared" si="24"/>
        <v>#REF!</v>
      </c>
      <c r="U29" s="134" t="e">
        <f t="shared" si="24"/>
        <v>#REF!</v>
      </c>
      <c r="V29" s="134" t="e">
        <f t="shared" si="24"/>
        <v>#REF!</v>
      </c>
      <c r="W29" s="134" t="e">
        <f t="shared" si="24"/>
        <v>#REF!</v>
      </c>
      <c r="X29" s="134" t="e">
        <f t="shared" si="24"/>
        <v>#REF!</v>
      </c>
      <c r="Y29" s="134" t="e">
        <f t="shared" si="24"/>
        <v>#REF!</v>
      </c>
      <c r="Z29" s="134" t="e">
        <f t="shared" si="24"/>
        <v>#REF!</v>
      </c>
      <c r="AA29" s="134" t="e">
        <f t="shared" si="24"/>
        <v>#REF!</v>
      </c>
      <c r="AB29" s="134" t="e">
        <f t="shared" si="24"/>
        <v>#REF!</v>
      </c>
      <c r="AC29" s="134" t="e">
        <f t="shared" si="24"/>
        <v>#REF!</v>
      </c>
      <c r="AD29" s="134" t="e">
        <f t="shared" si="18"/>
        <v>#REF!</v>
      </c>
      <c r="AF29" s="305"/>
      <c r="AG29" s="308"/>
      <c r="AH29" s="137" t="s">
        <v>64</v>
      </c>
      <c r="AI29" s="134">
        <v>2718105</v>
      </c>
      <c r="AJ29" s="134">
        <v>2575912</v>
      </c>
      <c r="AK29" s="134">
        <v>3591621</v>
      </c>
      <c r="AL29" s="134">
        <v>2743511</v>
      </c>
      <c r="AM29" s="134">
        <v>2631934</v>
      </c>
      <c r="AN29" s="134">
        <v>14261083</v>
      </c>
      <c r="AO29" s="134">
        <v>2594157</v>
      </c>
      <c r="AP29" s="134">
        <v>2512076</v>
      </c>
      <c r="AQ29" s="134">
        <v>2332269.0370813049</v>
      </c>
      <c r="AR29" s="134">
        <v>2541234.5742530357</v>
      </c>
      <c r="AS29" s="134">
        <v>2290931.0689002373</v>
      </c>
      <c r="AT29" s="134">
        <v>2431265.3278055703</v>
      </c>
      <c r="AU29" s="134">
        <v>2445923.5732512027</v>
      </c>
      <c r="AV29" s="134">
        <v>31408939.581291351</v>
      </c>
      <c r="AW29" s="134">
        <v>3044657.1833333336</v>
      </c>
      <c r="AX29" s="134">
        <v>2898198.3933333335</v>
      </c>
      <c r="AY29" s="134">
        <v>3932533.1606933335</v>
      </c>
      <c r="AZ29" s="134">
        <v>3070825.3633333333</v>
      </c>
      <c r="BA29" s="134">
        <v>2955901.0533333337</v>
      </c>
      <c r="BB29" s="134">
        <v>2981634.5475858133</v>
      </c>
      <c r="BC29" s="134">
        <v>2497316.9424224459</v>
      </c>
      <c r="BD29" s="134">
        <v>2647246.1415270772</v>
      </c>
      <c r="BE29" s="134">
        <v>2862480.6448139595</v>
      </c>
      <c r="BF29" s="134">
        <v>2604668.0343005774</v>
      </c>
      <c r="BG29" s="134">
        <v>2749212.3209730708</v>
      </c>
      <c r="BH29" s="134">
        <v>2764310.3137820722</v>
      </c>
      <c r="BI29" s="134">
        <v>35008984.099431679</v>
      </c>
    </row>
    <row r="30" spans="1:61">
      <c r="A30" s="305"/>
      <c r="B30" s="309" t="s">
        <v>126</v>
      </c>
      <c r="C30" s="135" t="s">
        <v>105</v>
      </c>
      <c r="D30" s="136">
        <v>317.54114782010004</v>
      </c>
      <c r="E30" s="136">
        <v>275.60175093819998</v>
      </c>
      <c r="F30" s="136">
        <v>377.45457193710001</v>
      </c>
      <c r="G30" s="136">
        <v>245.6450388797</v>
      </c>
      <c r="H30" s="136">
        <v>239.65369646799999</v>
      </c>
      <c r="I30" s="136">
        <f t="shared" si="14"/>
        <v>1455.8962060430999</v>
      </c>
      <c r="J30" s="136">
        <v>190.72215267840002</v>
      </c>
      <c r="K30" s="136">
        <v>222.50917812480003</v>
      </c>
      <c r="L30" s="136">
        <v>267.91921447680005</v>
      </c>
      <c r="M30" s="136">
        <v>254.29620357120001</v>
      </c>
      <c r="N30" s="136">
        <v>272.46021811199995</v>
      </c>
      <c r="O30" s="136">
        <v>240.6731926656</v>
      </c>
      <c r="P30" s="136">
        <v>290.6242326528</v>
      </c>
      <c r="Q30" s="136">
        <f t="shared" si="17"/>
        <v>3195.1005983246996</v>
      </c>
      <c r="R30" s="136" t="e">
        <f>#REF!</f>
        <v>#REF!</v>
      </c>
      <c r="S30" s="136" t="e">
        <f>#REF!</f>
        <v>#REF!</v>
      </c>
      <c r="T30" s="136" t="e">
        <f>#REF!</f>
        <v>#REF!</v>
      </c>
      <c r="U30" s="136" t="e">
        <f>#REF!</f>
        <v>#REF!</v>
      </c>
      <c r="V30" s="136" t="e">
        <f>#REF!</f>
        <v>#REF!</v>
      </c>
      <c r="W30" s="136" t="e">
        <f>#REF!</f>
        <v>#REF!</v>
      </c>
      <c r="X30" s="136" t="e">
        <f>#REF!</f>
        <v>#REF!</v>
      </c>
      <c r="Y30" s="136" t="e">
        <f>#REF!</f>
        <v>#REF!</v>
      </c>
      <c r="Z30" s="136" t="e">
        <f>#REF!</f>
        <v>#REF!</v>
      </c>
      <c r="AA30" s="136" t="e">
        <f>#REF!</f>
        <v>#REF!</v>
      </c>
      <c r="AB30" s="136" t="e">
        <f>#REF!</f>
        <v>#REF!</v>
      </c>
      <c r="AC30" s="136" t="e">
        <f>#REF!</f>
        <v>#REF!</v>
      </c>
      <c r="AD30" s="136" t="e">
        <f t="shared" si="18"/>
        <v>#REF!</v>
      </c>
      <c r="AF30" s="305"/>
      <c r="AG30" s="309" t="s">
        <v>126</v>
      </c>
      <c r="AH30" s="135" t="s">
        <v>105</v>
      </c>
      <c r="AI30" s="136">
        <v>53</v>
      </c>
      <c r="AJ30" s="136">
        <v>46</v>
      </c>
      <c r="AK30" s="136">
        <v>63</v>
      </c>
      <c r="AL30" s="136">
        <v>41</v>
      </c>
      <c r="AM30" s="136">
        <v>40</v>
      </c>
      <c r="AN30" s="136">
        <v>243</v>
      </c>
      <c r="AO30" s="136">
        <v>42</v>
      </c>
      <c r="AP30" s="136">
        <v>48</v>
      </c>
      <c r="AQ30" s="136">
        <v>58.286965031931985</v>
      </c>
      <c r="AR30" s="136">
        <v>59.604584203043338</v>
      </c>
      <c r="AS30" s="136">
        <v>59.082527378664722</v>
      </c>
      <c r="AT30" s="136">
        <v>55.547405402174036</v>
      </c>
      <c r="AU30" s="136">
        <v>57.423255494534146</v>
      </c>
      <c r="AV30" s="136">
        <v>622.9447375103482</v>
      </c>
      <c r="AW30" s="136">
        <v>54.589999999999996</v>
      </c>
      <c r="AX30" s="136">
        <v>47.38</v>
      </c>
      <c r="AY30" s="136">
        <v>64.89</v>
      </c>
      <c r="AZ30" s="136">
        <v>42.230000000000004</v>
      </c>
      <c r="BA30" s="136">
        <v>41.2</v>
      </c>
      <c r="BB30" s="136">
        <v>43.260000000000005</v>
      </c>
      <c r="BC30" s="136">
        <v>49.44</v>
      </c>
      <c r="BD30" s="136">
        <v>60.03557398288995</v>
      </c>
      <c r="BE30" s="136">
        <v>61.392721729134635</v>
      </c>
      <c r="BF30" s="136">
        <v>60.855003200024662</v>
      </c>
      <c r="BG30" s="136">
        <v>57.213827564239253</v>
      </c>
      <c r="BH30" s="136">
        <v>59.145953159370166</v>
      </c>
      <c r="BI30" s="136">
        <v>641.63307963565865</v>
      </c>
    </row>
    <row r="31" spans="1:61">
      <c r="A31" s="305"/>
      <c r="B31" s="310"/>
      <c r="C31" s="137" t="s">
        <v>64</v>
      </c>
      <c r="D31" s="138">
        <v>6271012.284135744</v>
      </c>
      <c r="E31" s="138">
        <v>4656357.4868674185</v>
      </c>
      <c r="F31" s="138">
        <v>9797115.0077207796</v>
      </c>
      <c r="G31" s="138">
        <v>4898084.1878098659</v>
      </c>
      <c r="H31" s="138">
        <v>4014469.0262475261</v>
      </c>
      <c r="I31" s="138">
        <f t="shared" si="14"/>
        <v>29637037.992781334</v>
      </c>
      <c r="J31" s="138">
        <v>3286256.2157397117</v>
      </c>
      <c r="K31" s="138">
        <v>2924647.0142614655</v>
      </c>
      <c r="L31" s="138">
        <v>2141770.6879100264</v>
      </c>
      <c r="M31" s="138">
        <v>3181842.352023486</v>
      </c>
      <c r="N31" s="138">
        <v>3038241.945258236</v>
      </c>
      <c r="O31" s="138">
        <v>2345199.95071851</v>
      </c>
      <c r="P31" s="138">
        <v>2676617.0913129444</v>
      </c>
      <c r="Q31" s="138">
        <f>SUM(I31:P31)</f>
        <v>49231613.250005715</v>
      </c>
      <c r="R31" s="138" t="e">
        <f>#REF!</f>
        <v>#REF!</v>
      </c>
      <c r="S31" s="138" t="e">
        <f>#REF!</f>
        <v>#REF!</v>
      </c>
      <c r="T31" s="138" t="e">
        <f>#REF!</f>
        <v>#REF!</v>
      </c>
      <c r="U31" s="138" t="e">
        <f>#REF!</f>
        <v>#REF!</v>
      </c>
      <c r="V31" s="138" t="e">
        <f>#REF!</f>
        <v>#REF!</v>
      </c>
      <c r="W31" s="138" t="e">
        <f>#REF!</f>
        <v>#REF!</v>
      </c>
      <c r="X31" s="138" t="e">
        <f>#REF!</f>
        <v>#REF!</v>
      </c>
      <c r="Y31" s="138" t="e">
        <f>#REF!</f>
        <v>#REF!</v>
      </c>
      <c r="Z31" s="138" t="e">
        <f>#REF!</f>
        <v>#REF!</v>
      </c>
      <c r="AA31" s="138" t="e">
        <f>#REF!</f>
        <v>#REF!</v>
      </c>
      <c r="AB31" s="138" t="e">
        <f>#REF!</f>
        <v>#REF!</v>
      </c>
      <c r="AC31" s="138" t="e">
        <f>#REF!</f>
        <v>#REF!</v>
      </c>
      <c r="AD31" s="138" t="e">
        <f t="shared" si="18"/>
        <v>#REF!</v>
      </c>
      <c r="AF31" s="305"/>
      <c r="AG31" s="310"/>
      <c r="AH31" s="137" t="s">
        <v>64</v>
      </c>
      <c r="AI31" s="138">
        <v>1046679</v>
      </c>
      <c r="AJ31" s="138">
        <v>777181</v>
      </c>
      <c r="AK31" s="138">
        <v>1635212</v>
      </c>
      <c r="AL31" s="138">
        <v>817527</v>
      </c>
      <c r="AM31" s="138">
        <v>670045</v>
      </c>
      <c r="AN31" s="138">
        <v>4946644</v>
      </c>
      <c r="AO31" s="138">
        <v>723685</v>
      </c>
      <c r="AP31" s="138">
        <v>673088</v>
      </c>
      <c r="AQ31" s="138">
        <v>771351.54450895172</v>
      </c>
      <c r="AR31" s="138">
        <v>857478.32182262675</v>
      </c>
      <c r="AS31" s="138">
        <v>669068.37988567748</v>
      </c>
      <c r="AT31" s="138">
        <v>789965.413054795</v>
      </c>
      <c r="AU31" s="138">
        <v>781963.37173376803</v>
      </c>
      <c r="AV31" s="138">
        <v>10213244.03100582</v>
      </c>
      <c r="AW31" s="138">
        <v>1078079.3699999999</v>
      </c>
      <c r="AX31" s="138">
        <v>800496.43</v>
      </c>
      <c r="AY31" s="138">
        <v>1684268.36</v>
      </c>
      <c r="AZ31" s="138">
        <v>842052.80999999982</v>
      </c>
      <c r="BA31" s="138">
        <v>690146.35</v>
      </c>
      <c r="BB31" s="138">
        <v>745395.54999999993</v>
      </c>
      <c r="BC31" s="138">
        <v>693280.64</v>
      </c>
      <c r="BD31" s="138">
        <v>794492.09084422013</v>
      </c>
      <c r="BE31" s="138">
        <v>883202.6714773057</v>
      </c>
      <c r="BF31" s="138">
        <v>689140.43128224777</v>
      </c>
      <c r="BG31" s="138">
        <v>813664.37544643891</v>
      </c>
      <c r="BH31" s="138">
        <v>805422.27288578101</v>
      </c>
      <c r="BI31" s="138">
        <v>10519641.351935992</v>
      </c>
    </row>
    <row r="32" spans="1:61">
      <c r="A32" s="305"/>
      <c r="B32" s="309" t="s">
        <v>127</v>
      </c>
      <c r="C32" s="135" t="s">
        <v>105</v>
      </c>
      <c r="D32" s="136">
        <v>1219.23818078095</v>
      </c>
      <c r="E32" s="136">
        <v>1033.5065660182499</v>
      </c>
      <c r="F32" s="136">
        <v>1108.3983461645</v>
      </c>
      <c r="G32" s="136">
        <v>1099.41133254695</v>
      </c>
      <c r="H32" s="136">
        <v>1126.3723733996001</v>
      </c>
      <c r="I32" s="136">
        <f t="shared" si="14"/>
        <v>5586.92679891025</v>
      </c>
      <c r="J32" s="136">
        <v>842.35617432960021</v>
      </c>
      <c r="K32" s="136">
        <v>899.11871976960003</v>
      </c>
      <c r="L32" s="136">
        <v>1085.2998688128</v>
      </c>
      <c r="M32" s="136">
        <v>1221.5299778688002</v>
      </c>
      <c r="N32" s="136">
        <v>1142.0624142528002</v>
      </c>
      <c r="O32" s="136">
        <v>1135.2509087999999</v>
      </c>
      <c r="P32" s="136">
        <v>1185.2019487872001</v>
      </c>
      <c r="Q32" s="136">
        <f t="shared" ref="Q32:Q35" si="25">SUM(I32:P32)</f>
        <v>13097.746811531051</v>
      </c>
      <c r="R32" s="150" t="e">
        <f>#REF!</f>
        <v>#REF!</v>
      </c>
      <c r="S32" s="150" t="e">
        <f>#REF!</f>
        <v>#REF!</v>
      </c>
      <c r="T32" s="150" t="e">
        <f>#REF!</f>
        <v>#REF!</v>
      </c>
      <c r="U32" s="150" t="e">
        <f>#REF!</f>
        <v>#REF!</v>
      </c>
      <c r="V32" s="150" t="e">
        <f>#REF!</f>
        <v>#REF!</v>
      </c>
      <c r="W32" s="150" t="e">
        <f>#REF!</f>
        <v>#REF!</v>
      </c>
      <c r="X32" s="150" t="e">
        <f>#REF!</f>
        <v>#REF!</v>
      </c>
      <c r="Y32" s="150" t="e">
        <f>#REF!</f>
        <v>#REF!</v>
      </c>
      <c r="Z32" s="150" t="e">
        <f>#REF!</f>
        <v>#REF!</v>
      </c>
      <c r="AA32" s="150" t="e">
        <f>#REF!</f>
        <v>#REF!</v>
      </c>
      <c r="AB32" s="150" t="e">
        <f>#REF!</f>
        <v>#REF!</v>
      </c>
      <c r="AC32" s="150" t="e">
        <f>#REF!</f>
        <v>#REF!</v>
      </c>
      <c r="AD32" s="136" t="e">
        <f t="shared" si="18"/>
        <v>#REF!</v>
      </c>
      <c r="AF32" s="305"/>
      <c r="AG32" s="309" t="s">
        <v>127</v>
      </c>
      <c r="AH32" s="135" t="s">
        <v>105</v>
      </c>
      <c r="AI32" s="136">
        <v>239</v>
      </c>
      <c r="AJ32" s="136">
        <v>204</v>
      </c>
      <c r="AK32" s="136">
        <v>214</v>
      </c>
      <c r="AL32" s="136">
        <v>217</v>
      </c>
      <c r="AM32" s="136">
        <v>224</v>
      </c>
      <c r="AN32" s="136">
        <v>1098</v>
      </c>
      <c r="AO32" s="136">
        <v>213</v>
      </c>
      <c r="AP32" s="136">
        <v>204</v>
      </c>
      <c r="AQ32" s="136">
        <v>264.88797565800041</v>
      </c>
      <c r="AR32" s="136">
        <v>289.42113649323522</v>
      </c>
      <c r="AS32" s="136">
        <v>273.72198126247343</v>
      </c>
      <c r="AT32" s="136">
        <v>272.82910800261561</v>
      </c>
      <c r="AU32" s="136">
        <v>282.83232031672924</v>
      </c>
      <c r="AV32" s="136">
        <v>2898.692521733054</v>
      </c>
      <c r="AW32" s="136">
        <v>286.16999999999996</v>
      </c>
      <c r="AX32" s="136">
        <v>250.12</v>
      </c>
      <c r="AY32" s="136">
        <v>260.42</v>
      </c>
      <c r="AZ32" s="136">
        <v>263.51</v>
      </c>
      <c r="BA32" s="136">
        <v>270.72000000000003</v>
      </c>
      <c r="BB32" s="136">
        <v>259.39</v>
      </c>
      <c r="BC32" s="136">
        <v>250.12</v>
      </c>
      <c r="BD32" s="136">
        <v>312.8346149277404</v>
      </c>
      <c r="BE32" s="136">
        <v>338.10377058803226</v>
      </c>
      <c r="BF32" s="136">
        <v>321.93364070034761</v>
      </c>
      <c r="BG32" s="136">
        <v>321.01398124269406</v>
      </c>
      <c r="BH32" s="136">
        <v>331.31728992623107</v>
      </c>
      <c r="BI32" s="136">
        <v>3465.6532973850453</v>
      </c>
    </row>
    <row r="33" spans="1:61">
      <c r="A33" s="306"/>
      <c r="B33" s="310"/>
      <c r="C33" s="137" t="s">
        <v>64</v>
      </c>
      <c r="D33" s="138">
        <v>9315968.2726643868</v>
      </c>
      <c r="E33" s="138">
        <v>10176205.216136275</v>
      </c>
      <c r="F33" s="138">
        <v>11160657.66615873</v>
      </c>
      <c r="G33" s="138">
        <v>10895927.20602656</v>
      </c>
      <c r="H33" s="138">
        <v>11081898.474485727</v>
      </c>
      <c r="I33" s="138">
        <f t="shared" si="14"/>
        <v>52630656.835471675</v>
      </c>
      <c r="J33" s="138">
        <v>8085870.0079643531</v>
      </c>
      <c r="K33" s="138">
        <v>5700778.3854986858</v>
      </c>
      <c r="L33" s="138">
        <v>4977162.5673335157</v>
      </c>
      <c r="M33" s="138">
        <v>5448839.190659944</v>
      </c>
      <c r="N33" s="138">
        <v>5033879.0842595864</v>
      </c>
      <c r="O33" s="138">
        <v>6049500.7083165413</v>
      </c>
      <c r="P33" s="138">
        <v>5627660.7120693494</v>
      </c>
      <c r="Q33" s="138">
        <f t="shared" si="25"/>
        <v>93554347.491573632</v>
      </c>
      <c r="R33" s="138" t="e">
        <f>#REF!</f>
        <v>#REF!</v>
      </c>
      <c r="S33" s="138" t="e">
        <f>#REF!</f>
        <v>#REF!</v>
      </c>
      <c r="T33" s="138" t="e">
        <f>#REF!</f>
        <v>#REF!</v>
      </c>
      <c r="U33" s="138" t="e">
        <f>#REF!</f>
        <v>#REF!</v>
      </c>
      <c r="V33" s="138" t="e">
        <f>#REF!</f>
        <v>#REF!</v>
      </c>
      <c r="W33" s="138" t="e">
        <f>#REF!</f>
        <v>#REF!</v>
      </c>
      <c r="X33" s="138" t="e">
        <f>#REF!</f>
        <v>#REF!</v>
      </c>
      <c r="Y33" s="138" t="e">
        <f>#REF!</f>
        <v>#REF!</v>
      </c>
      <c r="Z33" s="138" t="e">
        <f>#REF!</f>
        <v>#REF!</v>
      </c>
      <c r="AA33" s="138" t="e">
        <f>#REF!</f>
        <v>#REF!</v>
      </c>
      <c r="AB33" s="138" t="e">
        <f>#REF!</f>
        <v>#REF!</v>
      </c>
      <c r="AC33" s="138" t="e">
        <f>#REF!</f>
        <v>#REF!</v>
      </c>
      <c r="AD33" s="138" t="e">
        <f t="shared" si="18"/>
        <v>#REF!</v>
      </c>
      <c r="AF33" s="306"/>
      <c r="AG33" s="310"/>
      <c r="AH33" s="137" t="s">
        <v>64</v>
      </c>
      <c r="AI33" s="138">
        <v>1671426</v>
      </c>
      <c r="AJ33" s="138">
        <v>1798731</v>
      </c>
      <c r="AK33" s="138">
        <v>1956409</v>
      </c>
      <c r="AL33" s="138">
        <v>1925984</v>
      </c>
      <c r="AM33" s="138">
        <v>1961889</v>
      </c>
      <c r="AN33" s="138">
        <v>9314439</v>
      </c>
      <c r="AO33" s="138">
        <v>1870472</v>
      </c>
      <c r="AP33" s="138">
        <v>1838988</v>
      </c>
      <c r="AQ33" s="138">
        <v>1560917.4925723532</v>
      </c>
      <c r="AR33" s="138">
        <v>1683756.2524304087</v>
      </c>
      <c r="AS33" s="138">
        <v>1621862.6890145598</v>
      </c>
      <c r="AT33" s="138">
        <v>1641299.9147507753</v>
      </c>
      <c r="AU33" s="138">
        <v>1663960.2015174348</v>
      </c>
      <c r="AV33" s="138">
        <v>21195695.550285533</v>
      </c>
      <c r="AW33" s="138">
        <v>1966577.8133333335</v>
      </c>
      <c r="AX33" s="138">
        <v>2097701.9633333334</v>
      </c>
      <c r="AY33" s="138">
        <v>2248264.8006933336</v>
      </c>
      <c r="AZ33" s="138">
        <v>2228772.5533333332</v>
      </c>
      <c r="BA33" s="138">
        <v>2265754.7033333336</v>
      </c>
      <c r="BB33" s="138">
        <v>2236238.9975858135</v>
      </c>
      <c r="BC33" s="138">
        <v>1804036.302422446</v>
      </c>
      <c r="BD33" s="138">
        <v>1852754.0506828572</v>
      </c>
      <c r="BE33" s="138">
        <v>1979277.973336654</v>
      </c>
      <c r="BF33" s="138">
        <v>1915527.6030183297</v>
      </c>
      <c r="BG33" s="138">
        <v>1935547.945526632</v>
      </c>
      <c r="BH33" s="138">
        <v>1958888.0408962911</v>
      </c>
      <c r="BI33" s="138">
        <v>24489342.747495692</v>
      </c>
    </row>
    <row r="34" spans="1:61">
      <c r="A34" s="301" t="s">
        <v>130</v>
      </c>
      <c r="B34" s="301"/>
      <c r="C34" s="139" t="s">
        <v>105</v>
      </c>
      <c r="D34" s="140">
        <f t="shared" ref="D34:P34" si="26">D22+D28</f>
        <v>1944.7793286010501</v>
      </c>
      <c r="E34" s="140">
        <f t="shared" si="26"/>
        <v>1645.1083169564499</v>
      </c>
      <c r="F34" s="140">
        <f t="shared" si="26"/>
        <v>1863.8529181016002</v>
      </c>
      <c r="G34" s="140">
        <f t="shared" si="26"/>
        <v>2425.05637142665</v>
      </c>
      <c r="H34" s="140">
        <f t="shared" si="26"/>
        <v>1744.0260698676</v>
      </c>
      <c r="I34" s="140">
        <f t="shared" si="26"/>
        <v>9622.8230049533504</v>
      </c>
      <c r="J34" s="140">
        <f t="shared" si="26"/>
        <v>1303.894472895377</v>
      </c>
      <c r="K34" s="140">
        <f t="shared" si="26"/>
        <v>1634.8692932308909</v>
      </c>
      <c r="L34" s="140">
        <f t="shared" si="26"/>
        <v>1975.2451373889658</v>
      </c>
      <c r="M34" s="140">
        <f t="shared" si="26"/>
        <v>2034.4213976200936</v>
      </c>
      <c r="N34" s="140">
        <f t="shared" si="26"/>
        <v>1931.5430412275557</v>
      </c>
      <c r="O34" s="140">
        <f t="shared" si="26"/>
        <v>1991.7664254225374</v>
      </c>
      <c r="P34" s="140">
        <f t="shared" si="26"/>
        <v>1988.1500450063904</v>
      </c>
      <c r="Q34" s="140">
        <f t="shared" si="25"/>
        <v>22482.712817745163</v>
      </c>
      <c r="R34" s="140" t="e">
        <f t="shared" ref="R34:AC34" si="27">R22+R28</f>
        <v>#REF!</v>
      </c>
      <c r="S34" s="140" t="e">
        <f t="shared" si="27"/>
        <v>#REF!</v>
      </c>
      <c r="T34" s="140" t="e">
        <f t="shared" si="27"/>
        <v>#REF!</v>
      </c>
      <c r="U34" s="140" t="e">
        <f t="shared" si="27"/>
        <v>#REF!</v>
      </c>
      <c r="V34" s="140" t="e">
        <f t="shared" si="27"/>
        <v>#REF!</v>
      </c>
      <c r="W34" s="140" t="e">
        <f t="shared" si="27"/>
        <v>#REF!</v>
      </c>
      <c r="X34" s="140" t="e">
        <f t="shared" si="27"/>
        <v>#REF!</v>
      </c>
      <c r="Y34" s="140" t="e">
        <f t="shared" si="27"/>
        <v>#REF!</v>
      </c>
      <c r="Z34" s="140" t="e">
        <f t="shared" si="27"/>
        <v>#REF!</v>
      </c>
      <c r="AA34" s="140" t="e">
        <f t="shared" si="27"/>
        <v>#REF!</v>
      </c>
      <c r="AB34" s="140" t="e">
        <f t="shared" si="27"/>
        <v>#REF!</v>
      </c>
      <c r="AC34" s="140" t="e">
        <f t="shared" si="27"/>
        <v>#REF!</v>
      </c>
      <c r="AD34" s="140" t="e">
        <f>SUM(R34:AC34)</f>
        <v>#REF!</v>
      </c>
      <c r="AF34" s="301" t="s">
        <v>130</v>
      </c>
      <c r="AG34" s="301"/>
      <c r="AH34" s="139" t="s">
        <v>105</v>
      </c>
      <c r="AI34" s="140">
        <v>364</v>
      </c>
      <c r="AJ34" s="140">
        <v>308</v>
      </c>
      <c r="AK34" s="140">
        <v>340</v>
      </c>
      <c r="AL34" s="140">
        <v>440</v>
      </c>
      <c r="AM34" s="140">
        <v>327</v>
      </c>
      <c r="AN34" s="140">
        <v>1779</v>
      </c>
      <c r="AO34" s="140">
        <v>300.1360243145628</v>
      </c>
      <c r="AP34" s="140">
        <v>337.54023255608183</v>
      </c>
      <c r="AQ34" s="140">
        <v>426.84594970649334</v>
      </c>
      <c r="AR34" s="140">
        <v>442.1249233929608</v>
      </c>
      <c r="AS34" s="140">
        <v>418.97457678493078</v>
      </c>
      <c r="AT34" s="140">
        <v>431.01690073094591</v>
      </c>
      <c r="AU34" s="140">
        <v>425.64288640566178</v>
      </c>
      <c r="AV34" s="140">
        <v>4561.2814938916363</v>
      </c>
      <c r="AW34" s="140">
        <v>414.19999999999993</v>
      </c>
      <c r="AX34" s="140">
        <v>354.62</v>
      </c>
      <c r="AY34" s="140">
        <v>389.57</v>
      </c>
      <c r="AZ34" s="140">
        <v>489.34000000000003</v>
      </c>
      <c r="BA34" s="140">
        <v>376.18</v>
      </c>
      <c r="BB34" s="140">
        <v>348.68874480085401</v>
      </c>
      <c r="BC34" s="140">
        <v>386.81103720720341</v>
      </c>
      <c r="BD34" s="140">
        <v>478.61461810752252</v>
      </c>
      <c r="BE34" s="140">
        <v>494.45767906778281</v>
      </c>
      <c r="BF34" s="140">
        <v>470.68211340704073</v>
      </c>
      <c r="BG34" s="140">
        <v>482.92100387961267</v>
      </c>
      <c r="BH34" s="140">
        <v>477.5582998918876</v>
      </c>
      <c r="BI34" s="140">
        <v>5163.6434963619031</v>
      </c>
    </row>
    <row r="35" spans="1:61">
      <c r="A35" s="302"/>
      <c r="B35" s="302"/>
      <c r="C35" s="141" t="s">
        <v>64</v>
      </c>
      <c r="D35" s="142">
        <f t="shared" ref="D35:P35" si="28">D23+D29</f>
        <v>18343554.556800131</v>
      </c>
      <c r="E35" s="142">
        <f t="shared" si="28"/>
        <v>17417368.703003693</v>
      </c>
      <c r="F35" s="142">
        <f t="shared" si="28"/>
        <v>24117450.673879512</v>
      </c>
      <c r="G35" s="142">
        <f t="shared" si="28"/>
        <v>24087481.393836424</v>
      </c>
      <c r="H35" s="142">
        <f t="shared" si="28"/>
        <v>17825155.500733253</v>
      </c>
      <c r="I35" s="142">
        <f t="shared" si="28"/>
        <v>101791010.82825302</v>
      </c>
      <c r="J35" s="142">
        <f t="shared" si="28"/>
        <v>12266022.838028379</v>
      </c>
      <c r="K35" s="142">
        <f t="shared" si="28"/>
        <v>11028651.631761644</v>
      </c>
      <c r="L35" s="142">
        <f t="shared" si="28"/>
        <v>10070129.756955879</v>
      </c>
      <c r="M35" s="142">
        <f t="shared" si="28"/>
        <v>11233695.307443712</v>
      </c>
      <c r="N35" s="142">
        <f t="shared" si="28"/>
        <v>10725732.384733463</v>
      </c>
      <c r="O35" s="142">
        <f t="shared" si="28"/>
        <v>11237720.566012304</v>
      </c>
      <c r="P35" s="142">
        <f t="shared" si="28"/>
        <v>10596148.506795159</v>
      </c>
      <c r="Q35" s="142">
        <f t="shared" si="25"/>
        <v>178949111.81998357</v>
      </c>
      <c r="R35" s="142" t="e">
        <f t="shared" ref="R35:AC35" si="29">R23+R29</f>
        <v>#REF!</v>
      </c>
      <c r="S35" s="142" t="e">
        <f t="shared" si="29"/>
        <v>#REF!</v>
      </c>
      <c r="T35" s="142" t="e">
        <f t="shared" si="29"/>
        <v>#REF!</v>
      </c>
      <c r="U35" s="142" t="e">
        <f t="shared" si="29"/>
        <v>#REF!</v>
      </c>
      <c r="V35" s="142" t="e">
        <f t="shared" si="29"/>
        <v>#REF!</v>
      </c>
      <c r="W35" s="142" t="e">
        <f t="shared" si="29"/>
        <v>#REF!</v>
      </c>
      <c r="X35" s="142" t="e">
        <f t="shared" si="29"/>
        <v>#REF!</v>
      </c>
      <c r="Y35" s="142" t="e">
        <f t="shared" si="29"/>
        <v>#REF!</v>
      </c>
      <c r="Z35" s="142" t="e">
        <f t="shared" si="29"/>
        <v>#REF!</v>
      </c>
      <c r="AA35" s="142" t="e">
        <f t="shared" si="29"/>
        <v>#REF!</v>
      </c>
      <c r="AB35" s="142" t="e">
        <f t="shared" si="29"/>
        <v>#REF!</v>
      </c>
      <c r="AC35" s="142" t="e">
        <f t="shared" si="29"/>
        <v>#REF!</v>
      </c>
      <c r="AD35" s="142" t="e">
        <f>SUM(R35:AC35)</f>
        <v>#REF!</v>
      </c>
      <c r="AF35" s="302"/>
      <c r="AG35" s="302"/>
      <c r="AH35" s="141" t="s">
        <v>64</v>
      </c>
      <c r="AI35" s="142">
        <v>3183247</v>
      </c>
      <c r="AJ35" s="142">
        <v>3010087</v>
      </c>
      <c r="AK35" s="142">
        <v>4118234</v>
      </c>
      <c r="AL35" s="142">
        <v>4126693</v>
      </c>
      <c r="AM35" s="142">
        <v>3086732</v>
      </c>
      <c r="AN35" s="142">
        <v>17524993</v>
      </c>
      <c r="AO35" s="142">
        <v>2743139.7690540524</v>
      </c>
      <c r="AP35" s="142">
        <v>2912613.7053335821</v>
      </c>
      <c r="AQ35" s="142">
        <v>2824135.1207000278</v>
      </c>
      <c r="AR35" s="142">
        <v>2975070.2017130824</v>
      </c>
      <c r="AS35" s="142">
        <v>2733199.6281028441</v>
      </c>
      <c r="AT35" s="142">
        <v>2905101.9789684461</v>
      </c>
      <c r="AU35" s="142">
        <v>2827902.0238200137</v>
      </c>
      <c r="AV35" s="142">
        <v>37446155.427692048</v>
      </c>
      <c r="AW35" s="142">
        <v>3519102.0233333334</v>
      </c>
      <c r="AX35" s="142">
        <v>3337615.4133333336</v>
      </c>
      <c r="AY35" s="142">
        <v>4469678.4206933333</v>
      </c>
      <c r="AZ35" s="142">
        <v>4480715.2633333337</v>
      </c>
      <c r="BA35" s="142">
        <v>3419795.0133333337</v>
      </c>
      <c r="BB35" s="142">
        <v>3133596.9720209469</v>
      </c>
      <c r="BC35" s="142">
        <v>2905865.4018626995</v>
      </c>
      <c r="BD35" s="142">
        <v>3148949.5468181744</v>
      </c>
      <c r="BE35" s="142">
        <v>3304992.9848232074</v>
      </c>
      <c r="BF35" s="142">
        <v>3055781.9646872361</v>
      </c>
      <c r="BG35" s="142">
        <v>3232525.7051592041</v>
      </c>
      <c r="BH35" s="142">
        <v>3153928.333362259</v>
      </c>
      <c r="BI35" s="142">
        <v>41162547.042760395</v>
      </c>
    </row>
  </sheetData>
  <mergeCells count="38">
    <mergeCell ref="AG3:AG4"/>
    <mergeCell ref="B5:B6"/>
    <mergeCell ref="AG5:AG6"/>
    <mergeCell ref="B7:B8"/>
    <mergeCell ref="AG7:AG8"/>
    <mergeCell ref="D1:P1"/>
    <mergeCell ref="R1:AD1"/>
    <mergeCell ref="A3:A8"/>
    <mergeCell ref="B3:B4"/>
    <mergeCell ref="AF3:AF8"/>
    <mergeCell ref="A9:A14"/>
    <mergeCell ref="B9:B10"/>
    <mergeCell ref="AF9:AF14"/>
    <mergeCell ref="AG9:AG10"/>
    <mergeCell ref="B11:B12"/>
    <mergeCell ref="AG11:AG12"/>
    <mergeCell ref="B13:B14"/>
    <mergeCell ref="AG13:AG14"/>
    <mergeCell ref="A15:B16"/>
    <mergeCell ref="AF15:AG16"/>
    <mergeCell ref="A22:A27"/>
    <mergeCell ref="B22:B23"/>
    <mergeCell ref="AF22:AF27"/>
    <mergeCell ref="AG22:AG23"/>
    <mergeCell ref="B24:B25"/>
    <mergeCell ref="AG24:AG25"/>
    <mergeCell ref="B26:B27"/>
    <mergeCell ref="AG26:AG27"/>
    <mergeCell ref="A34:B35"/>
    <mergeCell ref="AF34:AG35"/>
    <mergeCell ref="A28:A33"/>
    <mergeCell ref="B28:B29"/>
    <mergeCell ref="AF28:AF33"/>
    <mergeCell ref="AG28:AG29"/>
    <mergeCell ref="B30:B31"/>
    <mergeCell ref="AG30:AG31"/>
    <mergeCell ref="B32:B33"/>
    <mergeCell ref="AG32:AG33"/>
  </mergeCells>
  <pageMargins left="0.51181102362204722" right="0.31496062992125984" top="0.55118110236220474" bottom="0.55118110236220474" header="0.31496062992125984" footer="0.31496062992125984"/>
  <pageSetup paperSize="9" scale="9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AJ35"/>
  <sheetViews>
    <sheetView showGridLines="0" topLeftCell="D1" zoomScale="110" zoomScaleNormal="110" zoomScaleSheetLayoutView="90" workbookViewId="0">
      <selection activeCell="J11" sqref="J11"/>
    </sheetView>
  </sheetViews>
  <sheetFormatPr defaultRowHeight="14.4"/>
  <cols>
    <col min="1" max="1" width="3" customWidth="1"/>
    <col min="2" max="2" width="11" customWidth="1"/>
    <col min="3" max="3" width="8.109375" bestFit="1" customWidth="1"/>
    <col min="4" max="4" width="12.33203125" customWidth="1"/>
    <col min="5" max="8" width="17.33203125" bestFit="1" customWidth="1"/>
    <col min="9" max="13" width="17.33203125" customWidth="1"/>
    <col min="14" max="16" width="6.88671875" bestFit="1" customWidth="1"/>
    <col min="17" max="18" width="6.88671875" customWidth="1"/>
    <col min="19" max="20" width="9.109375" customWidth="1"/>
    <col min="21" max="21" width="7.33203125" bestFit="1" customWidth="1"/>
    <col min="22" max="22" width="6.5546875" bestFit="1" customWidth="1"/>
    <col min="23" max="23" width="9.6640625" bestFit="1" customWidth="1"/>
    <col min="24" max="35" width="12.33203125" bestFit="1" customWidth="1"/>
    <col min="36" max="36" width="13.44140625" bestFit="1" customWidth="1"/>
  </cols>
  <sheetData>
    <row r="2" spans="2:36">
      <c r="U2" s="300" t="s">
        <v>100</v>
      </c>
      <c r="V2" s="300"/>
      <c r="W2" s="300"/>
      <c r="X2" s="79" t="s">
        <v>38</v>
      </c>
      <c r="Y2" s="79" t="s">
        <v>39</v>
      </c>
      <c r="Z2" s="79" t="s">
        <v>40</v>
      </c>
      <c r="AA2" s="79" t="s">
        <v>41</v>
      </c>
      <c r="AB2" s="79" t="s">
        <v>42</v>
      </c>
      <c r="AC2" s="79" t="s">
        <v>43</v>
      </c>
      <c r="AD2" s="79" t="s">
        <v>44</v>
      </c>
      <c r="AE2" s="79" t="s">
        <v>45</v>
      </c>
      <c r="AF2" s="79" t="s">
        <v>46</v>
      </c>
      <c r="AG2" s="79" t="s">
        <v>47</v>
      </c>
      <c r="AH2" s="79" t="s">
        <v>48</v>
      </c>
      <c r="AI2" s="79" t="s">
        <v>49</v>
      </c>
      <c r="AJ2" s="79" t="s">
        <v>95</v>
      </c>
    </row>
    <row r="3" spans="2:36">
      <c r="B3" s="1" t="s">
        <v>0</v>
      </c>
      <c r="I3" s="93">
        <v>0.03</v>
      </c>
      <c r="J3" s="93">
        <v>0.02</v>
      </c>
      <c r="K3" s="93">
        <v>0.03</v>
      </c>
      <c r="L3" s="93">
        <v>0.02</v>
      </c>
      <c r="M3" s="93">
        <v>0.03</v>
      </c>
      <c r="U3" s="298" t="s">
        <v>103</v>
      </c>
      <c r="V3" s="299" t="s">
        <v>101</v>
      </c>
      <c r="W3" s="88" t="s">
        <v>105</v>
      </c>
      <c r="X3" s="80">
        <f>'PANDU IKPP'!C7+'PANDU IKPP'!C13+'PANDU IKPP'!C19+'PANDU IKPP'!C34+'PANDU IKPP'!C40+'PANDU IKPP'!C46+'PANDU IKPP'!C52+'PANDU IKPP'!C58+'PANDU IKPP'!C64</f>
        <v>32</v>
      </c>
      <c r="Y3" s="80">
        <f>'PANDU IKPP'!D7+'PANDU IKPP'!D13+'PANDU IKPP'!D19+'PANDU IKPP'!D34+'PANDU IKPP'!D40+'PANDU IKPP'!D46+'PANDU IKPP'!D52+'PANDU IKPP'!D58+'PANDU IKPP'!D64</f>
        <v>37</v>
      </c>
      <c r="Z3" s="80">
        <f>'PANDU IKPP'!E7+'PANDU IKPP'!E13+'PANDU IKPP'!E19+'PANDU IKPP'!E34+'PANDU IKPP'!E40+'PANDU IKPP'!E46+'PANDU IKPP'!E52+'PANDU IKPP'!E58+'PANDU IKPP'!E64</f>
        <v>159</v>
      </c>
      <c r="AA3" s="80">
        <f>'PANDU IKPP'!F7+'PANDU IKPP'!F13+'PANDU IKPP'!F19+'PANDU IKPP'!F34+'PANDU IKPP'!F40+'PANDU IKPP'!F46+'PANDU IKPP'!F52+'PANDU IKPP'!F58+'PANDU IKPP'!F64</f>
        <v>39</v>
      </c>
      <c r="AB3" s="80">
        <f>'PANDU IKPP'!G7+'PANDU IKPP'!G13+'PANDU IKPP'!G19+'PANDU IKPP'!G34+'PANDU IKPP'!G40+'PANDU IKPP'!G46+'PANDU IKPP'!G52+'PANDU IKPP'!G58+'PANDU IKPP'!G64</f>
        <v>34</v>
      </c>
      <c r="AC3" s="80">
        <f>'PANDU IKPP'!H7+'PANDU IKPP'!H13+'PANDU IKPP'!H19+'PANDU IKPP'!H34+'PANDU IKPP'!H40+'PANDU IKPP'!H46+'PANDU IKPP'!H52+'PANDU IKPP'!H58+'PANDU IKPP'!H64</f>
        <v>37</v>
      </c>
      <c r="AD3" s="80">
        <f>'PANDU IKPP'!I7+'PANDU IKPP'!I13+'PANDU IKPP'!I19+'PANDU IKPP'!I34+'PANDU IKPP'!I40+'PANDU IKPP'!I46+'PANDU IKPP'!I52+'PANDU IKPP'!I58+'PANDU IKPP'!I64</f>
        <v>35</v>
      </c>
      <c r="AE3" s="80">
        <f>'PANDU IKPP'!J7+'PANDU IKPP'!J13+'PANDU IKPP'!J19+'PANDU IKPP'!J34+'PANDU IKPP'!J40+'PANDU IKPP'!J46+'PANDU IKPP'!J52+'PANDU IKPP'!J58+'PANDU IKPP'!J64</f>
        <v>34</v>
      </c>
      <c r="AF3" s="80">
        <f>'PANDU IKPP'!K7+'PANDU IKPP'!K13+'PANDU IKPP'!K19+'PANDU IKPP'!K34+'PANDU IKPP'!K40+'PANDU IKPP'!K46+'PANDU IKPP'!K52+'PANDU IKPP'!K58+'PANDU IKPP'!K64</f>
        <v>37</v>
      </c>
      <c r="AG3" s="80">
        <f>'PANDU IKPP'!L7+'PANDU IKPP'!L13+'PANDU IKPP'!L19+'PANDU IKPP'!L34+'PANDU IKPP'!L40+'PANDU IKPP'!L46+'PANDU IKPP'!L52+'PANDU IKPP'!L58+'PANDU IKPP'!L64</f>
        <v>43</v>
      </c>
      <c r="AH3" s="80">
        <f>'PANDU IKPP'!M7+'PANDU IKPP'!M13+'PANDU IKPP'!M19+'PANDU IKPP'!M34+'PANDU IKPP'!M40+'PANDU IKPP'!M46+'PANDU IKPP'!M52+'PANDU IKPP'!M58+'PANDU IKPP'!M64</f>
        <v>37</v>
      </c>
      <c r="AI3" s="80">
        <f>'PANDU IKPP'!N7+'PANDU IKPP'!N13+'PANDU IKPP'!N19+'PANDU IKPP'!N34+'PANDU IKPP'!N40+'PANDU IKPP'!N46+'PANDU IKPP'!N52+'PANDU IKPP'!N58+'PANDU IKPP'!N64</f>
        <v>32</v>
      </c>
      <c r="AJ3" s="90">
        <f>SUM(X3:AI3)</f>
        <v>556</v>
      </c>
    </row>
    <row r="4" spans="2:36">
      <c r="B4" s="69" t="s">
        <v>1</v>
      </c>
      <c r="C4" s="69" t="s">
        <v>2</v>
      </c>
      <c r="D4" s="69"/>
      <c r="E4" s="2" t="s">
        <v>3</v>
      </c>
      <c r="F4" s="2" t="s">
        <v>4</v>
      </c>
      <c r="G4" s="2" t="s">
        <v>5</v>
      </c>
      <c r="H4" s="2" t="s">
        <v>6</v>
      </c>
      <c r="I4" s="2" t="s">
        <v>106</v>
      </c>
      <c r="J4" s="2" t="s">
        <v>107</v>
      </c>
      <c r="K4" s="2" t="s">
        <v>108</v>
      </c>
      <c r="L4" s="2" t="s">
        <v>109</v>
      </c>
      <c r="M4" s="2" t="s">
        <v>110</v>
      </c>
      <c r="N4" s="329" t="s">
        <v>7</v>
      </c>
      <c r="O4" s="330"/>
      <c r="P4" s="330"/>
      <c r="Q4" s="330"/>
      <c r="R4" s="330"/>
      <c r="U4" s="298"/>
      <c r="V4" s="299"/>
      <c r="W4" s="88" t="s">
        <v>64</v>
      </c>
      <c r="X4" s="80">
        <f>'PANDU IKPP'!C8+'PANDU IKPP'!C14+'PANDU IKPP'!C20+'PANDU IKPP'!C35+'PANDU IKPP'!C41+'PANDU IKPP'!C47+'PANDU IKPP'!C53+'PANDU IKPP'!C59+'PANDU IKPP'!C65</f>
        <v>263773</v>
      </c>
      <c r="Y4" s="80">
        <f>'PANDU IKPP'!D8+'PANDU IKPP'!D14+'PANDU IKPP'!D20+'PANDU IKPP'!D35+'PANDU IKPP'!D41+'PANDU IKPP'!D47+'PANDU IKPP'!D53+'PANDU IKPP'!D59+'PANDU IKPP'!D65</f>
        <v>203390</v>
      </c>
      <c r="Z4" s="80">
        <f>'PANDU IKPP'!E8+'PANDU IKPP'!E14+'PANDU IKPP'!E20+'PANDU IKPP'!E35+'PANDU IKPP'!E41+'PANDU IKPP'!E47+'PANDU IKPP'!E53+'PANDU IKPP'!E59+'PANDU IKPP'!E65</f>
        <v>1340528</v>
      </c>
      <c r="AA4" s="80">
        <f>'PANDU IKPP'!F8+'PANDU IKPP'!F14+'PANDU IKPP'!F20+'PANDU IKPP'!F35+'PANDU IKPP'!F41+'PANDU IKPP'!F47+'PANDU IKPP'!F53+'PANDU IKPP'!F59+'PANDU IKPP'!F65</f>
        <v>352434.48571428569</v>
      </c>
      <c r="AB4" s="80">
        <f>'PANDU IKPP'!G8+'PANDU IKPP'!G14+'PANDU IKPP'!G20+'PANDU IKPP'!G35+'PANDU IKPP'!G41+'PANDU IKPP'!G47+'PANDU IKPP'!G53+'PANDU IKPP'!G59+'PANDU IKPP'!G65</f>
        <v>153376.20000000001</v>
      </c>
      <c r="AC4" s="80">
        <f>'PANDU IKPP'!H8+'PANDU IKPP'!H14+'PANDU IKPP'!H20+'PANDU IKPP'!H35+'PANDU IKPP'!H41+'PANDU IKPP'!H47+'PANDU IKPP'!H53+'PANDU IKPP'!H59+'PANDU IKPP'!H65</f>
        <v>331503.44444444444</v>
      </c>
      <c r="AD4" s="80">
        <f>'PANDU IKPP'!I8+'PANDU IKPP'!I14+'PANDU IKPP'!I20+'PANDU IKPP'!I35+'PANDU IKPP'!I41+'PANDU IKPP'!I47+'PANDU IKPP'!I53+'PANDU IKPP'!I59+'PANDU IKPP'!I65</f>
        <v>170593.35</v>
      </c>
      <c r="AE4" s="80">
        <f>'PANDU IKPP'!J8+'PANDU IKPP'!J14+'PANDU IKPP'!J20+'PANDU IKPP'!J35+'PANDU IKPP'!J41+'PANDU IKPP'!J47+'PANDU IKPP'!J53+'PANDU IKPP'!J59+'PANDU IKPP'!J65</f>
        <v>258839.47222222222</v>
      </c>
      <c r="AF4" s="80">
        <f>'PANDU IKPP'!K8+'PANDU IKPP'!K14+'PANDU IKPP'!K20+'PANDU IKPP'!K35+'PANDU IKPP'!K41+'PANDU IKPP'!K47+'PANDU IKPP'!K53+'PANDU IKPP'!K59+'PANDU IKPP'!K65</f>
        <v>185360</v>
      </c>
      <c r="AG4" s="80">
        <f>'PANDU IKPP'!L8+'PANDU IKPP'!L14+'PANDU IKPP'!L20+'PANDU IKPP'!L35+'PANDU IKPP'!L41+'PANDU IKPP'!L47+'PANDU IKPP'!L53+'PANDU IKPP'!L59+'PANDU IKPP'!L65</f>
        <v>366087.6333333333</v>
      </c>
      <c r="AH4" s="80">
        <f>'PANDU IKPP'!M8+'PANDU IKPP'!M14+'PANDU IKPP'!M20+'PANDU IKPP'!M35+'PANDU IKPP'!M41+'PANDU IKPP'!M47+'PANDU IKPP'!M53+'PANDU IKPP'!M59+'PANDU IKPP'!M65</f>
        <v>172938.65</v>
      </c>
      <c r="AI4" s="80">
        <f>'PANDU IKPP'!N8+'PANDU IKPP'!N14+'PANDU IKPP'!N20+'PANDU IKPP'!N35+'PANDU IKPP'!N41+'PANDU IKPP'!N47+'PANDU IKPP'!N53+'PANDU IKPP'!N59+'PANDU IKPP'!N65</f>
        <v>274917.8</v>
      </c>
      <c r="AJ4" s="90">
        <f>SUM(X4:AI4)</f>
        <v>4073742.0357142854</v>
      </c>
    </row>
    <row r="5" spans="2:36">
      <c r="B5" s="3"/>
      <c r="C5" s="3"/>
      <c r="D5" s="3"/>
      <c r="E5" s="3" t="s">
        <v>8</v>
      </c>
      <c r="F5" s="3" t="s">
        <v>9</v>
      </c>
      <c r="G5" s="3" t="s">
        <v>10</v>
      </c>
      <c r="H5" s="3" t="s">
        <v>11</v>
      </c>
      <c r="I5" s="3" t="s">
        <v>96</v>
      </c>
      <c r="J5" s="3" t="s">
        <v>111</v>
      </c>
      <c r="K5" s="3" t="s">
        <v>112</v>
      </c>
      <c r="L5" s="3" t="s">
        <v>113</v>
      </c>
      <c r="M5" s="3" t="s">
        <v>114</v>
      </c>
      <c r="N5" s="3" t="s">
        <v>115</v>
      </c>
      <c r="O5" s="3" t="s">
        <v>116</v>
      </c>
      <c r="P5" s="3" t="s">
        <v>117</v>
      </c>
      <c r="Q5" s="3" t="s">
        <v>118</v>
      </c>
      <c r="R5" s="3" t="s">
        <v>119</v>
      </c>
      <c r="U5" s="298"/>
      <c r="V5" s="299"/>
      <c r="W5" s="88" t="s">
        <v>52</v>
      </c>
      <c r="X5" s="80">
        <f>'PANDU IKPP'!C79</f>
        <v>32</v>
      </c>
      <c r="Y5" s="80">
        <f>'PANDU IKPP'!D79</f>
        <v>37</v>
      </c>
      <c r="Z5" s="80">
        <f>'PANDU IKPP'!E79</f>
        <v>159</v>
      </c>
      <c r="AA5" s="80">
        <f>'PANDU IKPP'!F79</f>
        <v>39</v>
      </c>
      <c r="AB5" s="80">
        <f>'PANDU IKPP'!G79</f>
        <v>34</v>
      </c>
      <c r="AC5" s="80">
        <f>'PANDU IKPP'!H79</f>
        <v>37</v>
      </c>
      <c r="AD5" s="80">
        <f>'PANDU IKPP'!I79</f>
        <v>35</v>
      </c>
      <c r="AE5" s="80">
        <f>'PANDU IKPP'!J79</f>
        <v>34</v>
      </c>
      <c r="AF5" s="80">
        <f>'PANDU IKPP'!K79</f>
        <v>37</v>
      </c>
      <c r="AG5" s="80">
        <f>'PANDU IKPP'!L79</f>
        <v>43</v>
      </c>
      <c r="AH5" s="80">
        <f>'PANDU IKPP'!M79</f>
        <v>37</v>
      </c>
      <c r="AI5" s="80">
        <f>'PANDU IKPP'!N79</f>
        <v>32</v>
      </c>
      <c r="AJ5" s="90">
        <f>SUM(X5:AI5)</f>
        <v>556</v>
      </c>
    </row>
    <row r="6" spans="2:36">
      <c r="B6" s="322" t="s">
        <v>15</v>
      </c>
      <c r="C6" s="322" t="s">
        <v>16</v>
      </c>
      <c r="D6" s="4" t="s">
        <v>17</v>
      </c>
      <c r="E6" s="5">
        <v>1880</v>
      </c>
      <c r="F6" s="6">
        <v>1846.7949094000001</v>
      </c>
      <c r="G6" s="6">
        <v>1877</v>
      </c>
      <c r="H6" s="5">
        <v>1952.140115686338</v>
      </c>
      <c r="I6" s="5">
        <f>H6+(H6*I$3)</f>
        <v>2010.7043191569282</v>
      </c>
      <c r="J6" s="5">
        <f t="shared" ref="J6:M6" si="0">I6+(I6*J$3)</f>
        <v>2050.9184055400669</v>
      </c>
      <c r="K6" s="5">
        <f t="shared" si="0"/>
        <v>2112.4459577062689</v>
      </c>
      <c r="L6" s="5">
        <f t="shared" si="0"/>
        <v>2154.6948768603943</v>
      </c>
      <c r="M6" s="5">
        <f t="shared" si="0"/>
        <v>2219.3357231662062</v>
      </c>
      <c r="N6" s="7">
        <f>I6/H6</f>
        <v>1.03</v>
      </c>
      <c r="O6" s="7">
        <f>J6/I6</f>
        <v>1.02</v>
      </c>
      <c r="P6" s="7">
        <f>K6/J6</f>
        <v>1.03</v>
      </c>
      <c r="Q6" s="7">
        <f>L6/K6</f>
        <v>1.02</v>
      </c>
      <c r="R6" s="7">
        <f>M6/L6</f>
        <v>1.03</v>
      </c>
      <c r="U6" s="298"/>
      <c r="V6" s="299"/>
      <c r="W6" s="88" t="s">
        <v>53</v>
      </c>
      <c r="X6" s="80">
        <f>'PANDU IKPP'!C80</f>
        <v>263773</v>
      </c>
      <c r="Y6" s="80">
        <f>'PANDU IKPP'!D80</f>
        <v>203390</v>
      </c>
      <c r="Z6" s="80">
        <f>'PANDU IKPP'!E80</f>
        <v>1340528</v>
      </c>
      <c r="AA6" s="80">
        <f>'PANDU IKPP'!F80</f>
        <v>352434.48571428569</v>
      </c>
      <c r="AB6" s="80">
        <f>'PANDU IKPP'!G80</f>
        <v>153376.20000000001</v>
      </c>
      <c r="AC6" s="80">
        <f>'PANDU IKPP'!H80</f>
        <v>331503.44444444444</v>
      </c>
      <c r="AD6" s="80">
        <f>'PANDU IKPP'!I80</f>
        <v>170593.35</v>
      </c>
      <c r="AE6" s="80">
        <f>'PANDU IKPP'!J80</f>
        <v>258839.47222222222</v>
      </c>
      <c r="AF6" s="80">
        <f>'PANDU IKPP'!K80</f>
        <v>185360</v>
      </c>
      <c r="AG6" s="80">
        <f>'PANDU IKPP'!L80</f>
        <v>366087.6333333333</v>
      </c>
      <c r="AH6" s="80">
        <f>'PANDU IKPP'!M80</f>
        <v>172938.65</v>
      </c>
      <c r="AI6" s="80">
        <f>'PANDU IKPP'!N80</f>
        <v>274917.8</v>
      </c>
      <c r="AJ6" s="90">
        <f>SUM(X6:AI6)</f>
        <v>4073742.0357142854</v>
      </c>
    </row>
    <row r="7" spans="2:36">
      <c r="B7" s="322"/>
      <c r="C7" s="322"/>
      <c r="D7" s="4" t="s">
        <v>18</v>
      </c>
      <c r="E7" s="5">
        <v>13085594</v>
      </c>
      <c r="F7" s="6">
        <v>11763172.794647601</v>
      </c>
      <c r="G7" s="6">
        <v>12772751</v>
      </c>
      <c r="H7" s="5">
        <v>10182154.920973901</v>
      </c>
      <c r="I7" s="5">
        <f t="shared" ref="I7:M13" si="1">H7+(H7*I$3)</f>
        <v>10487619.568603117</v>
      </c>
      <c r="J7" s="5">
        <f t="shared" si="1"/>
        <v>10697371.959975179</v>
      </c>
      <c r="K7" s="5">
        <f t="shared" si="1"/>
        <v>11018293.118774435</v>
      </c>
      <c r="L7" s="5">
        <f t="shared" si="1"/>
        <v>11238658.981149923</v>
      </c>
      <c r="M7" s="5">
        <f t="shared" si="1"/>
        <v>11575818.75058442</v>
      </c>
      <c r="N7" s="7">
        <f t="shared" ref="N7:N13" si="2">I7/H7</f>
        <v>1.03</v>
      </c>
      <c r="O7" s="7">
        <f t="shared" ref="O7:O13" si="3">J7/I7</f>
        <v>1.02</v>
      </c>
      <c r="P7" s="7">
        <f t="shared" ref="P7:P13" si="4">K7/J7</f>
        <v>1.03</v>
      </c>
      <c r="Q7" s="7">
        <f t="shared" ref="Q7:Q13" si="5">L7/K7</f>
        <v>1.02</v>
      </c>
      <c r="R7" s="7">
        <f t="shared" ref="R7:R13" si="6">M7/L7</f>
        <v>1.03</v>
      </c>
      <c r="U7" s="298"/>
      <c r="V7" s="299" t="s">
        <v>102</v>
      </c>
      <c r="W7" s="88" t="s">
        <v>105</v>
      </c>
      <c r="X7" s="92">
        <f>'TUNDA IKPP'!E8+'TUNDA IKPP'!E30+'TUNDA IKPP'!E52+'TUNDA IKPP'!E98+'TUNDA IKPP'!E120+'TUNDA IKPP'!E142+'TUNDA IKPP'!E164+'TUNDA IKPP'!E172+'TUNDA IKPP'!E180</f>
        <v>32</v>
      </c>
      <c r="Y7" s="92">
        <f>'TUNDA IKPP'!F8+'TUNDA IKPP'!F30+'TUNDA IKPP'!F52+'TUNDA IKPP'!F98+'TUNDA IKPP'!F120+'TUNDA IKPP'!F142+'TUNDA IKPP'!F164+'TUNDA IKPP'!F172+'TUNDA IKPP'!F180</f>
        <v>37</v>
      </c>
      <c r="Z7" s="92">
        <f>'TUNDA IKPP'!G8+'TUNDA IKPP'!G30+'TUNDA IKPP'!G52+'TUNDA IKPP'!G98+'TUNDA IKPP'!G120+'TUNDA IKPP'!G142+'TUNDA IKPP'!G164+'TUNDA IKPP'!G172+'TUNDA IKPP'!G180</f>
        <v>159</v>
      </c>
      <c r="AA7" s="92">
        <f>'TUNDA IKPP'!H8+'TUNDA IKPP'!H30+'TUNDA IKPP'!H52+'TUNDA IKPP'!H98+'TUNDA IKPP'!H120+'TUNDA IKPP'!H142+'TUNDA IKPP'!H164+'TUNDA IKPP'!H172+'TUNDA IKPP'!H180</f>
        <v>39</v>
      </c>
      <c r="AB7" s="92">
        <f>'TUNDA IKPP'!I8+'TUNDA IKPP'!I30+'TUNDA IKPP'!I52+'TUNDA IKPP'!I98+'TUNDA IKPP'!I120+'TUNDA IKPP'!I142+'TUNDA IKPP'!I164+'TUNDA IKPP'!I172+'TUNDA IKPP'!I180</f>
        <v>34</v>
      </c>
      <c r="AC7" s="92">
        <f>'TUNDA IKPP'!J8+'TUNDA IKPP'!J30+'TUNDA IKPP'!J52+'TUNDA IKPP'!J98+'TUNDA IKPP'!J120+'TUNDA IKPP'!J142+'TUNDA IKPP'!J164+'TUNDA IKPP'!J172+'TUNDA IKPP'!J180</f>
        <v>37</v>
      </c>
      <c r="AD7" s="92">
        <f>'TUNDA IKPP'!K8+'TUNDA IKPP'!K30+'TUNDA IKPP'!K52+'TUNDA IKPP'!K98+'TUNDA IKPP'!K120+'TUNDA IKPP'!K142+'TUNDA IKPP'!K164+'TUNDA IKPP'!K172+'TUNDA IKPP'!K180</f>
        <v>35</v>
      </c>
      <c r="AE7" s="92">
        <f>'TUNDA IKPP'!L8+'TUNDA IKPP'!L30+'TUNDA IKPP'!L52+'TUNDA IKPP'!L98+'TUNDA IKPP'!L120+'TUNDA IKPP'!L142+'TUNDA IKPP'!L164+'TUNDA IKPP'!L172+'TUNDA IKPP'!L180</f>
        <v>34</v>
      </c>
      <c r="AF7" s="92">
        <f>'TUNDA IKPP'!M8+'TUNDA IKPP'!M30+'TUNDA IKPP'!M52+'TUNDA IKPP'!M98+'TUNDA IKPP'!M120+'TUNDA IKPP'!M142+'TUNDA IKPP'!M164+'TUNDA IKPP'!M172+'TUNDA IKPP'!M180</f>
        <v>37</v>
      </c>
      <c r="AG7" s="92">
        <f>'TUNDA IKPP'!N8+'TUNDA IKPP'!N30+'TUNDA IKPP'!N52+'TUNDA IKPP'!N98+'TUNDA IKPP'!N120+'TUNDA IKPP'!N142+'TUNDA IKPP'!N164+'TUNDA IKPP'!N172+'TUNDA IKPP'!N180</f>
        <v>43</v>
      </c>
      <c r="AH7" s="92">
        <f>'TUNDA IKPP'!O8+'TUNDA IKPP'!O30+'TUNDA IKPP'!O52+'TUNDA IKPP'!O98+'TUNDA IKPP'!O120+'TUNDA IKPP'!O142+'TUNDA IKPP'!O164+'TUNDA IKPP'!O172+'TUNDA IKPP'!O180</f>
        <v>37</v>
      </c>
      <c r="AI7" s="92">
        <f>'TUNDA IKPP'!P8+'TUNDA IKPP'!P30+'TUNDA IKPP'!P52+'TUNDA IKPP'!P98+'TUNDA IKPP'!P120+'TUNDA IKPP'!P142+'TUNDA IKPP'!P164+'TUNDA IKPP'!P172+'TUNDA IKPP'!P180</f>
        <v>32</v>
      </c>
      <c r="AJ7" s="90">
        <f t="shared" ref="AJ7:AJ10" si="7">SUM(X7:AI7)</f>
        <v>556</v>
      </c>
    </row>
    <row r="8" spans="2:36">
      <c r="B8" s="322"/>
      <c r="C8" s="322" t="s">
        <v>19</v>
      </c>
      <c r="D8" s="4" t="s">
        <v>20</v>
      </c>
      <c r="E8" s="5">
        <v>5074.5</v>
      </c>
      <c r="F8" s="6">
        <v>5461.3181562</v>
      </c>
      <c r="G8" s="6">
        <v>4890.13</v>
      </c>
      <c r="H8" s="5">
        <v>7338</v>
      </c>
      <c r="I8" s="5">
        <f t="shared" si="1"/>
        <v>7558.14</v>
      </c>
      <c r="J8" s="5">
        <f t="shared" si="1"/>
        <v>7709.3028000000004</v>
      </c>
      <c r="K8" s="5">
        <f t="shared" si="1"/>
        <v>7940.5818840000002</v>
      </c>
      <c r="L8" s="5">
        <f t="shared" si="1"/>
        <v>8099.39352168</v>
      </c>
      <c r="M8" s="5">
        <f t="shared" si="1"/>
        <v>8342.3753273303992</v>
      </c>
      <c r="N8" s="7">
        <f t="shared" si="2"/>
        <v>1.03</v>
      </c>
      <c r="O8" s="7">
        <f t="shared" si="3"/>
        <v>1.02</v>
      </c>
      <c r="P8" s="7">
        <f t="shared" si="4"/>
        <v>1.03</v>
      </c>
      <c r="Q8" s="7">
        <f t="shared" si="5"/>
        <v>1.02</v>
      </c>
      <c r="R8" s="7">
        <f t="shared" si="6"/>
        <v>1.0299999999999998</v>
      </c>
      <c r="U8" s="298"/>
      <c r="V8" s="299"/>
      <c r="W8" s="88" t="s">
        <v>64</v>
      </c>
      <c r="X8" s="92">
        <f>'TUNDA IKPP'!E9+'TUNDA IKPP'!E31+'TUNDA IKPP'!E53+'TUNDA IKPP'!E99+'TUNDA IKPP'!E121+'TUNDA IKPP'!E143+'TUNDA IKPP'!E165+'TUNDA IKPP'!E173+'TUNDA IKPP'!E181</f>
        <v>263773</v>
      </c>
      <c r="Y8" s="92">
        <f>'TUNDA IKPP'!F9+'TUNDA IKPP'!F31+'TUNDA IKPP'!F53+'TUNDA IKPP'!F99+'TUNDA IKPP'!F121+'TUNDA IKPP'!F143+'TUNDA IKPP'!F165+'TUNDA IKPP'!F173+'TUNDA IKPP'!F181</f>
        <v>203390</v>
      </c>
      <c r="Z8" s="92">
        <f>'TUNDA IKPP'!G9+'TUNDA IKPP'!G31+'TUNDA IKPP'!G53+'TUNDA IKPP'!G99+'TUNDA IKPP'!G121+'TUNDA IKPP'!G143+'TUNDA IKPP'!G165+'TUNDA IKPP'!G173+'TUNDA IKPP'!G181</f>
        <v>1340528</v>
      </c>
      <c r="AA8" s="92">
        <f>'TUNDA IKPP'!H9+'TUNDA IKPP'!H31+'TUNDA IKPP'!H53+'TUNDA IKPP'!H99+'TUNDA IKPP'!H121+'TUNDA IKPP'!H143+'TUNDA IKPP'!H165+'TUNDA IKPP'!H173+'TUNDA IKPP'!H181</f>
        <v>352434.48571428569</v>
      </c>
      <c r="AB8" s="92">
        <f>'TUNDA IKPP'!I9+'TUNDA IKPP'!I31+'TUNDA IKPP'!I53+'TUNDA IKPP'!I99+'TUNDA IKPP'!I121+'TUNDA IKPP'!I143+'TUNDA IKPP'!I165+'TUNDA IKPP'!I173+'TUNDA IKPP'!I181</f>
        <v>153376.20000000001</v>
      </c>
      <c r="AC8" s="92">
        <f>'TUNDA IKPP'!J9+'TUNDA IKPP'!J31+'TUNDA IKPP'!J53+'TUNDA IKPP'!J99+'TUNDA IKPP'!J121+'TUNDA IKPP'!J143+'TUNDA IKPP'!J165+'TUNDA IKPP'!J173+'TUNDA IKPP'!J181</f>
        <v>331503.44444444444</v>
      </c>
      <c r="AD8" s="92">
        <f>'TUNDA IKPP'!K9+'TUNDA IKPP'!K31+'TUNDA IKPP'!K53+'TUNDA IKPP'!K99+'TUNDA IKPP'!K121+'TUNDA IKPP'!K143+'TUNDA IKPP'!K165+'TUNDA IKPP'!K173+'TUNDA IKPP'!K181</f>
        <v>170593.35</v>
      </c>
      <c r="AE8" s="92">
        <f>'TUNDA IKPP'!L9+'TUNDA IKPP'!L31+'TUNDA IKPP'!L53+'TUNDA IKPP'!L99+'TUNDA IKPP'!L121+'TUNDA IKPP'!L143+'TUNDA IKPP'!L165+'TUNDA IKPP'!L173+'TUNDA IKPP'!L181</f>
        <v>258839.47222222222</v>
      </c>
      <c r="AF8" s="92">
        <f>'TUNDA IKPP'!M9+'TUNDA IKPP'!M31+'TUNDA IKPP'!M53+'TUNDA IKPP'!M99+'TUNDA IKPP'!M121+'TUNDA IKPP'!M143+'TUNDA IKPP'!M165+'TUNDA IKPP'!M173+'TUNDA IKPP'!M181</f>
        <v>185360</v>
      </c>
      <c r="AG8" s="92">
        <f>'TUNDA IKPP'!N9+'TUNDA IKPP'!N31+'TUNDA IKPP'!N53+'TUNDA IKPP'!N99+'TUNDA IKPP'!N121+'TUNDA IKPP'!N143+'TUNDA IKPP'!N165+'TUNDA IKPP'!N173+'TUNDA IKPP'!N181</f>
        <v>366087.6333333333</v>
      </c>
      <c r="AH8" s="92">
        <f>'TUNDA IKPP'!O9+'TUNDA IKPP'!O31+'TUNDA IKPP'!O53+'TUNDA IKPP'!O99+'TUNDA IKPP'!O121+'TUNDA IKPP'!O143+'TUNDA IKPP'!O165+'TUNDA IKPP'!O173+'TUNDA IKPP'!O181</f>
        <v>172938.65</v>
      </c>
      <c r="AI8" s="92">
        <f>'TUNDA IKPP'!P9+'TUNDA IKPP'!P31+'TUNDA IKPP'!P53+'TUNDA IKPP'!P99+'TUNDA IKPP'!P121+'TUNDA IKPP'!P143+'TUNDA IKPP'!P165+'TUNDA IKPP'!P173+'TUNDA IKPP'!P181</f>
        <v>274917.8</v>
      </c>
      <c r="AJ8" s="90">
        <f t="shared" si="7"/>
        <v>4073742.0357142854</v>
      </c>
    </row>
    <row r="9" spans="2:36">
      <c r="B9" s="322"/>
      <c r="C9" s="322"/>
      <c r="D9" s="4" t="s">
        <v>21</v>
      </c>
      <c r="E9" s="5">
        <v>40317527.5</v>
      </c>
      <c r="F9" s="6">
        <v>37310315.230341002</v>
      </c>
      <c r="G9" s="6">
        <v>35612329.619999997</v>
      </c>
      <c r="H9" s="5">
        <v>44464317.044516109</v>
      </c>
      <c r="I9" s="5">
        <f t="shared" si="1"/>
        <v>45798246.555851594</v>
      </c>
      <c r="J9" s="5">
        <f t="shared" si="1"/>
        <v>46714211.486968629</v>
      </c>
      <c r="K9" s="5">
        <f t="shared" si="1"/>
        <v>48115637.831577688</v>
      </c>
      <c r="L9" s="5">
        <f t="shared" si="1"/>
        <v>49077950.588209242</v>
      </c>
      <c r="M9" s="5">
        <f t="shared" si="1"/>
        <v>50550289.105855517</v>
      </c>
      <c r="N9" s="7">
        <f t="shared" si="2"/>
        <v>1.03</v>
      </c>
      <c r="O9" s="7">
        <f t="shared" si="3"/>
        <v>1.02</v>
      </c>
      <c r="P9" s="7">
        <f t="shared" si="4"/>
        <v>1.03</v>
      </c>
      <c r="Q9" s="7">
        <f t="shared" si="5"/>
        <v>1.02</v>
      </c>
      <c r="R9" s="7">
        <f t="shared" si="6"/>
        <v>1.03</v>
      </c>
      <c r="U9" s="298"/>
      <c r="V9" s="299"/>
      <c r="W9" s="89" t="s">
        <v>20</v>
      </c>
      <c r="X9" s="80">
        <f>'TUNDA IKPP'!E201</f>
        <v>154.98560000000001</v>
      </c>
      <c r="Y9" s="80">
        <f>'TUNDA IKPP'!F201</f>
        <v>179.2021</v>
      </c>
      <c r="Z9" s="80">
        <f>'TUNDA IKPP'!G201</f>
        <v>140.45570000000001</v>
      </c>
      <c r="AA9" s="80">
        <f>'TUNDA IKPP'!H201</f>
        <v>188.8887</v>
      </c>
      <c r="AB9" s="80">
        <f>'TUNDA IKPP'!I201</f>
        <v>164.6722</v>
      </c>
      <c r="AC9" s="80">
        <f>'TUNDA IKPP'!J201</f>
        <v>179.20210000000003</v>
      </c>
      <c r="AD9" s="80">
        <f>'TUNDA IKPP'!K201</f>
        <v>169.5155</v>
      </c>
      <c r="AE9" s="80">
        <f>'TUNDA IKPP'!L201</f>
        <v>164.6722</v>
      </c>
      <c r="AF9" s="80">
        <f>'TUNDA IKPP'!M201</f>
        <v>179.2021</v>
      </c>
      <c r="AG9" s="80">
        <f>'TUNDA IKPP'!N201</f>
        <v>208.26190000000003</v>
      </c>
      <c r="AH9" s="80">
        <f>'TUNDA IKPP'!O201</f>
        <v>179.2021</v>
      </c>
      <c r="AI9" s="80">
        <f>'TUNDA IKPP'!P201</f>
        <v>154.98560000000001</v>
      </c>
      <c r="AJ9" s="90">
        <f t="shared" si="7"/>
        <v>2063.2458000000001</v>
      </c>
    </row>
    <row r="10" spans="2:36">
      <c r="B10" s="322" t="s">
        <v>22</v>
      </c>
      <c r="C10" s="322" t="s">
        <v>23</v>
      </c>
      <c r="D10" s="4" t="s">
        <v>17</v>
      </c>
      <c r="E10" s="5">
        <v>7991</v>
      </c>
      <c r="F10" s="6">
        <v>7050.1060778999999</v>
      </c>
      <c r="G10" s="6">
        <v>8195</v>
      </c>
      <c r="H10" s="5">
        <v>7565.9535906387428</v>
      </c>
      <c r="I10" s="5">
        <f t="shared" si="1"/>
        <v>7792.9321983579048</v>
      </c>
      <c r="J10" s="5">
        <f t="shared" si="1"/>
        <v>7948.7908423250628</v>
      </c>
      <c r="K10" s="5">
        <f t="shared" si="1"/>
        <v>8187.2545675948149</v>
      </c>
      <c r="L10" s="5">
        <f t="shared" si="1"/>
        <v>8350.9996589467119</v>
      </c>
      <c r="M10" s="5">
        <f t="shared" si="1"/>
        <v>8601.5296487151136</v>
      </c>
      <c r="N10" s="7">
        <f t="shared" si="2"/>
        <v>1.03</v>
      </c>
      <c r="O10" s="7">
        <f t="shared" si="3"/>
        <v>1.02</v>
      </c>
      <c r="P10" s="7">
        <f t="shared" si="4"/>
        <v>1.03</v>
      </c>
      <c r="Q10" s="7">
        <f t="shared" si="5"/>
        <v>1.02</v>
      </c>
      <c r="R10" s="7">
        <f t="shared" si="6"/>
        <v>1.03</v>
      </c>
      <c r="U10" s="298"/>
      <c r="V10" s="299"/>
      <c r="W10" s="89" t="s">
        <v>21</v>
      </c>
      <c r="X10" s="80">
        <f>'TUNDA IKPP'!E202</f>
        <v>1277531.7709000001</v>
      </c>
      <c r="Y10" s="80">
        <f>'TUNDA IKPP'!F202</f>
        <v>985078.78700000001</v>
      </c>
      <c r="Z10" s="80">
        <f>'TUNDA IKPP'!G202</f>
        <v>1319770.1902000001</v>
      </c>
      <c r="AA10" s="80">
        <f>'TUNDA IKPP'!H202</f>
        <v>1706945.94466</v>
      </c>
      <c r="AB10" s="80">
        <f>'TUNDA IKPP'!I202</f>
        <v>742846.94946000003</v>
      </c>
      <c r="AC10" s="80">
        <f>'TUNDA IKPP'!J202</f>
        <v>1605570.6324777778</v>
      </c>
      <c r="AD10" s="80">
        <f>'TUNDA IKPP'!K202</f>
        <v>826234.77205500007</v>
      </c>
      <c r="AE10" s="80">
        <f>'TUNDA IKPP'!L202</f>
        <v>1253637.2158138889</v>
      </c>
      <c r="AF10" s="80">
        <f>'TUNDA IKPP'!M202</f>
        <v>897754.08799999999</v>
      </c>
      <c r="AG10" s="80">
        <f>'TUNDA IKPP'!N202</f>
        <v>1773072.2345233334</v>
      </c>
      <c r="AH10" s="80">
        <f>'TUNDA IKPP'!O202</f>
        <v>837593.76354499999</v>
      </c>
      <c r="AI10" s="80">
        <f>'TUNDA IKPP'!P202</f>
        <v>1331509.3807399999</v>
      </c>
      <c r="AJ10" s="90">
        <f t="shared" si="7"/>
        <v>14557545.729374999</v>
      </c>
    </row>
    <row r="11" spans="2:36">
      <c r="B11" s="322"/>
      <c r="C11" s="322"/>
      <c r="D11" s="4" t="s">
        <v>18</v>
      </c>
      <c r="E11" s="5">
        <v>75421585</v>
      </c>
      <c r="F11" s="6">
        <v>74066311.504713297</v>
      </c>
      <c r="G11" s="6">
        <v>87062723</v>
      </c>
      <c r="H11" s="5">
        <v>57207177.448498227</v>
      </c>
      <c r="I11" s="5">
        <f t="shared" si="1"/>
        <v>58923392.771953173</v>
      </c>
      <c r="J11" s="5">
        <f t="shared" si="1"/>
        <v>60101860.62739224</v>
      </c>
      <c r="K11" s="5">
        <f t="shared" si="1"/>
        <v>61904916.446214005</v>
      </c>
      <c r="L11" s="5">
        <f t="shared" si="1"/>
        <v>63143014.775138289</v>
      </c>
      <c r="M11" s="5">
        <f t="shared" si="1"/>
        <v>65037305.218392439</v>
      </c>
      <c r="N11" s="7">
        <f t="shared" si="2"/>
        <v>1.03</v>
      </c>
      <c r="O11" s="7">
        <f t="shared" si="3"/>
        <v>1.02</v>
      </c>
      <c r="P11" s="7">
        <f t="shared" si="4"/>
        <v>1.03</v>
      </c>
      <c r="Q11" s="7">
        <f t="shared" si="5"/>
        <v>1.02</v>
      </c>
      <c r="R11" s="7">
        <f t="shared" si="6"/>
        <v>1.03</v>
      </c>
      <c r="U11" s="298" t="s">
        <v>104</v>
      </c>
      <c r="V11" s="299" t="s">
        <v>101</v>
      </c>
      <c r="W11" s="88" t="s">
        <v>105</v>
      </c>
      <c r="X11" s="92" t="e">
        <f>#REF!+#REF!+#REF!+#REF!+#REF!+#REF!+#REF!+#REF!+#REF!+#REF!</f>
        <v>#REF!</v>
      </c>
      <c r="Y11" s="92" t="e">
        <f>#REF!+#REF!+#REF!+#REF!+#REF!+#REF!+#REF!+#REF!+#REF!+#REF!</f>
        <v>#REF!</v>
      </c>
      <c r="Z11" s="92" t="e">
        <f>#REF!+#REF!+#REF!+#REF!+#REF!+#REF!+#REF!+#REF!+#REF!+#REF!</f>
        <v>#REF!</v>
      </c>
      <c r="AA11" s="92" t="e">
        <f>#REF!+#REF!+#REF!+#REF!+#REF!+#REF!+#REF!+#REF!+#REF!+#REF!</f>
        <v>#REF!</v>
      </c>
      <c r="AB11" s="92" t="e">
        <f>#REF!+#REF!+#REF!+#REF!+#REF!+#REF!+#REF!+#REF!+#REF!+#REF!</f>
        <v>#REF!</v>
      </c>
      <c r="AC11" s="92" t="e">
        <f>#REF!+#REF!+#REF!+#REF!+#REF!+#REF!+#REF!+#REF!+#REF!+#REF!</f>
        <v>#REF!</v>
      </c>
      <c r="AD11" s="92" t="e">
        <f>#REF!+#REF!+#REF!+#REF!+#REF!+#REF!+#REF!+#REF!+#REF!+#REF!</f>
        <v>#REF!</v>
      </c>
      <c r="AE11" s="92" t="e">
        <f>#REF!+#REF!+#REF!+#REF!+#REF!+#REF!+#REF!+#REF!+#REF!+#REF!</f>
        <v>#REF!</v>
      </c>
      <c r="AF11" s="92" t="e">
        <f>#REF!+#REF!+#REF!+#REF!+#REF!+#REF!+#REF!+#REF!+#REF!+#REF!</f>
        <v>#REF!</v>
      </c>
      <c r="AG11" s="92" t="e">
        <f>#REF!+#REF!+#REF!+#REF!+#REF!+#REF!+#REF!+#REF!+#REF!+#REF!</f>
        <v>#REF!</v>
      </c>
      <c r="AH11" s="92" t="e">
        <f>#REF!+#REF!+#REF!+#REF!+#REF!+#REF!+#REF!+#REF!+#REF!+#REF!</f>
        <v>#REF!</v>
      </c>
      <c r="AI11" s="92" t="e">
        <f>#REF!+#REF!+#REF!+#REF!+#REF!+#REF!+#REF!+#REF!+#REF!+#REF!</f>
        <v>#REF!</v>
      </c>
      <c r="AJ11" s="91" t="e">
        <f t="shared" ref="AJ11:AJ16" si="8">SUM(X11:AI11)</f>
        <v>#REF!</v>
      </c>
    </row>
    <row r="12" spans="2:36">
      <c r="B12" s="322"/>
      <c r="C12" s="322" t="s">
        <v>19</v>
      </c>
      <c r="D12" s="4" t="s">
        <v>20</v>
      </c>
      <c r="E12" s="5">
        <v>24576.5</v>
      </c>
      <c r="F12" s="6">
        <v>22341.600608500001</v>
      </c>
      <c r="G12" s="6">
        <v>22236.92</v>
      </c>
      <c r="H12" s="5">
        <v>13452.400862323802</v>
      </c>
      <c r="I12" s="5">
        <f t="shared" si="1"/>
        <v>13855.972888193517</v>
      </c>
      <c r="J12" s="5">
        <f t="shared" si="1"/>
        <v>14133.092345957388</v>
      </c>
      <c r="K12" s="5">
        <f t="shared" si="1"/>
        <v>14557.085116336109</v>
      </c>
      <c r="L12" s="5">
        <f t="shared" si="1"/>
        <v>14848.226818662832</v>
      </c>
      <c r="M12" s="5">
        <f t="shared" si="1"/>
        <v>15293.673623222716</v>
      </c>
      <c r="N12" s="7">
        <f t="shared" si="2"/>
        <v>1.03</v>
      </c>
      <c r="O12" s="7">
        <f t="shared" si="3"/>
        <v>1.02</v>
      </c>
      <c r="P12" s="7">
        <f t="shared" si="4"/>
        <v>1.03</v>
      </c>
      <c r="Q12" s="7">
        <f t="shared" si="5"/>
        <v>1.02</v>
      </c>
      <c r="R12" s="7">
        <f t="shared" si="6"/>
        <v>1.03</v>
      </c>
      <c r="U12" s="298"/>
      <c r="V12" s="299"/>
      <c r="W12" s="88" t="s">
        <v>64</v>
      </c>
      <c r="X12" s="92" t="e">
        <f>#REF!+#REF!+#REF!+#REF!+#REF!+#REF!+#REF!+#REF!+#REF!+#REF!</f>
        <v>#REF!</v>
      </c>
      <c r="Y12" s="92" t="e">
        <f>#REF!+#REF!+#REF!+#REF!+#REF!+#REF!+#REF!+#REF!+#REF!+#REF!</f>
        <v>#REF!</v>
      </c>
      <c r="Z12" s="92" t="e">
        <f>#REF!+#REF!+#REF!+#REF!+#REF!+#REF!+#REF!+#REF!+#REF!+#REF!</f>
        <v>#REF!</v>
      </c>
      <c r="AA12" s="92" t="e">
        <f>#REF!+#REF!+#REF!+#REF!+#REF!+#REF!+#REF!+#REF!+#REF!+#REF!</f>
        <v>#REF!</v>
      </c>
      <c r="AB12" s="92" t="e">
        <f>#REF!+#REF!+#REF!+#REF!+#REF!+#REF!+#REF!+#REF!+#REF!+#REF!</f>
        <v>#REF!</v>
      </c>
      <c r="AC12" s="92" t="e">
        <f>#REF!+#REF!+#REF!+#REF!+#REF!+#REF!+#REF!+#REF!+#REF!+#REF!</f>
        <v>#REF!</v>
      </c>
      <c r="AD12" s="92" t="e">
        <f>#REF!+#REF!+#REF!+#REF!+#REF!+#REF!+#REF!+#REF!+#REF!+#REF!</f>
        <v>#REF!</v>
      </c>
      <c r="AE12" s="92" t="e">
        <f>#REF!+#REF!+#REF!+#REF!+#REF!+#REF!+#REF!+#REF!+#REF!+#REF!</f>
        <v>#REF!</v>
      </c>
      <c r="AF12" s="92" t="e">
        <f>#REF!+#REF!+#REF!+#REF!+#REF!+#REF!+#REF!+#REF!+#REF!+#REF!</f>
        <v>#REF!</v>
      </c>
      <c r="AG12" s="92" t="e">
        <f>#REF!+#REF!+#REF!+#REF!+#REF!+#REF!+#REF!+#REF!+#REF!+#REF!</f>
        <v>#REF!</v>
      </c>
      <c r="AH12" s="92" t="e">
        <f>#REF!+#REF!+#REF!+#REF!+#REF!+#REF!+#REF!+#REF!+#REF!+#REF!</f>
        <v>#REF!</v>
      </c>
      <c r="AI12" s="92" t="e">
        <f>#REF!+#REF!+#REF!+#REF!+#REF!+#REF!+#REF!+#REF!+#REF!+#REF!</f>
        <v>#REF!</v>
      </c>
      <c r="AJ12" s="91" t="e">
        <f t="shared" si="8"/>
        <v>#REF!</v>
      </c>
    </row>
    <row r="13" spans="2:36">
      <c r="B13" s="322"/>
      <c r="C13" s="322"/>
      <c r="D13" s="4" t="s">
        <v>21</v>
      </c>
      <c r="E13" s="5">
        <v>244084797.5</v>
      </c>
      <c r="F13" s="6">
        <v>216486715.90377527</v>
      </c>
      <c r="G13" s="6">
        <v>248004022.59999999</v>
      </c>
      <c r="H13" s="5">
        <v>125485718.78860442</v>
      </c>
      <c r="I13" s="5">
        <f t="shared" si="1"/>
        <v>129250290.35226256</v>
      </c>
      <c r="J13" s="5">
        <f t="shared" si="1"/>
        <v>131835296.15930781</v>
      </c>
      <c r="K13" s="5">
        <f t="shared" si="1"/>
        <v>135790355.04408705</v>
      </c>
      <c r="L13" s="5">
        <f t="shared" si="1"/>
        <v>138506162.14496881</v>
      </c>
      <c r="M13" s="5">
        <f t="shared" si="1"/>
        <v>142661347.00931787</v>
      </c>
      <c r="N13" s="7">
        <f t="shared" si="2"/>
        <v>1.03</v>
      </c>
      <c r="O13" s="7">
        <f t="shared" si="3"/>
        <v>1.02</v>
      </c>
      <c r="P13" s="7">
        <f t="shared" si="4"/>
        <v>1.03</v>
      </c>
      <c r="Q13" s="7">
        <f t="shared" si="5"/>
        <v>1.02</v>
      </c>
      <c r="R13" s="7">
        <f t="shared" si="6"/>
        <v>1.03</v>
      </c>
      <c r="U13" s="298"/>
      <c r="V13" s="299"/>
      <c r="W13" s="88" t="s">
        <v>52</v>
      </c>
      <c r="X13" s="80" t="e">
        <f>#REF!</f>
        <v>#REF!</v>
      </c>
      <c r="Y13" s="80" t="e">
        <f>#REF!</f>
        <v>#REF!</v>
      </c>
      <c r="Z13" s="80" t="e">
        <f>#REF!</f>
        <v>#REF!</v>
      </c>
      <c r="AA13" s="80" t="e">
        <f>#REF!</f>
        <v>#REF!</v>
      </c>
      <c r="AB13" s="80" t="e">
        <f>#REF!</f>
        <v>#REF!</v>
      </c>
      <c r="AC13" s="80" t="e">
        <f>#REF!</f>
        <v>#REF!</v>
      </c>
      <c r="AD13" s="80" t="e">
        <f>#REF!</f>
        <v>#REF!</v>
      </c>
      <c r="AE13" s="80" t="e">
        <f>#REF!</f>
        <v>#REF!</v>
      </c>
      <c r="AF13" s="80" t="e">
        <f>#REF!</f>
        <v>#REF!</v>
      </c>
      <c r="AG13" s="80" t="e">
        <f>#REF!</f>
        <v>#REF!</v>
      </c>
      <c r="AH13" s="80" t="e">
        <f>#REF!</f>
        <v>#REF!</v>
      </c>
      <c r="AI13" s="80" t="e">
        <f>#REF!</f>
        <v>#REF!</v>
      </c>
      <c r="AJ13" s="90" t="e">
        <f t="shared" si="8"/>
        <v>#REF!</v>
      </c>
    </row>
    <row r="14" spans="2:36">
      <c r="B14" s="320" t="s">
        <v>24</v>
      </c>
      <c r="C14" s="320" t="s">
        <v>23</v>
      </c>
      <c r="D14" s="9" t="s">
        <v>17</v>
      </c>
      <c r="E14" s="10">
        <f>E6+E10</f>
        <v>9871</v>
      </c>
      <c r="F14" s="10">
        <f t="shared" ref="F14:G17" si="9">F6+F10</f>
        <v>8896.9009872999995</v>
      </c>
      <c r="G14" s="10">
        <f>G6+G10</f>
        <v>10072</v>
      </c>
      <c r="H14" s="10">
        <f>H6+H8</f>
        <v>9290.1401156863376</v>
      </c>
      <c r="I14" s="10">
        <f t="shared" ref="I14:M14" si="10">I6+I8</f>
        <v>9568.8443191569277</v>
      </c>
      <c r="J14" s="10">
        <f t="shared" si="10"/>
        <v>9760.2212055400669</v>
      </c>
      <c r="K14" s="10">
        <f t="shared" si="10"/>
        <v>10053.027841706269</v>
      </c>
      <c r="L14" s="10">
        <f t="shared" si="10"/>
        <v>10254.088398540394</v>
      </c>
      <c r="M14" s="10">
        <f t="shared" si="10"/>
        <v>10561.711050496606</v>
      </c>
      <c r="N14" s="11">
        <f>(N6+N10)/2</f>
        <v>1.03</v>
      </c>
      <c r="O14" s="11">
        <f t="shared" ref="N14:P17" si="11">(O6+O10)/2</f>
        <v>1.02</v>
      </c>
      <c r="P14" s="11">
        <f>(P6+P10)/2</f>
        <v>1.03</v>
      </c>
      <c r="Q14" s="11">
        <f t="shared" ref="Q14:R14" si="12">(Q6+Q10)/2</f>
        <v>1.02</v>
      </c>
      <c r="R14" s="11">
        <f t="shared" si="12"/>
        <v>1.03</v>
      </c>
      <c r="U14" s="298"/>
      <c r="V14" s="299"/>
      <c r="W14" s="88" t="s">
        <v>53</v>
      </c>
      <c r="X14" s="80" t="e">
        <f>#REF!</f>
        <v>#REF!</v>
      </c>
      <c r="Y14" s="80" t="e">
        <f>#REF!</f>
        <v>#REF!</v>
      </c>
      <c r="Z14" s="80" t="e">
        <f>#REF!</f>
        <v>#REF!</v>
      </c>
      <c r="AA14" s="80" t="e">
        <f>#REF!</f>
        <v>#REF!</v>
      </c>
      <c r="AB14" s="80" t="e">
        <f>#REF!</f>
        <v>#REF!</v>
      </c>
      <c r="AC14" s="80" t="e">
        <f>#REF!</f>
        <v>#REF!</v>
      </c>
      <c r="AD14" s="80" t="e">
        <f>#REF!</f>
        <v>#REF!</v>
      </c>
      <c r="AE14" s="80" t="e">
        <f>#REF!</f>
        <v>#REF!</v>
      </c>
      <c r="AF14" s="80" t="e">
        <f>#REF!</f>
        <v>#REF!</v>
      </c>
      <c r="AG14" s="80" t="e">
        <f>#REF!</f>
        <v>#REF!</v>
      </c>
      <c r="AH14" s="80" t="e">
        <f>#REF!</f>
        <v>#REF!</v>
      </c>
      <c r="AI14" s="80" t="e">
        <f>#REF!</f>
        <v>#REF!</v>
      </c>
      <c r="AJ14" s="90" t="e">
        <f t="shared" si="8"/>
        <v>#REF!</v>
      </c>
    </row>
    <row r="15" spans="2:36">
      <c r="B15" s="320"/>
      <c r="C15" s="320"/>
      <c r="D15" s="9" t="s">
        <v>18</v>
      </c>
      <c r="E15" s="10">
        <f>E7+E11</f>
        <v>88507179</v>
      </c>
      <c r="F15" s="10">
        <f t="shared" si="9"/>
        <v>85829484.299360901</v>
      </c>
      <c r="G15" s="10">
        <f>G7+G11</f>
        <v>99835474</v>
      </c>
      <c r="H15" s="10">
        <f>H7+H9</f>
        <v>54646471.965490013</v>
      </c>
      <c r="I15" s="10">
        <f t="shared" ref="I15:M15" si="13">I7+I9</f>
        <v>56285866.124454707</v>
      </c>
      <c r="J15" s="10">
        <f t="shared" si="13"/>
        <v>57411583.446943805</v>
      </c>
      <c r="K15" s="10">
        <f t="shared" si="13"/>
        <v>59133930.950352125</v>
      </c>
      <c r="L15" s="10">
        <f t="shared" si="13"/>
        <v>60316609.569359168</v>
      </c>
      <c r="M15" s="10">
        <f t="shared" si="13"/>
        <v>62126107.856439933</v>
      </c>
      <c r="N15" s="11">
        <f t="shared" si="11"/>
        <v>1.03</v>
      </c>
      <c r="O15" s="11">
        <f t="shared" si="11"/>
        <v>1.02</v>
      </c>
      <c r="P15" s="11">
        <f t="shared" si="11"/>
        <v>1.03</v>
      </c>
      <c r="Q15" s="11">
        <f t="shared" ref="Q15:R15" si="14">(Q7+Q11)/2</f>
        <v>1.02</v>
      </c>
      <c r="R15" s="11">
        <f t="shared" si="14"/>
        <v>1.03</v>
      </c>
      <c r="U15" s="298"/>
      <c r="V15" s="299" t="s">
        <v>102</v>
      </c>
      <c r="W15" s="88" t="s">
        <v>105</v>
      </c>
      <c r="X15" s="92" t="e">
        <f>#REF!+#REF!+#REF!+#REF!+#REF!+#REF!+#REF!+#REF!+#REF!+#REF!+#REF!</f>
        <v>#REF!</v>
      </c>
      <c r="Y15" s="92" t="e">
        <f>#REF!+#REF!+#REF!+#REF!+#REF!+#REF!+#REF!+#REF!+#REF!+#REF!+#REF!</f>
        <v>#REF!</v>
      </c>
      <c r="Z15" s="92" t="e">
        <f>#REF!+#REF!+#REF!+#REF!+#REF!+#REF!+#REF!+#REF!+#REF!+#REF!+#REF!</f>
        <v>#REF!</v>
      </c>
      <c r="AA15" s="92" t="e">
        <f>#REF!+#REF!+#REF!+#REF!+#REF!+#REF!+#REF!+#REF!+#REF!+#REF!+#REF!</f>
        <v>#REF!</v>
      </c>
      <c r="AB15" s="92" t="e">
        <f>#REF!+#REF!+#REF!+#REF!+#REF!+#REF!+#REF!+#REF!+#REF!+#REF!+#REF!</f>
        <v>#REF!</v>
      </c>
      <c r="AC15" s="92" t="e">
        <f>#REF!+#REF!+#REF!+#REF!+#REF!+#REF!+#REF!+#REF!+#REF!+#REF!+#REF!</f>
        <v>#REF!</v>
      </c>
      <c r="AD15" s="92" t="e">
        <f>#REF!+#REF!+#REF!+#REF!+#REF!+#REF!+#REF!+#REF!+#REF!+#REF!+#REF!</f>
        <v>#REF!</v>
      </c>
      <c r="AE15" s="92" t="e">
        <f>#REF!+#REF!+#REF!+#REF!+#REF!+#REF!+#REF!+#REF!+#REF!+#REF!+#REF!</f>
        <v>#REF!</v>
      </c>
      <c r="AF15" s="92" t="e">
        <f>#REF!+#REF!+#REF!+#REF!+#REF!+#REF!+#REF!+#REF!+#REF!+#REF!+#REF!</f>
        <v>#REF!</v>
      </c>
      <c r="AG15" s="92" t="e">
        <f>#REF!+#REF!+#REF!+#REF!+#REF!+#REF!+#REF!+#REF!+#REF!+#REF!+#REF!</f>
        <v>#REF!</v>
      </c>
      <c r="AH15" s="92" t="e">
        <f>#REF!+#REF!+#REF!+#REF!+#REF!+#REF!+#REF!+#REF!+#REF!+#REF!+#REF!</f>
        <v>#REF!</v>
      </c>
      <c r="AI15" s="92" t="e">
        <f>#REF!+#REF!+#REF!+#REF!+#REF!+#REF!+#REF!+#REF!+#REF!+#REF!+#REF!</f>
        <v>#REF!</v>
      </c>
      <c r="AJ15" s="90" t="e">
        <f t="shared" si="8"/>
        <v>#REF!</v>
      </c>
    </row>
    <row r="16" spans="2:36">
      <c r="B16" s="320"/>
      <c r="C16" s="320" t="s">
        <v>19</v>
      </c>
      <c r="D16" s="9" t="s">
        <v>20</v>
      </c>
      <c r="E16" s="10">
        <f>E8+E12</f>
        <v>29651</v>
      </c>
      <c r="F16" s="10">
        <f t="shared" si="9"/>
        <v>27802.9187647</v>
      </c>
      <c r="G16" s="10">
        <f t="shared" si="9"/>
        <v>27127.05</v>
      </c>
      <c r="H16" s="10">
        <f>H12+H10</f>
        <v>21018.354452962543</v>
      </c>
      <c r="I16" s="10">
        <f t="shared" ref="I16:M16" si="15">I12+I10</f>
        <v>21648.905086551422</v>
      </c>
      <c r="J16" s="10">
        <f t="shared" si="15"/>
        <v>22081.883188282452</v>
      </c>
      <c r="K16" s="10">
        <f t="shared" si="15"/>
        <v>22744.339683930924</v>
      </c>
      <c r="L16" s="10">
        <f t="shared" si="15"/>
        <v>23199.226477609544</v>
      </c>
      <c r="M16" s="10">
        <f t="shared" si="15"/>
        <v>23895.203271937829</v>
      </c>
      <c r="N16" s="11">
        <f t="shared" si="11"/>
        <v>1.03</v>
      </c>
      <c r="O16" s="11">
        <f t="shared" si="11"/>
        <v>1.02</v>
      </c>
      <c r="P16" s="11">
        <f t="shared" si="11"/>
        <v>1.03</v>
      </c>
      <c r="Q16" s="11">
        <f t="shared" ref="Q16:R16" si="16">(Q8+Q12)/2</f>
        <v>1.02</v>
      </c>
      <c r="R16" s="11">
        <f t="shared" si="16"/>
        <v>1.0299999999999998</v>
      </c>
      <c r="U16" s="298"/>
      <c r="V16" s="299"/>
      <c r="W16" s="88" t="s">
        <v>64</v>
      </c>
      <c r="X16" s="92" t="e">
        <f>#REF!+#REF!+#REF!+#REF!+#REF!+#REF!+#REF!+#REF!+#REF!+#REF!+#REF!</f>
        <v>#REF!</v>
      </c>
      <c r="Y16" s="92" t="e">
        <f>#REF!+#REF!+#REF!+#REF!+#REF!+#REF!+#REF!+#REF!+#REF!+#REF!+#REF!</f>
        <v>#REF!</v>
      </c>
      <c r="Z16" s="92" t="e">
        <f>#REF!+#REF!+#REF!+#REF!+#REF!+#REF!+#REF!+#REF!+#REF!+#REF!+#REF!</f>
        <v>#REF!</v>
      </c>
      <c r="AA16" s="92" t="e">
        <f>#REF!+#REF!+#REF!+#REF!+#REF!+#REF!+#REF!+#REF!+#REF!+#REF!+#REF!</f>
        <v>#REF!</v>
      </c>
      <c r="AB16" s="92" t="e">
        <f>#REF!+#REF!+#REF!+#REF!+#REF!+#REF!+#REF!+#REF!+#REF!+#REF!+#REF!</f>
        <v>#REF!</v>
      </c>
      <c r="AC16" s="92" t="e">
        <f>#REF!+#REF!+#REF!+#REF!+#REF!+#REF!+#REF!+#REF!+#REF!+#REF!+#REF!</f>
        <v>#REF!</v>
      </c>
      <c r="AD16" s="92" t="e">
        <f>#REF!+#REF!+#REF!+#REF!+#REF!+#REF!+#REF!+#REF!+#REF!+#REF!+#REF!</f>
        <v>#REF!</v>
      </c>
      <c r="AE16" s="92" t="e">
        <f>#REF!+#REF!+#REF!+#REF!+#REF!+#REF!+#REF!+#REF!+#REF!+#REF!+#REF!</f>
        <v>#REF!</v>
      </c>
      <c r="AF16" s="92" t="e">
        <f>#REF!+#REF!+#REF!+#REF!+#REF!+#REF!+#REF!+#REF!+#REF!+#REF!+#REF!</f>
        <v>#REF!</v>
      </c>
      <c r="AG16" s="92" t="e">
        <f>#REF!+#REF!+#REF!+#REF!+#REF!+#REF!+#REF!+#REF!+#REF!+#REF!+#REF!</f>
        <v>#REF!</v>
      </c>
      <c r="AH16" s="92" t="e">
        <f>#REF!+#REF!+#REF!+#REF!+#REF!+#REF!+#REF!+#REF!+#REF!+#REF!+#REF!</f>
        <v>#REF!</v>
      </c>
      <c r="AI16" s="92" t="e">
        <f>#REF!+#REF!+#REF!+#REF!+#REF!+#REF!+#REF!+#REF!+#REF!+#REF!+#REF!</f>
        <v>#REF!</v>
      </c>
      <c r="AJ16" s="90" t="e">
        <f t="shared" si="8"/>
        <v>#REF!</v>
      </c>
    </row>
    <row r="17" spans="1:36">
      <c r="B17" s="320"/>
      <c r="C17" s="320"/>
      <c r="D17" s="9" t="s">
        <v>21</v>
      </c>
      <c r="E17" s="10">
        <f>E9+E13</f>
        <v>284402325</v>
      </c>
      <c r="F17" s="10">
        <f t="shared" si="9"/>
        <v>253797031.13411629</v>
      </c>
      <c r="G17" s="10">
        <f t="shared" si="9"/>
        <v>283616352.21999997</v>
      </c>
      <c r="H17" s="10">
        <f>H13+H11</f>
        <v>182692896.23710266</v>
      </c>
      <c r="I17" s="10">
        <f t="shared" ref="I17:M17" si="17">I13+I11</f>
        <v>188173683.12421572</v>
      </c>
      <c r="J17" s="10">
        <f t="shared" si="17"/>
        <v>191937156.78670004</v>
      </c>
      <c r="K17" s="10">
        <f t="shared" si="17"/>
        <v>197695271.49030107</v>
      </c>
      <c r="L17" s="10">
        <f t="shared" si="17"/>
        <v>201649176.9201071</v>
      </c>
      <c r="M17" s="10">
        <f t="shared" si="17"/>
        <v>207698652.22771031</v>
      </c>
      <c r="N17" s="11">
        <f t="shared" si="11"/>
        <v>1.03</v>
      </c>
      <c r="O17" s="11">
        <f t="shared" si="11"/>
        <v>1.02</v>
      </c>
      <c r="P17" s="11">
        <f t="shared" si="11"/>
        <v>1.03</v>
      </c>
      <c r="Q17" s="11">
        <f t="shared" ref="Q17:R17" si="18">(Q9+Q13)/2</f>
        <v>1.02</v>
      </c>
      <c r="R17" s="11">
        <f t="shared" si="18"/>
        <v>1.03</v>
      </c>
      <c r="U17" s="298"/>
      <c r="V17" s="299"/>
      <c r="W17" s="89" t="s">
        <v>20</v>
      </c>
      <c r="X17" s="80" t="e">
        <f>#REF!</f>
        <v>#REF!</v>
      </c>
      <c r="Y17" s="80" t="e">
        <f>#REF!</f>
        <v>#REF!</v>
      </c>
      <c r="Z17" s="80" t="e">
        <f>#REF!</f>
        <v>#REF!</v>
      </c>
      <c r="AA17" s="80" t="e">
        <f>#REF!</f>
        <v>#REF!</v>
      </c>
      <c r="AB17" s="80" t="e">
        <f>#REF!</f>
        <v>#REF!</v>
      </c>
      <c r="AC17" s="80" t="e">
        <f>#REF!</f>
        <v>#REF!</v>
      </c>
      <c r="AD17" s="80" t="e">
        <f>#REF!</f>
        <v>#REF!</v>
      </c>
      <c r="AE17" s="80" t="e">
        <f>#REF!</f>
        <v>#REF!</v>
      </c>
      <c r="AF17" s="80" t="e">
        <f>#REF!</f>
        <v>#REF!</v>
      </c>
      <c r="AG17" s="80" t="e">
        <f>#REF!</f>
        <v>#REF!</v>
      </c>
      <c r="AH17" s="80" t="e">
        <f>#REF!</f>
        <v>#REF!</v>
      </c>
      <c r="AI17" s="80" t="e">
        <f>#REF!</f>
        <v>#REF!</v>
      </c>
      <c r="AJ17" s="90" t="e">
        <f>SUM(X17:AI17)</f>
        <v>#REF!</v>
      </c>
    </row>
    <row r="18" spans="1:36">
      <c r="U18" s="298"/>
      <c r="V18" s="299"/>
      <c r="W18" s="89" t="s">
        <v>21</v>
      </c>
      <c r="X18" s="80" t="e">
        <f>#REF!</f>
        <v>#REF!</v>
      </c>
      <c r="Y18" s="80" t="e">
        <f>#REF!</f>
        <v>#REF!</v>
      </c>
      <c r="Z18" s="80" t="e">
        <f>#REF!</f>
        <v>#REF!</v>
      </c>
      <c r="AA18" s="80" t="e">
        <f>#REF!</f>
        <v>#REF!</v>
      </c>
      <c r="AB18" s="80" t="e">
        <f>#REF!</f>
        <v>#REF!</v>
      </c>
      <c r="AC18" s="80" t="e">
        <f>#REF!</f>
        <v>#REF!</v>
      </c>
      <c r="AD18" s="80" t="e">
        <f>#REF!</f>
        <v>#REF!</v>
      </c>
      <c r="AE18" s="80" t="e">
        <f>#REF!</f>
        <v>#REF!</v>
      </c>
      <c r="AF18" s="80" t="e">
        <f>#REF!</f>
        <v>#REF!</v>
      </c>
      <c r="AG18" s="80" t="e">
        <f>#REF!</f>
        <v>#REF!</v>
      </c>
      <c r="AH18" s="80" t="e">
        <f>#REF!</f>
        <v>#REF!</v>
      </c>
      <c r="AI18" s="80" t="e">
        <f>#REF!</f>
        <v>#REF!</v>
      </c>
      <c r="AJ18" s="90" t="e">
        <f>SUM(X18:AI18)</f>
        <v>#REF!</v>
      </c>
    </row>
    <row r="19" spans="1:36">
      <c r="B19" s="1" t="s">
        <v>25</v>
      </c>
      <c r="I19" s="94">
        <v>0.3</v>
      </c>
      <c r="J19" s="93">
        <v>0.02</v>
      </c>
      <c r="K19" s="93">
        <v>0.03</v>
      </c>
      <c r="L19" s="93">
        <v>0.02</v>
      </c>
      <c r="M19" s="93">
        <v>0.03</v>
      </c>
    </row>
    <row r="20" spans="1:36" ht="28.8">
      <c r="B20" s="68" t="s">
        <v>1</v>
      </c>
      <c r="C20" s="68" t="s">
        <v>2</v>
      </c>
      <c r="D20" s="68" t="s">
        <v>26</v>
      </c>
      <c r="E20" s="12" t="s">
        <v>27</v>
      </c>
      <c r="F20" s="68" t="s">
        <v>5</v>
      </c>
      <c r="G20" s="68" t="s">
        <v>6</v>
      </c>
      <c r="H20" s="12" t="s">
        <v>6</v>
      </c>
      <c r="I20" s="12" t="s">
        <v>106</v>
      </c>
      <c r="J20" s="12" t="s">
        <v>107</v>
      </c>
      <c r="K20" s="12" t="s">
        <v>108</v>
      </c>
      <c r="L20" s="12" t="s">
        <v>109</v>
      </c>
      <c r="M20" s="12" t="s">
        <v>110</v>
      </c>
      <c r="N20" s="331" t="s">
        <v>7</v>
      </c>
      <c r="O20" s="332"/>
      <c r="P20" s="332"/>
      <c r="Q20" s="332"/>
      <c r="R20" s="332"/>
    </row>
    <row r="21" spans="1:36">
      <c r="B21" s="13"/>
      <c r="C21" s="13"/>
      <c r="D21" s="14"/>
      <c r="E21" s="13" t="s">
        <v>8</v>
      </c>
      <c r="F21" s="13" t="s">
        <v>9</v>
      </c>
      <c r="G21" s="13" t="s">
        <v>10</v>
      </c>
      <c r="H21" s="13" t="s">
        <v>11</v>
      </c>
      <c r="I21" s="3" t="s">
        <v>96</v>
      </c>
      <c r="J21" s="3" t="s">
        <v>111</v>
      </c>
      <c r="K21" s="3" t="s">
        <v>112</v>
      </c>
      <c r="L21" s="3" t="s">
        <v>113</v>
      </c>
      <c r="M21" s="3" t="s">
        <v>114</v>
      </c>
      <c r="N21" s="3" t="s">
        <v>115</v>
      </c>
      <c r="O21" s="3" t="s">
        <v>116</v>
      </c>
      <c r="P21" s="3" t="s">
        <v>117</v>
      </c>
      <c r="Q21" s="3" t="s">
        <v>118</v>
      </c>
      <c r="R21" s="3" t="s">
        <v>119</v>
      </c>
    </row>
    <row r="22" spans="1:36">
      <c r="B22" s="314" t="s">
        <v>15</v>
      </c>
      <c r="C22" s="4" t="s">
        <v>16</v>
      </c>
      <c r="D22" s="4" t="s">
        <v>17</v>
      </c>
      <c r="E22" s="15">
        <v>3662842598</v>
      </c>
      <c r="F22" s="15">
        <v>3780004121</v>
      </c>
      <c r="G22" s="15">
        <v>4908820657.999999</v>
      </c>
      <c r="H22" s="15">
        <f>'PANDU IKPP'!$O$76</f>
        <v>3108918014.0619044</v>
      </c>
      <c r="I22" s="5">
        <f>H22+(H22*I$19)</f>
        <v>4041593418.2804756</v>
      </c>
      <c r="J22" s="5">
        <f t="shared" ref="J22:M22" si="19">I22+(I22*J$19)</f>
        <v>4122425286.6460853</v>
      </c>
      <c r="K22" s="5">
        <f t="shared" si="19"/>
        <v>4246098045.2454677</v>
      </c>
      <c r="L22" s="5">
        <f t="shared" si="19"/>
        <v>4331020006.1503773</v>
      </c>
      <c r="M22" s="5">
        <f t="shared" si="19"/>
        <v>4460950606.3348885</v>
      </c>
      <c r="N22" s="7">
        <f>I22/H22</f>
        <v>1.3</v>
      </c>
      <c r="O22" s="7">
        <f>J22/I22</f>
        <v>1.02</v>
      </c>
      <c r="P22" s="7">
        <f>K22/J22</f>
        <v>1.03</v>
      </c>
      <c r="Q22" s="7">
        <f>L22/K22</f>
        <v>1.02</v>
      </c>
      <c r="R22" s="7">
        <f>M22/L22</f>
        <v>1.03</v>
      </c>
    </row>
    <row r="23" spans="1:36">
      <c r="B23" s="315"/>
      <c r="C23" s="4" t="s">
        <v>19</v>
      </c>
      <c r="D23" s="4" t="s">
        <v>18</v>
      </c>
      <c r="E23" s="17">
        <v>20119424026</v>
      </c>
      <c r="F23" s="17">
        <v>23648304299</v>
      </c>
      <c r="G23" s="17">
        <v>43449886032.999992</v>
      </c>
      <c r="H23" s="74">
        <f>'TUNDA IKPP'!Q193</f>
        <v>21797647173.142517</v>
      </c>
      <c r="I23" s="5">
        <f t="shared" ref="I23:M25" si="20">H23+(H23*I$19)</f>
        <v>28336941325.085274</v>
      </c>
      <c r="J23" s="5">
        <f t="shared" si="20"/>
        <v>28903680151.586979</v>
      </c>
      <c r="K23" s="5">
        <f t="shared" si="20"/>
        <v>29770790556.13459</v>
      </c>
      <c r="L23" s="5">
        <f t="shared" si="20"/>
        <v>30366206367.257282</v>
      </c>
      <c r="M23" s="5">
        <f t="shared" si="20"/>
        <v>31277192558.275002</v>
      </c>
      <c r="N23" s="7">
        <f t="shared" ref="N23:N25" si="21">I23/H23</f>
        <v>1.3</v>
      </c>
      <c r="O23" s="7">
        <f t="shared" ref="O23:O26" si="22">J23/I23</f>
        <v>1.02</v>
      </c>
      <c r="P23" s="7">
        <f t="shared" ref="P23:P26" si="23">K23/J23</f>
        <v>1.03</v>
      </c>
      <c r="Q23" s="7">
        <f t="shared" ref="Q23:Q26" si="24">L23/K23</f>
        <v>1.02</v>
      </c>
      <c r="R23" s="7">
        <f t="shared" ref="R23:R26" si="25">M23/L23</f>
        <v>1.03</v>
      </c>
    </row>
    <row r="24" spans="1:36">
      <c r="B24" s="314" t="s">
        <v>22</v>
      </c>
      <c r="C24" s="4" t="s">
        <v>23</v>
      </c>
      <c r="D24" s="4" t="s">
        <v>17</v>
      </c>
      <c r="E24" s="17">
        <v>17261281839</v>
      </c>
      <c r="F24" s="17">
        <v>18646890622</v>
      </c>
      <c r="G24" s="17">
        <v>21088333223.784</v>
      </c>
      <c r="H24" s="17" t="e">
        <f>#REF!</f>
        <v>#REF!</v>
      </c>
      <c r="I24" s="5" t="e">
        <f t="shared" si="20"/>
        <v>#REF!</v>
      </c>
      <c r="J24" s="5" t="e">
        <f t="shared" si="20"/>
        <v>#REF!</v>
      </c>
      <c r="K24" s="5" t="e">
        <f t="shared" si="20"/>
        <v>#REF!</v>
      </c>
      <c r="L24" s="5" t="e">
        <f t="shared" si="20"/>
        <v>#REF!</v>
      </c>
      <c r="M24" s="5" t="e">
        <f t="shared" si="20"/>
        <v>#REF!</v>
      </c>
      <c r="N24" s="7" t="e">
        <f t="shared" si="21"/>
        <v>#REF!</v>
      </c>
      <c r="O24" s="7" t="e">
        <f t="shared" si="22"/>
        <v>#REF!</v>
      </c>
      <c r="P24" s="7" t="e">
        <f t="shared" si="23"/>
        <v>#REF!</v>
      </c>
      <c r="Q24" s="7" t="e">
        <f t="shared" si="24"/>
        <v>#REF!</v>
      </c>
      <c r="R24" s="7" t="e">
        <f t="shared" si="25"/>
        <v>#REF!</v>
      </c>
    </row>
    <row r="25" spans="1:36">
      <c r="B25" s="315"/>
      <c r="C25" s="8" t="s">
        <v>19</v>
      </c>
      <c r="D25" s="8" t="s">
        <v>18</v>
      </c>
      <c r="E25" s="18">
        <v>83393040781</v>
      </c>
      <c r="F25" s="18">
        <v>88424721167</v>
      </c>
      <c r="G25" s="18">
        <v>96349748107.391006</v>
      </c>
      <c r="H25" s="75" t="e">
        <f>#REF!</f>
        <v>#REF!</v>
      </c>
      <c r="I25" s="5" t="e">
        <f t="shared" si="20"/>
        <v>#REF!</v>
      </c>
      <c r="J25" s="5" t="e">
        <f t="shared" si="20"/>
        <v>#REF!</v>
      </c>
      <c r="K25" s="5" t="e">
        <f t="shared" si="20"/>
        <v>#REF!</v>
      </c>
      <c r="L25" s="5" t="e">
        <f t="shared" si="20"/>
        <v>#REF!</v>
      </c>
      <c r="M25" s="5" t="e">
        <f t="shared" si="20"/>
        <v>#REF!</v>
      </c>
      <c r="N25" s="7" t="e">
        <f t="shared" si="21"/>
        <v>#REF!</v>
      </c>
      <c r="O25" s="7" t="e">
        <f t="shared" si="22"/>
        <v>#REF!</v>
      </c>
      <c r="P25" s="7" t="e">
        <f t="shared" si="23"/>
        <v>#REF!</v>
      </c>
      <c r="Q25" s="7" t="e">
        <f t="shared" si="24"/>
        <v>#REF!</v>
      </c>
      <c r="R25" s="7" t="e">
        <f t="shared" si="25"/>
        <v>#REF!</v>
      </c>
    </row>
    <row r="26" spans="1:36">
      <c r="B26" s="317" t="s">
        <v>28</v>
      </c>
      <c r="C26" s="317"/>
      <c r="D26" s="317"/>
      <c r="E26" s="76">
        <f>SUM(E22:E25)</f>
        <v>124436589244</v>
      </c>
      <c r="F26" s="76">
        <f t="shared" ref="F26:M26" si="26">SUM(F22:F25)</f>
        <v>134499920209</v>
      </c>
      <c r="G26" s="76">
        <f t="shared" si="26"/>
        <v>165796788022.17499</v>
      </c>
      <c r="H26" s="76" t="e">
        <f t="shared" si="26"/>
        <v>#REF!</v>
      </c>
      <c r="I26" s="76" t="e">
        <f t="shared" si="26"/>
        <v>#REF!</v>
      </c>
      <c r="J26" s="76" t="e">
        <f t="shared" si="26"/>
        <v>#REF!</v>
      </c>
      <c r="K26" s="76" t="e">
        <f t="shared" si="26"/>
        <v>#REF!</v>
      </c>
      <c r="L26" s="76" t="e">
        <f t="shared" si="26"/>
        <v>#REF!</v>
      </c>
      <c r="M26" s="76" t="e">
        <f t="shared" si="26"/>
        <v>#REF!</v>
      </c>
      <c r="N26" s="77" t="e">
        <f>I26/H26</f>
        <v>#REF!</v>
      </c>
      <c r="O26" s="77" t="e">
        <f t="shared" si="22"/>
        <v>#REF!</v>
      </c>
      <c r="P26" s="77" t="e">
        <f t="shared" si="23"/>
        <v>#REF!</v>
      </c>
      <c r="Q26" s="77" t="e">
        <f t="shared" si="24"/>
        <v>#REF!</v>
      </c>
      <c r="R26" s="77" t="e">
        <f t="shared" si="25"/>
        <v>#REF!</v>
      </c>
    </row>
    <row r="27" spans="1:36">
      <c r="E27" s="19"/>
      <c r="F27" s="19"/>
      <c r="G27" s="19"/>
      <c r="H27" s="19"/>
      <c r="I27" s="19"/>
      <c r="J27" s="19"/>
      <c r="K27" s="19"/>
      <c r="L27" s="19"/>
      <c r="M27" s="19"/>
      <c r="P27" s="20"/>
      <c r="Q27" s="20"/>
      <c r="R27" s="20"/>
    </row>
    <row r="28" spans="1:36" hidden="1">
      <c r="A28" s="70" t="s">
        <v>29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</row>
    <row r="29" spans="1:36" hidden="1">
      <c r="A29" s="21">
        <v>1</v>
      </c>
      <c r="B29" s="70" t="s">
        <v>30</v>
      </c>
      <c r="C29" s="70"/>
      <c r="D29" s="70"/>
      <c r="E29" s="70"/>
      <c r="F29" s="70"/>
      <c r="G29" s="70"/>
    </row>
    <row r="30" spans="1:36" hidden="1">
      <c r="A30" s="21">
        <v>2</v>
      </c>
      <c r="B30" s="78" t="s">
        <v>31</v>
      </c>
      <c r="C30" s="78"/>
      <c r="D30" s="78"/>
      <c r="E30" s="78"/>
      <c r="F30" s="78"/>
      <c r="G30" s="78"/>
    </row>
    <row r="31" spans="1:36" hidden="1">
      <c r="A31" s="21">
        <v>3</v>
      </c>
      <c r="B31" s="22" t="s">
        <v>32</v>
      </c>
      <c r="C31" s="23"/>
      <c r="D31" s="23"/>
      <c r="E31" s="23"/>
      <c r="F31" s="23"/>
      <c r="G31" s="23"/>
    </row>
    <row r="32" spans="1:36" hidden="1">
      <c r="A32" s="21">
        <v>4</v>
      </c>
      <c r="B32" s="24" t="s">
        <v>33</v>
      </c>
      <c r="C32" s="25"/>
      <c r="D32" s="25"/>
      <c r="E32" s="25"/>
      <c r="F32" s="25"/>
      <c r="G32" s="25"/>
      <c r="N32" s="24"/>
      <c r="O32" s="24"/>
      <c r="P32" s="24"/>
      <c r="Q32" s="24"/>
      <c r="R32" s="24"/>
    </row>
    <row r="33" spans="1:18" hidden="1">
      <c r="A33" s="21">
        <v>5</v>
      </c>
      <c r="B33" s="24" t="s">
        <v>34</v>
      </c>
      <c r="C33" s="24"/>
      <c r="D33" s="24"/>
      <c r="E33" s="24"/>
      <c r="F33" s="24"/>
      <c r="G33" s="24"/>
      <c r="N33" s="24"/>
      <c r="O33" s="24"/>
      <c r="P33" s="24"/>
      <c r="Q33" s="24"/>
      <c r="R33" s="24"/>
    </row>
    <row r="34" spans="1:18" hidden="1">
      <c r="B34" s="24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4"/>
      <c r="O34" s="24"/>
      <c r="P34" s="24"/>
      <c r="Q34" s="24"/>
      <c r="R34" s="24"/>
    </row>
    <row r="35" spans="1:18" hidden="1">
      <c r="N35" s="24"/>
      <c r="O35" s="24"/>
      <c r="P35" s="24"/>
      <c r="Q35" s="24"/>
      <c r="R35" s="24"/>
    </row>
  </sheetData>
  <mergeCells count="21">
    <mergeCell ref="U2:W2"/>
    <mergeCell ref="U3:U10"/>
    <mergeCell ref="V3:V6"/>
    <mergeCell ref="B6:B9"/>
    <mergeCell ref="C6:C7"/>
    <mergeCell ref="V7:V10"/>
    <mergeCell ref="C8:C9"/>
    <mergeCell ref="B10:B13"/>
    <mergeCell ref="C10:C11"/>
    <mergeCell ref="U11:U18"/>
    <mergeCell ref="V11:V14"/>
    <mergeCell ref="C12:C13"/>
    <mergeCell ref="B14:B17"/>
    <mergeCell ref="C14:C15"/>
    <mergeCell ref="V15:V18"/>
    <mergeCell ref="C16:C17"/>
    <mergeCell ref="B22:B23"/>
    <mergeCell ref="B24:B25"/>
    <mergeCell ref="B26:D26"/>
    <mergeCell ref="N4:R4"/>
    <mergeCell ref="N20:R20"/>
  </mergeCells>
  <pageMargins left="0.51181102362204722" right="0.31496062992125984" top="0.55118110236220474" bottom="0.55118110236220474" header="0.31496062992125984" footer="0.31496062992125984"/>
  <pageSetup paperSize="9" scale="93" orientation="landscape" r:id="rId1"/>
  <colBreaks count="1" manualBreakCount="1">
    <brk id="2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L101"/>
  <sheetViews>
    <sheetView zoomScale="70" zoomScaleNormal="60" workbookViewId="0">
      <pane ySplit="3" topLeftCell="A4" activePane="bottomLeft" state="frozen"/>
      <selection activeCell="C71" sqref="C71"/>
      <selection pane="bottomLeft" activeCell="C7" sqref="C7"/>
    </sheetView>
  </sheetViews>
  <sheetFormatPr defaultRowHeight="14.4"/>
  <cols>
    <col min="1" max="1" width="11.5546875" bestFit="1" customWidth="1"/>
    <col min="2" max="2" width="14.109375" bestFit="1" customWidth="1"/>
    <col min="3" max="14" width="15.33203125" bestFit="1" customWidth="1"/>
    <col min="15" max="15" width="15" style="1" bestFit="1" customWidth="1"/>
    <col min="16" max="16" width="17.88671875" style="39" bestFit="1" customWidth="1"/>
    <col min="17" max="17" width="13.33203125" customWidth="1"/>
    <col min="18" max="18" width="17" style="39" bestFit="1" customWidth="1"/>
    <col min="19" max="19" width="10" bestFit="1" customWidth="1"/>
    <col min="21" max="21" width="11.5546875" bestFit="1" customWidth="1"/>
    <col min="22" max="22" width="14.109375" bestFit="1" customWidth="1"/>
    <col min="23" max="34" width="15.33203125" bestFit="1" customWidth="1"/>
    <col min="35" max="35" width="15" style="1" bestFit="1" customWidth="1"/>
    <col min="36" max="36" width="17.88671875" style="39" bestFit="1" customWidth="1"/>
    <col min="37" max="37" width="15.6640625" customWidth="1"/>
    <col min="38" max="38" width="17" style="39" bestFit="1" customWidth="1"/>
  </cols>
  <sheetData>
    <row r="1" spans="1:38">
      <c r="B1" s="56" t="s">
        <v>36</v>
      </c>
      <c r="C1" s="56">
        <v>16900</v>
      </c>
      <c r="F1" s="56" t="s">
        <v>94</v>
      </c>
      <c r="G1" s="56">
        <v>71.5</v>
      </c>
      <c r="I1" s="56" t="s">
        <v>35</v>
      </c>
      <c r="J1" s="57">
        <v>631880</v>
      </c>
      <c r="L1" t="s">
        <v>52</v>
      </c>
      <c r="M1" s="204">
        <v>1</v>
      </c>
      <c r="P1" s="39">
        <f>USULAN!N22</f>
        <v>3079864506</v>
      </c>
      <c r="V1" s="56" t="s">
        <v>36</v>
      </c>
      <c r="W1" s="56">
        <v>17500</v>
      </c>
      <c r="Z1" s="56" t="s">
        <v>94</v>
      </c>
      <c r="AA1" s="56">
        <v>71.5</v>
      </c>
      <c r="AC1" s="56" t="s">
        <v>35</v>
      </c>
      <c r="AD1" s="57">
        <v>631880</v>
      </c>
      <c r="AF1" t="s">
        <v>52</v>
      </c>
      <c r="AG1" s="205">
        <v>1</v>
      </c>
      <c r="AJ1" s="39">
        <f>USULAN!O22</f>
        <v>3172260441.1799998</v>
      </c>
      <c r="AK1" t="str">
        <f>IF(AJ1&lt;1,"LEBIH","KURANG")</f>
        <v>KURANG</v>
      </c>
    </row>
    <row r="2" spans="1:38">
      <c r="B2" s="56" t="s">
        <v>37</v>
      </c>
      <c r="C2" s="56">
        <v>2</v>
      </c>
      <c r="F2" s="56"/>
      <c r="G2" s="56">
        <v>3.2000000000000001E-2</v>
      </c>
      <c r="I2" s="56"/>
      <c r="J2" s="56">
        <v>181</v>
      </c>
      <c r="L2" t="s">
        <v>164</v>
      </c>
      <c r="M2" s="204">
        <f>M1</f>
        <v>1</v>
      </c>
      <c r="N2" s="39"/>
      <c r="O2" s="39"/>
      <c r="Q2" s="39"/>
      <c r="S2" s="39"/>
      <c r="V2" s="56" t="s">
        <v>37</v>
      </c>
      <c r="W2" s="56">
        <v>2</v>
      </c>
      <c r="Z2" s="56"/>
      <c r="AA2" s="56">
        <v>3.2000000000000001E-2</v>
      </c>
      <c r="AC2" s="56"/>
      <c r="AD2" s="56">
        <v>181</v>
      </c>
      <c r="AF2" t="s">
        <v>164</v>
      </c>
      <c r="AG2" s="204">
        <f>AG1</f>
        <v>1</v>
      </c>
    </row>
    <row r="3" spans="1:38">
      <c r="G3" s="27">
        <v>2</v>
      </c>
      <c r="H3" t="s">
        <v>123</v>
      </c>
      <c r="I3">
        <v>0.75</v>
      </c>
      <c r="AA3" s="27">
        <v>2</v>
      </c>
      <c r="AB3" t="s">
        <v>170</v>
      </c>
      <c r="AC3" s="217">
        <v>1</v>
      </c>
    </row>
    <row r="4" spans="1:38">
      <c r="G4" s="55"/>
      <c r="H4" t="s">
        <v>64</v>
      </c>
      <c r="I4">
        <v>0.75</v>
      </c>
      <c r="W4" s="194">
        <v>0</v>
      </c>
      <c r="AA4" s="55"/>
      <c r="AB4" t="s">
        <v>171</v>
      </c>
      <c r="AC4" s="217">
        <v>1</v>
      </c>
    </row>
    <row r="5" spans="1:38">
      <c r="B5" s="333" t="s">
        <v>151</v>
      </c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V5" s="333" t="s">
        <v>107</v>
      </c>
      <c r="W5" s="333"/>
      <c r="X5" s="333"/>
      <c r="Y5" s="333"/>
      <c r="Z5" s="333"/>
      <c r="AA5" s="333"/>
      <c r="AB5" s="333"/>
      <c r="AC5" s="333"/>
      <c r="AD5" s="333"/>
      <c r="AE5" s="333"/>
      <c r="AF5" s="333"/>
      <c r="AG5" s="333"/>
      <c r="AH5" s="333"/>
    </row>
    <row r="6" spans="1:38">
      <c r="B6" s="28" t="s">
        <v>50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s="1" t="s">
        <v>95</v>
      </c>
      <c r="V6" s="28" t="s">
        <v>50</v>
      </c>
      <c r="W6" t="s">
        <v>38</v>
      </c>
      <c r="X6" t="s">
        <v>39</v>
      </c>
      <c r="Y6" t="s">
        <v>40</v>
      </c>
      <c r="Z6" t="s">
        <v>41</v>
      </c>
      <c r="AA6" t="s">
        <v>42</v>
      </c>
      <c r="AB6" t="s">
        <v>43</v>
      </c>
      <c r="AC6" t="s">
        <v>44</v>
      </c>
      <c r="AD6" t="s">
        <v>45</v>
      </c>
      <c r="AE6" t="s">
        <v>46</v>
      </c>
      <c r="AF6" t="s">
        <v>47</v>
      </c>
      <c r="AG6" t="s">
        <v>48</v>
      </c>
      <c r="AH6" t="s">
        <v>49</v>
      </c>
      <c r="AI6" s="1" t="s">
        <v>95</v>
      </c>
    </row>
    <row r="7" spans="1:38">
      <c r="B7" t="s">
        <v>51</v>
      </c>
      <c r="C7" s="277">
        <f>'TAMBAT-IKPP'!E8</f>
        <v>7</v>
      </c>
      <c r="D7" s="277">
        <f>'TAMBAT-IKPP'!F8</f>
        <v>4</v>
      </c>
      <c r="E7" s="277">
        <f>'TAMBAT-IKPP'!G8</f>
        <v>9</v>
      </c>
      <c r="F7" s="277">
        <v>8</v>
      </c>
      <c r="G7" s="277">
        <v>6</v>
      </c>
      <c r="H7" s="277">
        <v>7</v>
      </c>
      <c r="I7" s="277">
        <v>9</v>
      </c>
      <c r="J7" s="277">
        <v>5</v>
      </c>
      <c r="K7" s="277">
        <v>8</v>
      </c>
      <c r="L7" s="277">
        <v>9</v>
      </c>
      <c r="M7" s="277">
        <v>7</v>
      </c>
      <c r="N7" s="277">
        <v>6</v>
      </c>
      <c r="O7" s="61">
        <f>SUM(C7:N7)</f>
        <v>85</v>
      </c>
      <c r="P7" s="54"/>
      <c r="V7" t="s">
        <v>51</v>
      </c>
      <c r="W7" s="96">
        <v>8</v>
      </c>
      <c r="X7" s="96">
        <v>6</v>
      </c>
      <c r="Y7" s="96">
        <v>4</v>
      </c>
      <c r="Z7" s="96">
        <v>4</v>
      </c>
      <c r="AA7" s="96">
        <v>6</v>
      </c>
      <c r="AB7" s="96">
        <v>4</v>
      </c>
      <c r="AC7" s="96">
        <v>7</v>
      </c>
      <c r="AD7" s="96">
        <v>8</v>
      </c>
      <c r="AE7" s="96">
        <v>6</v>
      </c>
      <c r="AF7" s="96">
        <v>6</v>
      </c>
      <c r="AG7" s="96">
        <v>4</v>
      </c>
      <c r="AH7" s="96">
        <v>6</v>
      </c>
      <c r="AI7" s="61">
        <f>SUM(W7:AH7)</f>
        <v>69</v>
      </c>
      <c r="AJ7" s="54"/>
    </row>
    <row r="8" spans="1:38">
      <c r="C8" s="277">
        <f>'TAMBAT-IKPP'!E9</f>
        <v>178208</v>
      </c>
      <c r="D8" s="277">
        <f>'TAMBAT-IKPP'!F9</f>
        <v>38129</v>
      </c>
      <c r="E8" s="277">
        <f>'TAMBAT-IKPP'!G9</f>
        <v>191884</v>
      </c>
      <c r="F8" s="277">
        <v>203666.28571428571</v>
      </c>
      <c r="G8" s="277">
        <v>57193.5</v>
      </c>
      <c r="H8" s="277">
        <v>149243.11111111112</v>
      </c>
      <c r="I8" s="277">
        <v>85790.25</v>
      </c>
      <c r="J8" s="277">
        <v>106602.22222222222</v>
      </c>
      <c r="K8" s="277">
        <v>76258</v>
      </c>
      <c r="L8" s="277">
        <v>191884</v>
      </c>
      <c r="M8" s="277">
        <v>66725.75</v>
      </c>
      <c r="N8" s="277">
        <v>127922.66666666667</v>
      </c>
      <c r="O8" s="61">
        <f>SUM(C8:N8)</f>
        <v>1473506.7857142857</v>
      </c>
      <c r="W8" s="96">
        <v>106603</v>
      </c>
      <c r="X8" s="96">
        <f t="shared" ref="X8:AH8" si="0">ROUNDUP(D8*$AC$4,)</f>
        <v>38129</v>
      </c>
      <c r="Y8" s="96">
        <f t="shared" si="0"/>
        <v>191884</v>
      </c>
      <c r="Z8" s="96">
        <f t="shared" si="0"/>
        <v>203667</v>
      </c>
      <c r="AA8" s="96">
        <f t="shared" si="0"/>
        <v>57194</v>
      </c>
      <c r="AB8" s="96">
        <f t="shared" si="0"/>
        <v>149244</v>
      </c>
      <c r="AC8" s="96">
        <f>ROUNDUP(I8*$AC$4,)</f>
        <v>85791</v>
      </c>
      <c r="AD8" s="96">
        <f t="shared" si="0"/>
        <v>106603</v>
      </c>
      <c r="AE8" s="96">
        <f t="shared" si="0"/>
        <v>76258</v>
      </c>
      <c r="AF8" s="96">
        <f t="shared" si="0"/>
        <v>191884</v>
      </c>
      <c r="AG8" s="96">
        <f t="shared" si="0"/>
        <v>66726</v>
      </c>
      <c r="AH8" s="96">
        <f t="shared" si="0"/>
        <v>127923</v>
      </c>
      <c r="AI8" s="61">
        <f>SUM(W8:AH8)</f>
        <v>1401906</v>
      </c>
    </row>
    <row r="9" spans="1:38">
      <c r="A9" s="222">
        <f>$M$1</f>
        <v>1</v>
      </c>
      <c r="B9" s="31" t="s">
        <v>52</v>
      </c>
      <c r="C9" s="32">
        <f>C7*$C$2</f>
        <v>14</v>
      </c>
      <c r="D9" s="32">
        <f t="shared" ref="D9:N9" si="1">D7*$C$2</f>
        <v>8</v>
      </c>
      <c r="E9" s="32">
        <f t="shared" si="1"/>
        <v>18</v>
      </c>
      <c r="F9" s="32">
        <f t="shared" si="1"/>
        <v>16</v>
      </c>
      <c r="G9" s="32">
        <f t="shared" si="1"/>
        <v>12</v>
      </c>
      <c r="H9" s="32">
        <f t="shared" si="1"/>
        <v>14</v>
      </c>
      <c r="I9" s="32">
        <f t="shared" si="1"/>
        <v>18</v>
      </c>
      <c r="J9" s="32">
        <f t="shared" si="1"/>
        <v>10</v>
      </c>
      <c r="K9" s="32">
        <f t="shared" si="1"/>
        <v>16</v>
      </c>
      <c r="L9" s="32">
        <f t="shared" si="1"/>
        <v>18</v>
      </c>
      <c r="M9" s="32">
        <f t="shared" si="1"/>
        <v>14</v>
      </c>
      <c r="N9" s="32">
        <f t="shared" si="1"/>
        <v>12</v>
      </c>
      <c r="O9" s="59">
        <f t="shared" ref="O9:O20" si="2">SUM(C9:N9)</f>
        <v>170</v>
      </c>
      <c r="U9" s="54">
        <f>$AG$1</f>
        <v>1</v>
      </c>
      <c r="V9" s="31" t="s">
        <v>52</v>
      </c>
      <c r="W9" s="32">
        <f t="shared" ref="W9:AH9" si="3">W7*$C$2</f>
        <v>16</v>
      </c>
      <c r="X9" s="32">
        <f t="shared" si="3"/>
        <v>12</v>
      </c>
      <c r="Y9" s="32">
        <f t="shared" si="3"/>
        <v>8</v>
      </c>
      <c r="Z9" s="32">
        <f t="shared" si="3"/>
        <v>8</v>
      </c>
      <c r="AA9" s="32">
        <f t="shared" si="3"/>
        <v>12</v>
      </c>
      <c r="AB9" s="32">
        <f t="shared" si="3"/>
        <v>8</v>
      </c>
      <c r="AC9" s="32">
        <f t="shared" si="3"/>
        <v>14</v>
      </c>
      <c r="AD9" s="32">
        <f t="shared" si="3"/>
        <v>16</v>
      </c>
      <c r="AE9" s="32">
        <f t="shared" si="3"/>
        <v>12</v>
      </c>
      <c r="AF9" s="32">
        <f t="shared" si="3"/>
        <v>12</v>
      </c>
      <c r="AG9" s="32">
        <f t="shared" si="3"/>
        <v>8</v>
      </c>
      <c r="AH9" s="32">
        <f t="shared" si="3"/>
        <v>12</v>
      </c>
      <c r="AI9" s="59">
        <f t="shared" ref="AI9:AI20" si="4">SUM(W9:AH9)</f>
        <v>138</v>
      </c>
    </row>
    <row r="10" spans="1:38">
      <c r="A10" s="222">
        <f>$M$2</f>
        <v>1</v>
      </c>
      <c r="B10" s="31" t="s">
        <v>53</v>
      </c>
      <c r="C10" s="32">
        <f>C8*$C$2</f>
        <v>356416</v>
      </c>
      <c r="D10" s="32">
        <f t="shared" ref="D10:N10" si="5">D8*$C$2</f>
        <v>76258</v>
      </c>
      <c r="E10" s="32">
        <f t="shared" si="5"/>
        <v>383768</v>
      </c>
      <c r="F10" s="32">
        <f t="shared" si="5"/>
        <v>407332.57142857142</v>
      </c>
      <c r="G10" s="32">
        <f t="shared" si="5"/>
        <v>114387</v>
      </c>
      <c r="H10" s="32">
        <f t="shared" si="5"/>
        <v>298486.22222222225</v>
      </c>
      <c r="I10" s="32">
        <f t="shared" si="5"/>
        <v>171580.5</v>
      </c>
      <c r="J10" s="32">
        <f t="shared" si="5"/>
        <v>213204.44444444444</v>
      </c>
      <c r="K10" s="32">
        <f t="shared" si="5"/>
        <v>152516</v>
      </c>
      <c r="L10" s="32">
        <f t="shared" si="5"/>
        <v>383768</v>
      </c>
      <c r="M10" s="32">
        <f t="shared" si="5"/>
        <v>133451.5</v>
      </c>
      <c r="N10" s="32">
        <f t="shared" si="5"/>
        <v>255845.33333333334</v>
      </c>
      <c r="O10" s="59">
        <f t="shared" si="2"/>
        <v>2947013.5714285714</v>
      </c>
      <c r="U10" s="54">
        <f>$AG$2</f>
        <v>1</v>
      </c>
      <c r="V10" s="31" t="s">
        <v>53</v>
      </c>
      <c r="W10" s="182">
        <f t="shared" ref="W10:AH10" si="6">W8*$C$2</f>
        <v>213206</v>
      </c>
      <c r="X10" s="182">
        <f t="shared" si="6"/>
        <v>76258</v>
      </c>
      <c r="Y10" s="182">
        <f t="shared" si="6"/>
        <v>383768</v>
      </c>
      <c r="Z10" s="182">
        <f t="shared" si="6"/>
        <v>407334</v>
      </c>
      <c r="AA10" s="182">
        <f t="shared" si="6"/>
        <v>114388</v>
      </c>
      <c r="AB10" s="182">
        <f t="shared" si="6"/>
        <v>298488</v>
      </c>
      <c r="AC10" s="182">
        <f t="shared" si="6"/>
        <v>171582</v>
      </c>
      <c r="AD10" s="182">
        <f t="shared" si="6"/>
        <v>213206</v>
      </c>
      <c r="AE10" s="182">
        <f t="shared" si="6"/>
        <v>152516</v>
      </c>
      <c r="AF10" s="182">
        <f t="shared" si="6"/>
        <v>383768</v>
      </c>
      <c r="AG10" s="182">
        <f t="shared" si="6"/>
        <v>133452</v>
      </c>
      <c r="AH10" s="182">
        <f t="shared" si="6"/>
        <v>255846</v>
      </c>
      <c r="AI10" s="59">
        <f t="shared" si="4"/>
        <v>2803812</v>
      </c>
    </row>
    <row r="11" spans="1:38">
      <c r="B11" s="31" t="s">
        <v>54</v>
      </c>
      <c r="C11" s="32">
        <f>(C9*$G$1*$C$1)*$A9</f>
        <v>16916900</v>
      </c>
      <c r="D11" s="32">
        <f t="shared" ref="D11:N11" si="7">(D9*$G$1*$C$1)*$A9</f>
        <v>9666800</v>
      </c>
      <c r="E11" s="32">
        <f t="shared" si="7"/>
        <v>21750300</v>
      </c>
      <c r="F11" s="32">
        <f t="shared" si="7"/>
        <v>19333600</v>
      </c>
      <c r="G11" s="32">
        <f t="shared" si="7"/>
        <v>14500200</v>
      </c>
      <c r="H11" s="32">
        <f t="shared" si="7"/>
        <v>16916900</v>
      </c>
      <c r="I11" s="32">
        <f t="shared" si="7"/>
        <v>21750300</v>
      </c>
      <c r="J11" s="32">
        <f t="shared" si="7"/>
        <v>12083500</v>
      </c>
      <c r="K11" s="32">
        <f t="shared" si="7"/>
        <v>19333600</v>
      </c>
      <c r="L11" s="32">
        <f t="shared" si="7"/>
        <v>21750300</v>
      </c>
      <c r="M11" s="32">
        <f t="shared" si="7"/>
        <v>16916900</v>
      </c>
      <c r="N11" s="32">
        <f t="shared" si="7"/>
        <v>14500200</v>
      </c>
      <c r="O11" s="59">
        <f t="shared" si="2"/>
        <v>205419500</v>
      </c>
      <c r="P11" s="82"/>
      <c r="Q11" s="54"/>
      <c r="V11" s="31" t="s">
        <v>54</v>
      </c>
      <c r="W11" s="32">
        <f>(W9*$G$1*$C$1)*$U9</f>
        <v>19333600</v>
      </c>
      <c r="X11" s="32">
        <f t="shared" ref="X11:AH11" si="8">(X9*$G$1*$C$1)*$U9</f>
        <v>14500200</v>
      </c>
      <c r="Y11" s="32">
        <f t="shared" si="8"/>
        <v>9666800</v>
      </c>
      <c r="Z11" s="32">
        <f t="shared" si="8"/>
        <v>9666800</v>
      </c>
      <c r="AA11" s="32">
        <f t="shared" si="8"/>
        <v>14500200</v>
      </c>
      <c r="AB11" s="32">
        <f t="shared" si="8"/>
        <v>9666800</v>
      </c>
      <c r="AC11" s="32">
        <f t="shared" si="8"/>
        <v>16916900</v>
      </c>
      <c r="AD11" s="32">
        <f t="shared" si="8"/>
        <v>19333600</v>
      </c>
      <c r="AE11" s="32">
        <f t="shared" si="8"/>
        <v>14500200</v>
      </c>
      <c r="AF11" s="32">
        <f t="shared" si="8"/>
        <v>14500200</v>
      </c>
      <c r="AG11" s="32">
        <f t="shared" si="8"/>
        <v>9666800</v>
      </c>
      <c r="AH11" s="32">
        <f t="shared" si="8"/>
        <v>14500200</v>
      </c>
      <c r="AI11" s="59">
        <f t="shared" si="4"/>
        <v>166752300</v>
      </c>
      <c r="AJ11" s="82"/>
      <c r="AK11" s="54"/>
    </row>
    <row r="12" spans="1:38">
      <c r="B12" s="31" t="s">
        <v>55</v>
      </c>
      <c r="C12" s="32">
        <f>(C10*$G$2*$C$1)*$A10</f>
        <v>192749772.80000001</v>
      </c>
      <c r="D12" s="32">
        <f t="shared" ref="D12:N12" si="9">(D10*$G$2*$C$1)*$A10</f>
        <v>41240326.399999999</v>
      </c>
      <c r="E12" s="32">
        <f t="shared" si="9"/>
        <v>207541734.40000001</v>
      </c>
      <c r="F12" s="32">
        <f t="shared" si="9"/>
        <v>220285454.62857142</v>
      </c>
      <c r="G12" s="32">
        <f t="shared" si="9"/>
        <v>61860489.600000001</v>
      </c>
      <c r="H12" s="32">
        <f t="shared" si="9"/>
        <v>161421348.97777778</v>
      </c>
      <c r="I12" s="32">
        <f>(I10*$G$2*$C$1)*$A10</f>
        <v>92790734.400000006</v>
      </c>
      <c r="J12" s="32">
        <f t="shared" si="9"/>
        <v>115300963.55555555</v>
      </c>
      <c r="K12" s="32">
        <f t="shared" si="9"/>
        <v>82480652.799999997</v>
      </c>
      <c r="L12" s="32">
        <f t="shared" si="9"/>
        <v>207541734.40000001</v>
      </c>
      <c r="M12" s="32">
        <f t="shared" si="9"/>
        <v>72170571.200000003</v>
      </c>
      <c r="N12" s="32">
        <f t="shared" si="9"/>
        <v>138361156.26666668</v>
      </c>
      <c r="O12" s="59">
        <f t="shared" si="2"/>
        <v>1593744939.4285715</v>
      </c>
      <c r="P12" s="82"/>
      <c r="Q12" s="54"/>
      <c r="V12" s="31" t="s">
        <v>55</v>
      </c>
      <c r="W12" s="32">
        <f>(W10*$G$2*$C$1)*$U10</f>
        <v>115301804.80000001</v>
      </c>
      <c r="X12" s="32">
        <f t="shared" ref="X12:AH12" si="10">(X10*$G$2*$C$1)*$U10</f>
        <v>41240326.399999999</v>
      </c>
      <c r="Y12" s="32">
        <f t="shared" si="10"/>
        <v>207541734.40000001</v>
      </c>
      <c r="Z12" s="32">
        <f t="shared" si="10"/>
        <v>220286227.19999999</v>
      </c>
      <c r="AA12" s="32">
        <f t="shared" si="10"/>
        <v>61861030.400000006</v>
      </c>
      <c r="AB12" s="32">
        <f t="shared" si="10"/>
        <v>161422310.40000001</v>
      </c>
      <c r="AC12" s="32">
        <f t="shared" si="10"/>
        <v>92791545.599999994</v>
      </c>
      <c r="AD12" s="32">
        <f t="shared" si="10"/>
        <v>115301804.80000001</v>
      </c>
      <c r="AE12" s="32">
        <f t="shared" si="10"/>
        <v>82480652.799999997</v>
      </c>
      <c r="AF12" s="32">
        <f t="shared" si="10"/>
        <v>207541734.40000001</v>
      </c>
      <c r="AG12" s="32">
        <f t="shared" si="10"/>
        <v>72170841.599999994</v>
      </c>
      <c r="AH12" s="32">
        <f t="shared" si="10"/>
        <v>138361516.80000001</v>
      </c>
      <c r="AI12" s="59">
        <f t="shared" si="4"/>
        <v>1516301529.5999999</v>
      </c>
      <c r="AJ12" s="82"/>
      <c r="AK12" s="54"/>
      <c r="AL12" s="39">
        <v>67737</v>
      </c>
    </row>
    <row r="13" spans="1:38">
      <c r="B13" t="s">
        <v>56</v>
      </c>
      <c r="C13" s="99"/>
      <c r="D13" s="99"/>
      <c r="E13" s="99"/>
      <c r="F13" s="99"/>
      <c r="G13" s="99"/>
      <c r="H13" s="96"/>
      <c r="I13" s="97"/>
      <c r="J13" s="97"/>
      <c r="K13" s="97"/>
      <c r="L13" s="97"/>
      <c r="M13" s="97"/>
      <c r="N13" s="97"/>
      <c r="O13" s="61">
        <f t="shared" si="2"/>
        <v>0</v>
      </c>
      <c r="V13" t="s">
        <v>56</v>
      </c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61">
        <f t="shared" si="4"/>
        <v>0</v>
      </c>
      <c r="AL13" s="39">
        <f>AL12/12</f>
        <v>5644.75</v>
      </c>
    </row>
    <row r="14" spans="1:38">
      <c r="C14" s="99"/>
      <c r="D14" s="99"/>
      <c r="E14" s="99"/>
      <c r="F14" s="99"/>
      <c r="G14" s="99"/>
      <c r="H14" s="96"/>
      <c r="I14" s="97"/>
      <c r="J14" s="97"/>
      <c r="K14" s="97"/>
      <c r="L14" s="97"/>
      <c r="M14" s="97"/>
      <c r="N14" s="97"/>
      <c r="O14" s="61">
        <f t="shared" si="2"/>
        <v>0</v>
      </c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193">
        <f t="shared" si="4"/>
        <v>0</v>
      </c>
    </row>
    <row r="15" spans="1:38">
      <c r="A15" s="54">
        <f>$M$1</f>
        <v>1</v>
      </c>
      <c r="B15" s="31" t="s">
        <v>52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59">
        <f t="shared" si="2"/>
        <v>0</v>
      </c>
      <c r="U15" s="54">
        <f>$AG$1</f>
        <v>1</v>
      </c>
      <c r="V15" s="31" t="s">
        <v>52</v>
      </c>
      <c r="W15" s="32">
        <f t="shared" ref="W15:AH15" si="11">W13*$C$2</f>
        <v>0</v>
      </c>
      <c r="X15" s="32">
        <f t="shared" si="11"/>
        <v>0</v>
      </c>
      <c r="Y15" s="32">
        <f t="shared" si="11"/>
        <v>0</v>
      </c>
      <c r="Z15" s="32">
        <f t="shared" si="11"/>
        <v>0</v>
      </c>
      <c r="AA15" s="32">
        <f t="shared" si="11"/>
        <v>0</v>
      </c>
      <c r="AB15" s="32">
        <f t="shared" si="11"/>
        <v>0</v>
      </c>
      <c r="AC15" s="32">
        <f t="shared" si="11"/>
        <v>0</v>
      </c>
      <c r="AD15" s="32">
        <f t="shared" si="11"/>
        <v>0</v>
      </c>
      <c r="AE15" s="32">
        <f t="shared" si="11"/>
        <v>0</v>
      </c>
      <c r="AF15" s="32">
        <f t="shared" si="11"/>
        <v>0</v>
      </c>
      <c r="AG15" s="32">
        <f t="shared" si="11"/>
        <v>0</v>
      </c>
      <c r="AH15" s="32">
        <f t="shared" si="11"/>
        <v>0</v>
      </c>
      <c r="AI15" s="59">
        <f t="shared" si="4"/>
        <v>0</v>
      </c>
    </row>
    <row r="16" spans="1:38">
      <c r="A16" s="54">
        <f>$M$2</f>
        <v>1</v>
      </c>
      <c r="B16" s="31" t="s">
        <v>53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59">
        <f t="shared" si="2"/>
        <v>0</v>
      </c>
      <c r="U16" s="54">
        <f>$AG$2</f>
        <v>1</v>
      </c>
      <c r="V16" s="31" t="s">
        <v>53</v>
      </c>
      <c r="W16" s="32">
        <f t="shared" ref="W16:AH16" si="12">W14*$C$2</f>
        <v>0</v>
      </c>
      <c r="X16" s="32">
        <f t="shared" si="12"/>
        <v>0</v>
      </c>
      <c r="Y16" s="32">
        <f t="shared" si="12"/>
        <v>0</v>
      </c>
      <c r="Z16" s="32">
        <f t="shared" si="12"/>
        <v>0</v>
      </c>
      <c r="AA16" s="32">
        <f t="shared" si="12"/>
        <v>0</v>
      </c>
      <c r="AB16" s="32">
        <f t="shared" si="12"/>
        <v>0</v>
      </c>
      <c r="AC16" s="32">
        <f t="shared" si="12"/>
        <v>0</v>
      </c>
      <c r="AD16" s="32">
        <f t="shared" si="12"/>
        <v>0</v>
      </c>
      <c r="AE16" s="32">
        <f t="shared" si="12"/>
        <v>0</v>
      </c>
      <c r="AF16" s="32">
        <f t="shared" si="12"/>
        <v>0</v>
      </c>
      <c r="AG16" s="32">
        <f t="shared" si="12"/>
        <v>0</v>
      </c>
      <c r="AH16" s="32">
        <f t="shared" si="12"/>
        <v>0</v>
      </c>
      <c r="AI16" s="59">
        <f t="shared" si="4"/>
        <v>0</v>
      </c>
    </row>
    <row r="17" spans="1:37">
      <c r="B17" s="31" t="s">
        <v>54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59">
        <f t="shared" si="2"/>
        <v>0</v>
      </c>
      <c r="Q17" s="54"/>
      <c r="V17" s="31" t="s">
        <v>54</v>
      </c>
      <c r="W17" s="32">
        <f>(W15*$G$1*$C$1)*$U15</f>
        <v>0</v>
      </c>
      <c r="X17" s="32">
        <f t="shared" ref="X17:AH17" si="13">(X15*$G$1*$C$1)*$U15</f>
        <v>0</v>
      </c>
      <c r="Y17" s="32">
        <f t="shared" si="13"/>
        <v>0</v>
      </c>
      <c r="Z17" s="32">
        <f t="shared" si="13"/>
        <v>0</v>
      </c>
      <c r="AA17" s="32">
        <f t="shared" si="13"/>
        <v>0</v>
      </c>
      <c r="AB17" s="32">
        <f t="shared" si="13"/>
        <v>0</v>
      </c>
      <c r="AC17" s="32">
        <f t="shared" si="13"/>
        <v>0</v>
      </c>
      <c r="AD17" s="32">
        <f t="shared" si="13"/>
        <v>0</v>
      </c>
      <c r="AE17" s="32">
        <f t="shared" si="13"/>
        <v>0</v>
      </c>
      <c r="AF17" s="32">
        <f t="shared" si="13"/>
        <v>0</v>
      </c>
      <c r="AG17" s="32">
        <f t="shared" si="13"/>
        <v>0</v>
      </c>
      <c r="AH17" s="32">
        <f t="shared" si="13"/>
        <v>0</v>
      </c>
      <c r="AI17" s="59">
        <f t="shared" si="4"/>
        <v>0</v>
      </c>
      <c r="AK17" s="54"/>
    </row>
    <row r="18" spans="1:37">
      <c r="B18" s="31" t="s">
        <v>55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59">
        <f t="shared" si="2"/>
        <v>0</v>
      </c>
      <c r="Q18" s="54"/>
      <c r="V18" s="31" t="s">
        <v>55</v>
      </c>
      <c r="W18" s="32">
        <f>(W16*$G$2*$C$1)*$U16</f>
        <v>0</v>
      </c>
      <c r="X18" s="32">
        <f t="shared" ref="X18:AH18" si="14">(X16*$G$2*$C$1)*$U16</f>
        <v>0</v>
      </c>
      <c r="Y18" s="32">
        <f t="shared" si="14"/>
        <v>0</v>
      </c>
      <c r="Z18" s="32">
        <f t="shared" si="14"/>
        <v>0</v>
      </c>
      <c r="AA18" s="32">
        <f t="shared" si="14"/>
        <v>0</v>
      </c>
      <c r="AB18" s="32">
        <f t="shared" si="14"/>
        <v>0</v>
      </c>
      <c r="AC18" s="32">
        <f t="shared" si="14"/>
        <v>0</v>
      </c>
      <c r="AD18" s="32">
        <f t="shared" si="14"/>
        <v>0</v>
      </c>
      <c r="AE18" s="32">
        <f t="shared" si="14"/>
        <v>0</v>
      </c>
      <c r="AF18" s="32">
        <f t="shared" si="14"/>
        <v>0</v>
      </c>
      <c r="AG18" s="32">
        <f t="shared" si="14"/>
        <v>0</v>
      </c>
      <c r="AH18" s="32">
        <f t="shared" si="14"/>
        <v>0</v>
      </c>
      <c r="AI18" s="59">
        <f t="shared" si="4"/>
        <v>0</v>
      </c>
      <c r="AK18" s="54"/>
    </row>
    <row r="19" spans="1:37">
      <c r="B19" t="s">
        <v>57</v>
      </c>
      <c r="C19" s="278">
        <f>'TAMBAT-IKPP'!E16</f>
        <v>0</v>
      </c>
      <c r="D19" s="277">
        <f>'TAMBAT-IKPP'!F16</f>
        <v>3</v>
      </c>
      <c r="E19" s="277">
        <f>'TAMBAT-IKPP'!G16</f>
        <v>2</v>
      </c>
      <c r="F19" s="277">
        <v>3</v>
      </c>
      <c r="G19" s="277">
        <v>3</v>
      </c>
      <c r="H19" s="277">
        <v>4</v>
      </c>
      <c r="I19" s="277">
        <v>2</v>
      </c>
      <c r="J19" s="277">
        <v>3</v>
      </c>
      <c r="K19" s="277">
        <v>2</v>
      </c>
      <c r="L19" s="277">
        <v>4</v>
      </c>
      <c r="M19" s="277">
        <v>3</v>
      </c>
      <c r="N19" s="277">
        <v>3</v>
      </c>
      <c r="O19" s="61">
        <f t="shared" si="2"/>
        <v>32</v>
      </c>
      <c r="R19" s="39">
        <f>TRAFIK!U6</f>
        <v>-1514127.5476190476</v>
      </c>
      <c r="V19" t="s">
        <v>57</v>
      </c>
      <c r="W19" s="96">
        <v>6</v>
      </c>
      <c r="X19" s="96">
        <v>5</v>
      </c>
      <c r="Y19" s="96">
        <v>2</v>
      </c>
      <c r="Z19" s="96">
        <v>4</v>
      </c>
      <c r="AA19" s="96">
        <v>1</v>
      </c>
      <c r="AB19" s="96">
        <v>3</v>
      </c>
      <c r="AC19" s="96">
        <v>4</v>
      </c>
      <c r="AD19" s="96">
        <v>6</v>
      </c>
      <c r="AE19" s="96">
        <v>5</v>
      </c>
      <c r="AF19" s="96">
        <v>6</v>
      </c>
      <c r="AG19" s="96">
        <v>4</v>
      </c>
      <c r="AH19" s="96">
        <v>5</v>
      </c>
      <c r="AI19" s="61">
        <f t="shared" si="4"/>
        <v>51</v>
      </c>
    </row>
    <row r="20" spans="1:37">
      <c r="C20" s="278">
        <f>'TAMBAT-IKPP'!E17</f>
        <v>0</v>
      </c>
      <c r="D20" s="277">
        <f>'TAMBAT-IKPP'!F17</f>
        <v>57001</v>
      </c>
      <c r="E20" s="277">
        <f>'TAMBAT-IKPP'!G17</f>
        <v>3198</v>
      </c>
      <c r="F20" s="277">
        <v>57001</v>
      </c>
      <c r="G20" s="277">
        <v>4797</v>
      </c>
      <c r="H20" s="277">
        <v>76001.333333333328</v>
      </c>
      <c r="I20" s="277">
        <v>3198</v>
      </c>
      <c r="J20" s="277">
        <v>57001</v>
      </c>
      <c r="K20" s="277">
        <v>3198</v>
      </c>
      <c r="L20" s="277">
        <v>76001.333333333328</v>
      </c>
      <c r="M20" s="277">
        <v>4797</v>
      </c>
      <c r="N20" s="277">
        <v>57001</v>
      </c>
      <c r="O20" s="61">
        <f t="shared" si="2"/>
        <v>399194.66666666663</v>
      </c>
      <c r="W20" s="96">
        <v>76002</v>
      </c>
      <c r="X20" s="96">
        <f t="shared" ref="X20" si="15">ROUNDUP(D20*$AC$4,)</f>
        <v>57001</v>
      </c>
      <c r="Y20" s="96">
        <f t="shared" ref="Y20" si="16">ROUNDUP(E20*$AC$4,)</f>
        <v>3198</v>
      </c>
      <c r="Z20" s="96">
        <f t="shared" ref="Z20" si="17">ROUNDUP(F20*$AC$4,)</f>
        <v>57001</v>
      </c>
      <c r="AA20" s="96">
        <f t="shared" ref="AA20" si="18">ROUNDUP(G20*$AC$4,)</f>
        <v>4797</v>
      </c>
      <c r="AB20" s="96">
        <f t="shared" ref="AB20" si="19">ROUNDUP(H20*$AC$4,)</f>
        <v>76002</v>
      </c>
      <c r="AC20" s="96">
        <f t="shared" ref="AC20" si="20">ROUNDUP(I20*$AC$4,)</f>
        <v>3198</v>
      </c>
      <c r="AD20" s="96">
        <f t="shared" ref="AD20" si="21">ROUNDUP(J20*$AC$4,)</f>
        <v>57001</v>
      </c>
      <c r="AE20" s="96">
        <f t="shared" ref="AE20" si="22">ROUNDUP(K20*$AC$4,)</f>
        <v>3198</v>
      </c>
      <c r="AF20" s="96">
        <f t="shared" ref="AF20" si="23">ROUNDUP(L20*$AC$4,)</f>
        <v>76002</v>
      </c>
      <c r="AG20" s="96">
        <f t="shared" ref="AG20" si="24">ROUNDUP(M20*$AC$4,)</f>
        <v>4797</v>
      </c>
      <c r="AH20" s="96">
        <f t="shared" ref="AH20" si="25">ROUNDUP(N20*$AC$4,)</f>
        <v>57001</v>
      </c>
      <c r="AI20" s="193">
        <f t="shared" si="4"/>
        <v>475198</v>
      </c>
    </row>
    <row r="21" spans="1:37">
      <c r="A21" s="54">
        <f>$M$1</f>
        <v>1</v>
      </c>
      <c r="B21" s="31" t="s">
        <v>52</v>
      </c>
      <c r="C21" s="32">
        <f t="shared" ref="C21:N21" si="26">C19*$C$2</f>
        <v>0</v>
      </c>
      <c r="D21" s="32">
        <f t="shared" si="26"/>
        <v>6</v>
      </c>
      <c r="E21" s="32">
        <f t="shared" si="26"/>
        <v>4</v>
      </c>
      <c r="F21" s="32">
        <f t="shared" si="26"/>
        <v>6</v>
      </c>
      <c r="G21" s="32">
        <f t="shared" si="26"/>
        <v>6</v>
      </c>
      <c r="H21" s="32">
        <f t="shared" si="26"/>
        <v>8</v>
      </c>
      <c r="I21" s="32">
        <f t="shared" si="26"/>
        <v>4</v>
      </c>
      <c r="J21" s="32">
        <f t="shared" si="26"/>
        <v>6</v>
      </c>
      <c r="K21" s="32">
        <f t="shared" si="26"/>
        <v>4</v>
      </c>
      <c r="L21" s="32">
        <f t="shared" si="26"/>
        <v>8</v>
      </c>
      <c r="M21" s="32">
        <f t="shared" si="26"/>
        <v>6</v>
      </c>
      <c r="N21" s="32">
        <f t="shared" si="26"/>
        <v>6</v>
      </c>
      <c r="O21" s="60">
        <f>SUM(C21:N21)</f>
        <v>64</v>
      </c>
      <c r="U21" s="54">
        <f>$AG$1</f>
        <v>1</v>
      </c>
      <c r="V21" s="31" t="s">
        <v>52</v>
      </c>
      <c r="W21" s="32">
        <f t="shared" ref="W21:AH21" si="27">W19*$C$2</f>
        <v>12</v>
      </c>
      <c r="X21" s="32">
        <f t="shared" si="27"/>
        <v>10</v>
      </c>
      <c r="Y21" s="32">
        <f t="shared" si="27"/>
        <v>4</v>
      </c>
      <c r="Z21" s="32">
        <f t="shared" si="27"/>
        <v>8</v>
      </c>
      <c r="AA21" s="32">
        <f t="shared" si="27"/>
        <v>2</v>
      </c>
      <c r="AB21" s="32">
        <f t="shared" si="27"/>
        <v>6</v>
      </c>
      <c r="AC21" s="32">
        <f t="shared" si="27"/>
        <v>8</v>
      </c>
      <c r="AD21" s="32">
        <f t="shared" si="27"/>
        <v>12</v>
      </c>
      <c r="AE21" s="32">
        <f t="shared" si="27"/>
        <v>10</v>
      </c>
      <c r="AF21" s="32">
        <f t="shared" si="27"/>
        <v>12</v>
      </c>
      <c r="AG21" s="32">
        <f t="shared" si="27"/>
        <v>8</v>
      </c>
      <c r="AH21" s="32">
        <f t="shared" si="27"/>
        <v>10</v>
      </c>
      <c r="AI21" s="60">
        <f>SUM(W21:AH21)</f>
        <v>102</v>
      </c>
    </row>
    <row r="22" spans="1:37">
      <c r="A22" s="54">
        <f>$M$2</f>
        <v>1</v>
      </c>
      <c r="B22" s="31" t="s">
        <v>53</v>
      </c>
      <c r="C22" s="32">
        <f t="shared" ref="C22:N22" si="28">C20*$C$2</f>
        <v>0</v>
      </c>
      <c r="D22" s="32">
        <f t="shared" si="28"/>
        <v>114002</v>
      </c>
      <c r="E22" s="32">
        <f t="shared" si="28"/>
        <v>6396</v>
      </c>
      <c r="F22" s="32">
        <f t="shared" si="28"/>
        <v>114002</v>
      </c>
      <c r="G22" s="32">
        <f t="shared" si="28"/>
        <v>9594</v>
      </c>
      <c r="H22" s="32">
        <f t="shared" si="28"/>
        <v>152002.66666666666</v>
      </c>
      <c r="I22" s="32">
        <f t="shared" si="28"/>
        <v>6396</v>
      </c>
      <c r="J22" s="32">
        <f t="shared" si="28"/>
        <v>114002</v>
      </c>
      <c r="K22" s="32">
        <f t="shared" si="28"/>
        <v>6396</v>
      </c>
      <c r="L22" s="32">
        <f t="shared" si="28"/>
        <v>152002.66666666666</v>
      </c>
      <c r="M22" s="32">
        <f t="shared" si="28"/>
        <v>9594</v>
      </c>
      <c r="N22" s="32">
        <f t="shared" si="28"/>
        <v>114002</v>
      </c>
      <c r="O22" s="60">
        <f>SUM(C22:N22)</f>
        <v>798389.33333333326</v>
      </c>
      <c r="U22" s="54">
        <f>$AG$2</f>
        <v>1</v>
      </c>
      <c r="V22" s="31" t="s">
        <v>53</v>
      </c>
      <c r="W22" s="32">
        <f t="shared" ref="W22:AH22" si="29">W20*$C$2</f>
        <v>152004</v>
      </c>
      <c r="X22" s="32">
        <f t="shared" si="29"/>
        <v>114002</v>
      </c>
      <c r="Y22" s="32">
        <f t="shared" si="29"/>
        <v>6396</v>
      </c>
      <c r="Z22" s="32">
        <f t="shared" si="29"/>
        <v>114002</v>
      </c>
      <c r="AA22" s="32">
        <f t="shared" si="29"/>
        <v>9594</v>
      </c>
      <c r="AB22" s="32">
        <f t="shared" si="29"/>
        <v>152004</v>
      </c>
      <c r="AC22" s="32">
        <f t="shared" si="29"/>
        <v>6396</v>
      </c>
      <c r="AD22" s="32">
        <f t="shared" si="29"/>
        <v>114002</v>
      </c>
      <c r="AE22" s="32">
        <f t="shared" si="29"/>
        <v>6396</v>
      </c>
      <c r="AF22" s="32">
        <f t="shared" si="29"/>
        <v>152004</v>
      </c>
      <c r="AG22" s="32">
        <f t="shared" si="29"/>
        <v>9594</v>
      </c>
      <c r="AH22" s="32">
        <f t="shared" si="29"/>
        <v>114002</v>
      </c>
      <c r="AI22" s="60">
        <f>SUM(W22:AH22)</f>
        <v>950396</v>
      </c>
    </row>
    <row r="23" spans="1:37">
      <c r="B23" s="31" t="s">
        <v>54</v>
      </c>
      <c r="C23" s="32">
        <f>(C21*$G$1*$C$1)*$A21</f>
        <v>0</v>
      </c>
      <c r="D23" s="32">
        <f t="shared" ref="D23:N23" si="30">(D21*$G$1*$C$1)*$A21</f>
        <v>7250100</v>
      </c>
      <c r="E23" s="32">
        <f t="shared" si="30"/>
        <v>4833400</v>
      </c>
      <c r="F23" s="32">
        <f t="shared" si="30"/>
        <v>7250100</v>
      </c>
      <c r="G23" s="32">
        <f t="shared" si="30"/>
        <v>7250100</v>
      </c>
      <c r="H23" s="32">
        <f t="shared" si="30"/>
        <v>9666800</v>
      </c>
      <c r="I23" s="32">
        <f t="shared" si="30"/>
        <v>4833400</v>
      </c>
      <c r="J23" s="32">
        <f t="shared" si="30"/>
        <v>7250100</v>
      </c>
      <c r="K23" s="32">
        <f t="shared" si="30"/>
        <v>4833400</v>
      </c>
      <c r="L23" s="32">
        <f t="shared" si="30"/>
        <v>9666800</v>
      </c>
      <c r="M23" s="32">
        <f t="shared" si="30"/>
        <v>7250100</v>
      </c>
      <c r="N23" s="32">
        <f t="shared" si="30"/>
        <v>7250100</v>
      </c>
      <c r="O23" s="60">
        <f t="shared" ref="O23:O69" si="31">SUM(C23:N23)</f>
        <v>77334400</v>
      </c>
      <c r="Q23" s="54"/>
      <c r="V23" s="31" t="s">
        <v>54</v>
      </c>
      <c r="W23" s="32">
        <f>(W21*$G$1*$C$1)*$U21</f>
        <v>14500200</v>
      </c>
      <c r="X23" s="32">
        <f t="shared" ref="X23:AH23" si="32">(X21*$G$1*$C$1)*$U21</f>
        <v>12083500</v>
      </c>
      <c r="Y23" s="32">
        <f t="shared" si="32"/>
        <v>4833400</v>
      </c>
      <c r="Z23" s="32">
        <f t="shared" si="32"/>
        <v>9666800</v>
      </c>
      <c r="AA23" s="32">
        <f t="shared" si="32"/>
        <v>2416700</v>
      </c>
      <c r="AB23" s="32">
        <f t="shared" si="32"/>
        <v>7250100</v>
      </c>
      <c r="AC23" s="32">
        <f t="shared" si="32"/>
        <v>9666800</v>
      </c>
      <c r="AD23" s="32">
        <f t="shared" si="32"/>
        <v>14500200</v>
      </c>
      <c r="AE23" s="32">
        <f t="shared" si="32"/>
        <v>12083500</v>
      </c>
      <c r="AF23" s="32">
        <f t="shared" si="32"/>
        <v>14500200</v>
      </c>
      <c r="AG23" s="32">
        <f t="shared" si="32"/>
        <v>9666800</v>
      </c>
      <c r="AH23" s="32">
        <f t="shared" si="32"/>
        <v>12083500</v>
      </c>
      <c r="AI23" s="60">
        <f t="shared" ref="AI23:AI25" si="33">SUM(W23:AH23)</f>
        <v>123251700</v>
      </c>
      <c r="AK23" s="54"/>
    </row>
    <row r="24" spans="1:37">
      <c r="B24" s="31" t="s">
        <v>55</v>
      </c>
      <c r="C24" s="32">
        <f>(C22*$G$2*$C$1)*$A22</f>
        <v>0</v>
      </c>
      <c r="D24" s="32">
        <f t="shared" ref="D24:H24" si="34">(D22*$G$2*$C$1)*$A22</f>
        <v>61652281.599999994</v>
      </c>
      <c r="E24" s="32">
        <f t="shared" si="34"/>
        <v>3458956.8</v>
      </c>
      <c r="F24" s="32">
        <f t="shared" si="34"/>
        <v>61652281.599999994</v>
      </c>
      <c r="G24" s="32">
        <f t="shared" si="34"/>
        <v>5188435.1999999993</v>
      </c>
      <c r="H24" s="32">
        <f t="shared" si="34"/>
        <v>82203042.13333334</v>
      </c>
      <c r="I24" s="32">
        <f>(I22*$G$2*$C$1)*$A22</f>
        <v>3458956.8</v>
      </c>
      <c r="J24" s="32">
        <f t="shared" ref="J24:N24" si="35">(J22*$G$2*$C$1)*$A22</f>
        <v>61652281.599999994</v>
      </c>
      <c r="K24" s="32">
        <f t="shared" si="35"/>
        <v>3458956.8</v>
      </c>
      <c r="L24" s="32">
        <f t="shared" si="35"/>
        <v>82203042.13333334</v>
      </c>
      <c r="M24" s="32">
        <f t="shared" si="35"/>
        <v>5188435.1999999993</v>
      </c>
      <c r="N24" s="32">
        <f t="shared" si="35"/>
        <v>61652281.599999994</v>
      </c>
      <c r="O24" s="63">
        <f t="shared" si="31"/>
        <v>431768951.4666667</v>
      </c>
      <c r="Q24" s="54"/>
      <c r="V24" s="31" t="s">
        <v>55</v>
      </c>
      <c r="W24" s="32">
        <f>(W22*$G$2*$C$1)*$U22</f>
        <v>82203763.199999988</v>
      </c>
      <c r="X24" s="32">
        <f t="shared" ref="X24:AH24" si="36">(X22*$G$2*$C$1)*$U22</f>
        <v>61652281.599999994</v>
      </c>
      <c r="Y24" s="32">
        <f t="shared" si="36"/>
        <v>3458956.8</v>
      </c>
      <c r="Z24" s="32">
        <f t="shared" si="36"/>
        <v>61652281.599999994</v>
      </c>
      <c r="AA24" s="32">
        <f t="shared" si="36"/>
        <v>5188435.1999999993</v>
      </c>
      <c r="AB24" s="32">
        <f t="shared" si="36"/>
        <v>82203763.199999988</v>
      </c>
      <c r="AC24" s="32">
        <f t="shared" si="36"/>
        <v>3458956.8</v>
      </c>
      <c r="AD24" s="32">
        <f t="shared" si="36"/>
        <v>61652281.599999994</v>
      </c>
      <c r="AE24" s="32">
        <f t="shared" si="36"/>
        <v>3458956.8</v>
      </c>
      <c r="AF24" s="32">
        <f t="shared" si="36"/>
        <v>82203763.199999988</v>
      </c>
      <c r="AG24" s="32">
        <f t="shared" si="36"/>
        <v>5188435.1999999993</v>
      </c>
      <c r="AH24" s="32">
        <f t="shared" si="36"/>
        <v>61652281.599999994</v>
      </c>
      <c r="AI24" s="63">
        <f t="shared" si="33"/>
        <v>513974156.79999995</v>
      </c>
      <c r="AK24" s="54"/>
    </row>
    <row r="25" spans="1:37">
      <c r="B25" t="s">
        <v>61</v>
      </c>
      <c r="C25" s="99"/>
      <c r="D25" s="99"/>
      <c r="E25" s="99"/>
      <c r="F25" s="99"/>
      <c r="G25" s="99">
        <v>0</v>
      </c>
      <c r="H25" s="96">
        <v>0</v>
      </c>
      <c r="I25" s="97">
        <f>IF(ROUND((C25*$I$3),)=1,1,IF($I$3&gt;1,ROUNDUP((C25*$I$3),),ROUNDDOWN((C25*$I$3),)))</f>
        <v>0</v>
      </c>
      <c r="J25" s="97">
        <f t="shared" ref="J25" si="37">IF(ROUND((D25*$I$3),)=1,1,IF($I$3&gt;1,ROUNDUP((D25*$I$3),),ROUNDDOWN((D25*$I$3),)))</f>
        <v>0</v>
      </c>
      <c r="K25" s="97">
        <f>IF(ROUND((E25*$I$3),)=1,1,IF($I$3&gt;1,ROUNDUP((E25*$I$3),),ROUNDDOWN((E25*$I$3),)))</f>
        <v>0</v>
      </c>
      <c r="L25" s="97">
        <f t="shared" ref="L25" si="38">IF(ROUND((F25*$I$3),)=1,1,IF($I$3&gt;1,ROUNDUP((F25*$I$3),),ROUNDDOWN((F25*$I$3),)))</f>
        <v>0</v>
      </c>
      <c r="M25" s="97">
        <f t="shared" ref="M25" si="39">IF(ROUND((G25*$I$3),)=1,1,IF($I$3&gt;1,ROUNDUP((G25*$I$3),),ROUNDDOWN((G25*$I$3),)))</f>
        <v>0</v>
      </c>
      <c r="N25" s="97">
        <f t="shared" ref="N25" si="40">IF(ROUND((H25*$I$3),)=1,1,IF($I$3&gt;1,ROUNDUP((H25*$I$3),),ROUNDDOWN((H25*$I$3),)))</f>
        <v>0</v>
      </c>
      <c r="O25" s="61">
        <f t="shared" ref="O25:O26" si="41">SUM(C25:N25)</f>
        <v>0</v>
      </c>
      <c r="Q25" s="54"/>
      <c r="V25" t="s">
        <v>61</v>
      </c>
      <c r="W25" s="96">
        <f>IF(ROUND((C25*$AC$3),)=1,1,IF($AC$3&gt;1,ROUNDUP((C25*$AC$3),),ROUNDDOWN((C25*$AC$3),)))</f>
        <v>0</v>
      </c>
      <c r="X25" s="96">
        <f t="shared" ref="X25" si="42">IF(ROUND((D25*$AC$3),)=1,1,IF($AC$3&gt;1,ROUNDUP((D25*$AC$3),),ROUNDDOWN((D25*$AC$3),)))</f>
        <v>0</v>
      </c>
      <c r="Y25" s="96">
        <f t="shared" ref="Y25" si="43">IF(ROUND((E25*$AC$3),)=1,1,IF($AC$3&gt;1,ROUNDUP((E25*$AC$3),),ROUNDDOWN((E25*$AC$3),)))</f>
        <v>0</v>
      </c>
      <c r="Z25" s="96">
        <f t="shared" ref="Z25" si="44">IF(ROUND((F25*$AC$3),)=1,1,IF($AC$3&gt;1,ROUNDUP((F25*$AC$3),),ROUNDDOWN((F25*$AC$3),)))</f>
        <v>0</v>
      </c>
      <c r="AA25" s="96">
        <f t="shared" ref="AA25" si="45">IF(ROUND((G25*$AC$3),)=1,1,IF($AC$3&gt;1,ROUNDUP((G25*$AC$3),),ROUNDDOWN((G25*$AC$3),)))</f>
        <v>0</v>
      </c>
      <c r="AB25" s="96">
        <f t="shared" ref="AB25" si="46">IF(ROUND((H25*$AC$3),)=1,1,IF($AC$3&gt;1,ROUNDUP((H25*$AC$3),),ROUNDDOWN((H25*$AC$3),)))</f>
        <v>0</v>
      </c>
      <c r="AC25" s="96">
        <f t="shared" ref="AC25" si="47">IF(ROUND((I25*$AC$3),)=1,1,IF($AC$3&gt;1,ROUNDUP((I25*$AC$3),),ROUNDDOWN((I25*$AC$3),)))</f>
        <v>0</v>
      </c>
      <c r="AD25" s="96">
        <f t="shared" ref="AD25" si="48">IF(ROUND((J25*$AC$3),)=1,1,IF($AC$3&gt;1,ROUNDUP((J25*$AC$3),),ROUNDDOWN((J25*$AC$3),)))</f>
        <v>0</v>
      </c>
      <c r="AE25" s="96">
        <f t="shared" ref="AE25" si="49">IF(ROUND((K25*$AC$3),)=1,1,IF($AC$3&gt;1,ROUNDUP((K25*$AC$3),),ROUNDDOWN((K25*$AC$3),)))</f>
        <v>0</v>
      </c>
      <c r="AF25" s="96">
        <f t="shared" ref="AF25" si="50">IF(ROUND((L25*$AC$3),)=1,1,IF($AC$3&gt;1,ROUNDUP((L25*$AC$3),),ROUNDDOWN((L25*$AC$3),)))</f>
        <v>0</v>
      </c>
      <c r="AG25" s="96">
        <f t="shared" ref="AG25" si="51">IF(ROUND((M25*$AC$3),)=1,1,IF($AC$3&gt;1,ROUNDUP((M25*$AC$3),),ROUNDDOWN((M25*$AC$3),)))</f>
        <v>0</v>
      </c>
      <c r="AH25" s="96">
        <f t="shared" ref="AH25" si="52">IF(ROUND((N25*$AC$3),)=1,1,IF($AC$3&gt;1,ROUNDUP((N25*$AC$3),),ROUNDDOWN((N25*$AC$3),)))</f>
        <v>0</v>
      </c>
      <c r="AI25" s="61">
        <f t="shared" si="33"/>
        <v>0</v>
      </c>
      <c r="AK25" s="54"/>
    </row>
    <row r="26" spans="1:37">
      <c r="C26" s="99"/>
      <c r="D26" s="99"/>
      <c r="E26" s="99"/>
      <c r="F26" s="99"/>
      <c r="G26" s="99">
        <v>0</v>
      </c>
      <c r="H26" s="96">
        <v>0</v>
      </c>
      <c r="I26" s="97">
        <f>IF(I25=1,C26,IF(I21&gt;1,ROUNDUP((C26*$I$4),),ROUNDDOWN((C26*$I$4),)))</f>
        <v>0</v>
      </c>
      <c r="J26" s="97">
        <f t="shared" ref="J26" si="53">IF(J25=1,D26,IF(J21&gt;1,ROUNDUP((D26*$I$4),),ROUNDDOWN((D26*$I$4),)))</f>
        <v>0</v>
      </c>
      <c r="K26" s="97">
        <f t="shared" ref="K26" si="54">IF(K25=1,E26,IF(K21&gt;1,ROUNDUP((E26*$I$4),),ROUNDDOWN((E26*$I$4),)))</f>
        <v>0</v>
      </c>
      <c r="L26" s="97">
        <f t="shared" ref="L26" si="55">IF(L25=1,F26,IF(L21&gt;1,ROUNDUP((F26*$I$4),),ROUNDDOWN((F26*$I$4),)))</f>
        <v>0</v>
      </c>
      <c r="M26" s="97">
        <f t="shared" ref="M26" si="56">IF(M25=1,G26,IF(M21&gt;1,ROUNDUP((G26*$I$4),),ROUNDDOWN((G26*$I$4),)))</f>
        <v>0</v>
      </c>
      <c r="N26" s="97">
        <f t="shared" ref="N26" si="57">IF(N25=1,H26,IF(N21&gt;1,ROUNDUP((H26*$I$4),),ROUNDDOWN((H26*$I$4),)))</f>
        <v>0</v>
      </c>
      <c r="O26" s="61">
        <f t="shared" si="41"/>
        <v>0</v>
      </c>
      <c r="Q26" s="54"/>
      <c r="W26" s="96">
        <f>ROUNDUP(C26*$AC$4,)</f>
        <v>0</v>
      </c>
      <c r="X26" s="96">
        <f t="shared" ref="X26" si="58">ROUNDUP(D26*$AC$4,)</f>
        <v>0</v>
      </c>
      <c r="Y26" s="96">
        <f t="shared" ref="Y26" si="59">ROUNDUP(E26*$AC$4,)</f>
        <v>0</v>
      </c>
      <c r="Z26" s="96">
        <f t="shared" ref="Z26" si="60">ROUNDUP(F26*$AC$4,)</f>
        <v>0</v>
      </c>
      <c r="AA26" s="96">
        <f t="shared" ref="AA26" si="61">ROUNDUP(G26*$AC$4,)</f>
        <v>0</v>
      </c>
      <c r="AB26" s="96">
        <f t="shared" ref="AB26" si="62">ROUNDUP(H26*$AC$4,)</f>
        <v>0</v>
      </c>
      <c r="AC26" s="96">
        <f t="shared" ref="AC26" si="63">ROUNDUP(I26*$AC$4,)</f>
        <v>0</v>
      </c>
      <c r="AD26" s="96">
        <f t="shared" ref="AD26" si="64">ROUNDUP(J26*$AC$4,)</f>
        <v>0</v>
      </c>
      <c r="AE26" s="96">
        <f t="shared" ref="AE26" si="65">ROUNDUP(K26*$AC$4,)</f>
        <v>0</v>
      </c>
      <c r="AF26" s="96">
        <f t="shared" ref="AF26" si="66">ROUNDUP(L26*$AC$4,)</f>
        <v>0</v>
      </c>
      <c r="AG26" s="96">
        <f t="shared" ref="AG26" si="67">ROUNDUP(M26*$AC$4,)</f>
        <v>0</v>
      </c>
      <c r="AH26" s="96">
        <f t="shared" ref="AH26" si="68">ROUNDUP(N26*$AC$4,)</f>
        <v>0</v>
      </c>
      <c r="AI26" s="193"/>
      <c r="AK26" s="54"/>
    </row>
    <row r="27" spans="1:37">
      <c r="A27" s="54">
        <f>$M$1</f>
        <v>1</v>
      </c>
      <c r="B27" s="31" t="s">
        <v>52</v>
      </c>
      <c r="C27" s="32">
        <f t="shared" ref="C27:N27" si="69">C25*$C$2</f>
        <v>0</v>
      </c>
      <c r="D27" s="32">
        <f t="shared" si="69"/>
        <v>0</v>
      </c>
      <c r="E27" s="32">
        <f t="shared" si="69"/>
        <v>0</v>
      </c>
      <c r="F27" s="32">
        <f t="shared" si="69"/>
        <v>0</v>
      </c>
      <c r="G27" s="32">
        <f t="shared" si="69"/>
        <v>0</v>
      </c>
      <c r="H27" s="32">
        <f t="shared" si="69"/>
        <v>0</v>
      </c>
      <c r="I27" s="32">
        <f t="shared" si="69"/>
        <v>0</v>
      </c>
      <c r="J27" s="32">
        <f t="shared" si="69"/>
        <v>0</v>
      </c>
      <c r="K27" s="32">
        <f t="shared" si="69"/>
        <v>0</v>
      </c>
      <c r="L27" s="32">
        <f t="shared" si="69"/>
        <v>0</v>
      </c>
      <c r="M27" s="32">
        <f t="shared" si="69"/>
        <v>0</v>
      </c>
      <c r="N27" s="32">
        <f t="shared" si="69"/>
        <v>0</v>
      </c>
      <c r="O27" s="60">
        <f>SUM(C27:N27)</f>
        <v>0</v>
      </c>
      <c r="Q27" s="54"/>
      <c r="U27" s="54">
        <f>$AG$1</f>
        <v>1</v>
      </c>
      <c r="V27" s="31" t="s">
        <v>52</v>
      </c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71"/>
      <c r="AK27" s="54"/>
    </row>
    <row r="28" spans="1:37">
      <c r="A28" s="54">
        <f>$M$2</f>
        <v>1</v>
      </c>
      <c r="B28" s="31" t="s">
        <v>53</v>
      </c>
      <c r="C28" s="32">
        <f t="shared" ref="C28:N28" si="70">C26*$C$2</f>
        <v>0</v>
      </c>
      <c r="D28" s="32">
        <f t="shared" si="70"/>
        <v>0</v>
      </c>
      <c r="E28" s="32">
        <f t="shared" si="70"/>
        <v>0</v>
      </c>
      <c r="F28" s="32">
        <f t="shared" si="70"/>
        <v>0</v>
      </c>
      <c r="G28" s="32">
        <f t="shared" si="70"/>
        <v>0</v>
      </c>
      <c r="H28" s="32">
        <f t="shared" si="70"/>
        <v>0</v>
      </c>
      <c r="I28" s="32">
        <f t="shared" si="70"/>
        <v>0</v>
      </c>
      <c r="J28" s="32">
        <f t="shared" si="70"/>
        <v>0</v>
      </c>
      <c r="K28" s="32">
        <f t="shared" si="70"/>
        <v>0</v>
      </c>
      <c r="L28" s="32">
        <f t="shared" si="70"/>
        <v>0</v>
      </c>
      <c r="M28" s="32">
        <f t="shared" si="70"/>
        <v>0</v>
      </c>
      <c r="N28" s="32">
        <f t="shared" si="70"/>
        <v>0</v>
      </c>
      <c r="O28" s="60">
        <f>SUM(C28:N28)</f>
        <v>0</v>
      </c>
      <c r="Q28" s="54"/>
      <c r="U28" s="54">
        <f>$AG$2</f>
        <v>1</v>
      </c>
      <c r="V28" s="31" t="s">
        <v>53</v>
      </c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71"/>
      <c r="AK28" s="54"/>
    </row>
    <row r="29" spans="1:37">
      <c r="B29" s="31" t="s">
        <v>54</v>
      </c>
      <c r="C29" s="32">
        <f>C27*$G$1*$C$1</f>
        <v>0</v>
      </c>
      <c r="D29" s="32">
        <f t="shared" ref="D29:N29" si="71">D27*$G$1*$C$1</f>
        <v>0</v>
      </c>
      <c r="E29" s="32">
        <f t="shared" si="71"/>
        <v>0</v>
      </c>
      <c r="F29" s="32">
        <f t="shared" si="71"/>
        <v>0</v>
      </c>
      <c r="G29" s="32">
        <f t="shared" si="71"/>
        <v>0</v>
      </c>
      <c r="H29" s="32">
        <f t="shared" si="71"/>
        <v>0</v>
      </c>
      <c r="I29" s="32">
        <f t="shared" si="71"/>
        <v>0</v>
      </c>
      <c r="J29" s="32">
        <f t="shared" si="71"/>
        <v>0</v>
      </c>
      <c r="K29" s="32">
        <f t="shared" si="71"/>
        <v>0</v>
      </c>
      <c r="L29" s="32">
        <f t="shared" si="71"/>
        <v>0</v>
      </c>
      <c r="M29" s="32">
        <f t="shared" si="71"/>
        <v>0</v>
      </c>
      <c r="N29" s="32">
        <f t="shared" si="71"/>
        <v>0</v>
      </c>
      <c r="O29" s="60">
        <f t="shared" ref="O29:O30" si="72">SUM(C29:N29)</f>
        <v>0</v>
      </c>
      <c r="Q29" s="54"/>
      <c r="V29" s="31" t="s">
        <v>54</v>
      </c>
      <c r="W29" s="32">
        <f>(W27*$G$1*$C$1)*$U27</f>
        <v>0</v>
      </c>
      <c r="X29" s="32">
        <f t="shared" ref="X29:AH29" si="73">(X27*$G$1*$C$1)*$U27</f>
        <v>0</v>
      </c>
      <c r="Y29" s="32">
        <f t="shared" si="73"/>
        <v>0</v>
      </c>
      <c r="Z29" s="32">
        <f t="shared" si="73"/>
        <v>0</v>
      </c>
      <c r="AA29" s="32">
        <f t="shared" si="73"/>
        <v>0</v>
      </c>
      <c r="AB29" s="32">
        <f t="shared" si="73"/>
        <v>0</v>
      </c>
      <c r="AC29" s="32">
        <f t="shared" si="73"/>
        <v>0</v>
      </c>
      <c r="AD29" s="32">
        <f t="shared" si="73"/>
        <v>0</v>
      </c>
      <c r="AE29" s="32">
        <f t="shared" si="73"/>
        <v>0</v>
      </c>
      <c r="AF29" s="32">
        <f t="shared" si="73"/>
        <v>0</v>
      </c>
      <c r="AG29" s="32">
        <f t="shared" si="73"/>
        <v>0</v>
      </c>
      <c r="AH29" s="32">
        <f t="shared" si="73"/>
        <v>0</v>
      </c>
      <c r="AI29" s="71"/>
      <c r="AK29" s="54"/>
    </row>
    <row r="30" spans="1:37">
      <c r="B30" s="31" t="s">
        <v>55</v>
      </c>
      <c r="C30" s="32">
        <f>C28*$G$2*$C$1</f>
        <v>0</v>
      </c>
      <c r="D30" s="32">
        <f t="shared" ref="D30:N30" si="74">D28*$G$2*$C$1</f>
        <v>0</v>
      </c>
      <c r="E30" s="32">
        <f t="shared" si="74"/>
        <v>0</v>
      </c>
      <c r="F30" s="32">
        <f t="shared" si="74"/>
        <v>0</v>
      </c>
      <c r="G30" s="32">
        <f t="shared" si="74"/>
        <v>0</v>
      </c>
      <c r="H30" s="32">
        <f t="shared" si="74"/>
        <v>0</v>
      </c>
      <c r="I30" s="32">
        <f t="shared" si="74"/>
        <v>0</v>
      </c>
      <c r="J30" s="32">
        <f t="shared" si="74"/>
        <v>0</v>
      </c>
      <c r="K30" s="32">
        <f t="shared" si="74"/>
        <v>0</v>
      </c>
      <c r="L30" s="32">
        <f t="shared" si="74"/>
        <v>0</v>
      </c>
      <c r="M30" s="32">
        <f t="shared" si="74"/>
        <v>0</v>
      </c>
      <c r="N30" s="32">
        <f t="shared" si="74"/>
        <v>0</v>
      </c>
      <c r="O30" s="63">
        <f t="shared" si="72"/>
        <v>0</v>
      </c>
      <c r="Q30" s="54"/>
      <c r="V30" s="31" t="s">
        <v>55</v>
      </c>
      <c r="W30" s="32">
        <f>(W28*$G$2*$C$1)*$U28</f>
        <v>0</v>
      </c>
      <c r="X30" s="32">
        <f t="shared" ref="X30:AH30" si="75">(X28*$G$2*$C$1)*$U28</f>
        <v>0</v>
      </c>
      <c r="Y30" s="32">
        <f t="shared" si="75"/>
        <v>0</v>
      </c>
      <c r="Z30" s="32">
        <f t="shared" si="75"/>
        <v>0</v>
      </c>
      <c r="AA30" s="32">
        <f t="shared" si="75"/>
        <v>0</v>
      </c>
      <c r="AB30" s="32">
        <f t="shared" si="75"/>
        <v>0</v>
      </c>
      <c r="AC30" s="32">
        <f t="shared" si="75"/>
        <v>0</v>
      </c>
      <c r="AD30" s="32">
        <f t="shared" si="75"/>
        <v>0</v>
      </c>
      <c r="AE30" s="32">
        <f t="shared" si="75"/>
        <v>0</v>
      </c>
      <c r="AF30" s="32">
        <f t="shared" si="75"/>
        <v>0</v>
      </c>
      <c r="AG30" s="32">
        <f t="shared" si="75"/>
        <v>0</v>
      </c>
      <c r="AH30" s="32">
        <f t="shared" si="75"/>
        <v>0</v>
      </c>
      <c r="AI30" s="71"/>
      <c r="AK30" s="54"/>
    </row>
    <row r="31" spans="1:37">
      <c r="A31" s="33"/>
      <c r="B31" s="34"/>
      <c r="C31" s="34" t="e">
        <f>C14/C13</f>
        <v>#DIV/0!</v>
      </c>
      <c r="D31" s="34" t="e">
        <f t="shared" ref="D31:H31" si="76">D14/D13</f>
        <v>#DIV/0!</v>
      </c>
      <c r="E31" s="34" t="e">
        <f t="shared" si="76"/>
        <v>#DIV/0!</v>
      </c>
      <c r="F31" s="34" t="e">
        <f t="shared" si="76"/>
        <v>#DIV/0!</v>
      </c>
      <c r="G31" s="34" t="e">
        <f t="shared" si="76"/>
        <v>#DIV/0!</v>
      </c>
      <c r="H31" s="34" t="e">
        <f t="shared" si="76"/>
        <v>#DIV/0!</v>
      </c>
      <c r="I31" s="34">
        <f>I13*8645</f>
        <v>0</v>
      </c>
      <c r="J31" s="34">
        <f t="shared" ref="J31:N31" si="77">J13*8645</f>
        <v>0</v>
      </c>
      <c r="K31" s="34">
        <f t="shared" si="77"/>
        <v>0</v>
      </c>
      <c r="L31" s="34">
        <f t="shared" si="77"/>
        <v>0</v>
      </c>
      <c r="M31" s="34">
        <f t="shared" si="77"/>
        <v>0</v>
      </c>
      <c r="N31" s="34">
        <f t="shared" si="77"/>
        <v>0</v>
      </c>
      <c r="O31" s="83">
        <f>O11+O17+O23+O29</f>
        <v>282753900</v>
      </c>
      <c r="P31" s="85"/>
      <c r="Q31" s="54"/>
      <c r="U31" s="33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83">
        <f>AI11+AI17+AI23</f>
        <v>290004000</v>
      </c>
      <c r="AJ31" s="85"/>
      <c r="AK31" s="54"/>
    </row>
    <row r="32" spans="1:37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83">
        <f>O12+O18+O24+O30</f>
        <v>2025513890.8952382</v>
      </c>
      <c r="P32" s="86"/>
      <c r="Q32" s="54"/>
      <c r="U32" s="33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83">
        <f>AI12+AI18+AI24</f>
        <v>2030275686.3999999</v>
      </c>
      <c r="AJ32" s="86"/>
      <c r="AK32" s="54"/>
    </row>
    <row r="33" spans="1:38">
      <c r="B33" s="28" t="s">
        <v>58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44</v>
      </c>
      <c r="J33" t="s">
        <v>45</v>
      </c>
      <c r="K33" t="s">
        <v>46</v>
      </c>
      <c r="L33" t="s">
        <v>47</v>
      </c>
      <c r="M33" t="s">
        <v>48</v>
      </c>
      <c r="N33" t="s">
        <v>49</v>
      </c>
      <c r="O33" s="65"/>
      <c r="V33" s="28" t="s">
        <v>58</v>
      </c>
      <c r="W33" t="s">
        <v>38</v>
      </c>
      <c r="X33" t="s">
        <v>39</v>
      </c>
      <c r="Y33" t="s">
        <v>40</v>
      </c>
      <c r="Z33" t="s">
        <v>41</v>
      </c>
      <c r="AA33" t="s">
        <v>42</v>
      </c>
      <c r="AB33" t="s">
        <v>43</v>
      </c>
      <c r="AC33" t="s">
        <v>44</v>
      </c>
      <c r="AD33" t="s">
        <v>45</v>
      </c>
      <c r="AE33" t="s">
        <v>46</v>
      </c>
      <c r="AF33" t="s">
        <v>47</v>
      </c>
      <c r="AG33" t="s">
        <v>48</v>
      </c>
      <c r="AH33" t="s">
        <v>49</v>
      </c>
      <c r="AI33" s="65"/>
    </row>
    <row r="34" spans="1:38">
      <c r="B34" t="s">
        <v>51</v>
      </c>
      <c r="C34" s="100">
        <f>'TAMBAT-IKPP'!E34</f>
        <v>2</v>
      </c>
      <c r="D34" s="100">
        <f>'TAMBAT-IKPP'!F34</f>
        <v>5</v>
      </c>
      <c r="E34" s="100">
        <f>'TAMBAT-IKPP'!G34</f>
        <v>6</v>
      </c>
      <c r="F34" s="100">
        <f>'TAMBAT-IKPP'!H34</f>
        <v>5</v>
      </c>
      <c r="G34" s="100">
        <f>'TAMBAT-IKPP'!I34</f>
        <v>4</v>
      </c>
      <c r="H34" s="100">
        <f>'TAMBAT-IKPP'!J34</f>
        <v>6</v>
      </c>
      <c r="I34" s="294">
        <f>'TAMBAT-IKPP'!K34</f>
        <v>3</v>
      </c>
      <c r="J34" s="294">
        <f>'TAMBAT-IKPP'!L34</f>
        <v>5</v>
      </c>
      <c r="K34" s="294">
        <f>'TAMBAT-IKPP'!M34</f>
        <v>4</v>
      </c>
      <c r="L34" s="294">
        <f>'TAMBAT-IKPP'!N34</f>
        <v>6</v>
      </c>
      <c r="M34" s="294">
        <f>'TAMBAT-IKPP'!O34</f>
        <v>5</v>
      </c>
      <c r="N34" s="294">
        <f>'TAMBAT-IKPP'!P34</f>
        <v>4</v>
      </c>
      <c r="O34" s="64">
        <f t="shared" si="31"/>
        <v>55</v>
      </c>
      <c r="V34" t="s">
        <v>51</v>
      </c>
      <c r="W34" s="96">
        <f>IF(ROUND((C34*$AC$3),)=1,1,IF($AC$3&gt;1,ROUNDUP((C34*$AC$3),),ROUNDDOWN((C34*$AC$3),)))</f>
        <v>2</v>
      </c>
      <c r="X34" s="96">
        <f t="shared" ref="X34" si="78">IF(ROUND((D34*$AC$3),)=1,1,IF($AC$3&gt;1,ROUNDUP((D34*$AC$3),),ROUNDDOWN((D34*$AC$3),)))</f>
        <v>5</v>
      </c>
      <c r="Y34" s="96">
        <f t="shared" ref="Y34" si="79">IF(ROUND((E34*$AC$3),)=1,1,IF($AC$3&gt;1,ROUNDUP((E34*$AC$3),),ROUNDDOWN((E34*$AC$3),)))</f>
        <v>6</v>
      </c>
      <c r="Z34" s="96">
        <f t="shared" ref="Z34" si="80">IF(ROUND((F34*$AC$3),)=1,1,IF($AC$3&gt;1,ROUNDUP((F34*$AC$3),),ROUNDDOWN((F34*$AC$3),)))</f>
        <v>5</v>
      </c>
      <c r="AA34" s="96">
        <v>4</v>
      </c>
      <c r="AB34" s="96">
        <f t="shared" ref="AB34" si="81">IF(ROUND((H34*$AC$3),)=1,1,IF($AC$3&gt;1,ROUNDUP((H34*$AC$3),),ROUNDDOWN((H34*$AC$3),)))</f>
        <v>6</v>
      </c>
      <c r="AC34" s="96">
        <v>4</v>
      </c>
      <c r="AD34" s="96">
        <v>4</v>
      </c>
      <c r="AE34" s="96">
        <f t="shared" ref="AE34" si="82">IF(ROUND((K34*$AC$3),)=1,1,IF($AC$3&gt;1,ROUNDUP((K34*$AC$3),),ROUNDDOWN((K34*$AC$3),)))</f>
        <v>4</v>
      </c>
      <c r="AF34" s="96">
        <v>4</v>
      </c>
      <c r="AG34" s="96">
        <v>4</v>
      </c>
      <c r="AH34" s="96">
        <f t="shared" ref="AH34" si="83">IF(ROUND((N34*$AC$3),)=1,1,IF($AC$3&gt;1,ROUNDUP((N34*$AC$3),),ROUNDDOWN((N34*$AC$3),)))</f>
        <v>4</v>
      </c>
      <c r="AI34" s="61">
        <f t="shared" ref="AI34" si="84">SUM(W34:AH34)</f>
        <v>52</v>
      </c>
    </row>
    <row r="35" spans="1:38">
      <c r="C35" s="100">
        <f>'TAMBAT-IKPP'!E35</f>
        <v>5411</v>
      </c>
      <c r="D35" s="100">
        <f>'TAMBAT-IKPP'!F35</f>
        <v>27651</v>
      </c>
      <c r="E35" s="100">
        <f>'TAMBAT-IKPP'!G35</f>
        <v>36616</v>
      </c>
      <c r="F35" s="100">
        <f>'TAMBAT-IKPP'!H35</f>
        <v>13527.5</v>
      </c>
      <c r="G35" s="100">
        <f>'TAMBAT-IKPP'!I35</f>
        <v>22120.799999999999</v>
      </c>
      <c r="H35" s="100">
        <f>'TAMBAT-IKPP'!J35</f>
        <v>36616</v>
      </c>
      <c r="I35" s="294">
        <f>'TAMBAT-IKPP'!K35</f>
        <v>8116.5</v>
      </c>
      <c r="J35" s="294">
        <f>'TAMBAT-IKPP'!L35</f>
        <v>27651</v>
      </c>
      <c r="K35" s="294">
        <f>'TAMBAT-IKPP'!M35</f>
        <v>24410.666666666668</v>
      </c>
      <c r="L35" s="294">
        <f>'TAMBAT-IKPP'!N35</f>
        <v>16233</v>
      </c>
      <c r="M35" s="294">
        <f>'TAMBAT-IKPP'!O35</f>
        <v>27651</v>
      </c>
      <c r="N35" s="294">
        <f>'TAMBAT-IKPP'!P35</f>
        <v>24410.666666666668</v>
      </c>
      <c r="O35" s="62">
        <f t="shared" si="31"/>
        <v>270415.1333333333</v>
      </c>
      <c r="W35" s="96">
        <f>ROUNDUP(C35*$AC$4,)</f>
        <v>5411</v>
      </c>
      <c r="X35" s="96">
        <f t="shared" ref="X35" si="85">ROUNDUP(D35*$AC$4,)</f>
        <v>27651</v>
      </c>
      <c r="Y35" s="96">
        <f t="shared" ref="Y35" si="86">ROUNDUP(E35*$AC$4,)</f>
        <v>36616</v>
      </c>
      <c r="Z35" s="96">
        <f t="shared" ref="Z35" si="87">ROUNDUP(F35*$AC$4,)</f>
        <v>13528</v>
      </c>
      <c r="AA35" s="96">
        <v>20988</v>
      </c>
      <c r="AB35" s="96">
        <f t="shared" ref="AB35" si="88">ROUNDUP(H35*$AC$4,)</f>
        <v>36616</v>
      </c>
      <c r="AC35" s="96">
        <f t="shared" ref="AC35" si="89">ROUNDUP(I35*$AC$4,)</f>
        <v>8117</v>
      </c>
      <c r="AD35" s="96">
        <f t="shared" ref="AD35" si="90">ROUNDUP(J35*$AC$4,)</f>
        <v>27651</v>
      </c>
      <c r="AE35" s="96">
        <f t="shared" ref="AE35" si="91">ROUNDUP(K35*$AC$4,)</f>
        <v>24411</v>
      </c>
      <c r="AF35" s="96">
        <f t="shared" ref="AF35" si="92">ROUNDUP(L35*$AC$4,)</f>
        <v>16233</v>
      </c>
      <c r="AG35" s="96">
        <f t="shared" ref="AG35" si="93">ROUNDUP(M35*$AC$4,)</f>
        <v>27651</v>
      </c>
      <c r="AH35" s="96">
        <f t="shared" ref="AH35" si="94">ROUNDUP(N35*$AC$4,)</f>
        <v>24411</v>
      </c>
      <c r="AI35" s="62">
        <f t="shared" ref="AI35:AI69" si="95">SUM(W35:AH35)</f>
        <v>269284</v>
      </c>
    </row>
    <row r="36" spans="1:38">
      <c r="A36" s="54">
        <f>$M$1</f>
        <v>1</v>
      </c>
      <c r="B36" s="31" t="s">
        <v>52</v>
      </c>
      <c r="C36" s="32">
        <f t="shared" ref="C36:N37" si="96">C34*$C$2</f>
        <v>4</v>
      </c>
      <c r="D36" s="32">
        <f t="shared" si="96"/>
        <v>10</v>
      </c>
      <c r="E36" s="32">
        <f t="shared" si="96"/>
        <v>12</v>
      </c>
      <c r="F36" s="32">
        <f t="shared" si="96"/>
        <v>10</v>
      </c>
      <c r="G36" s="32">
        <f t="shared" si="96"/>
        <v>8</v>
      </c>
      <c r="H36" s="32">
        <f t="shared" si="96"/>
        <v>12</v>
      </c>
      <c r="I36" s="32">
        <f t="shared" si="96"/>
        <v>6</v>
      </c>
      <c r="J36" s="32">
        <f t="shared" si="96"/>
        <v>10</v>
      </c>
      <c r="K36" s="32">
        <f t="shared" si="96"/>
        <v>8</v>
      </c>
      <c r="L36" s="32">
        <f t="shared" si="96"/>
        <v>12</v>
      </c>
      <c r="M36" s="32">
        <f t="shared" si="96"/>
        <v>10</v>
      </c>
      <c r="N36" s="32">
        <f t="shared" si="96"/>
        <v>8</v>
      </c>
      <c r="O36" s="60">
        <f t="shared" si="31"/>
        <v>110</v>
      </c>
      <c r="Q36">
        <f>H35/H34</f>
        <v>6102.666666666667</v>
      </c>
      <c r="U36" s="54">
        <f>$AG$1</f>
        <v>1</v>
      </c>
      <c r="V36" s="31" t="s">
        <v>52</v>
      </c>
      <c r="W36" s="32">
        <f t="shared" ref="W36:AH36" si="97">W34*$C$2</f>
        <v>4</v>
      </c>
      <c r="X36" s="32">
        <f t="shared" si="97"/>
        <v>10</v>
      </c>
      <c r="Y36" s="32">
        <f t="shared" si="97"/>
        <v>12</v>
      </c>
      <c r="Z36" s="32">
        <f t="shared" si="97"/>
        <v>10</v>
      </c>
      <c r="AA36" s="32">
        <f t="shared" si="97"/>
        <v>8</v>
      </c>
      <c r="AB36" s="32">
        <f t="shared" si="97"/>
        <v>12</v>
      </c>
      <c r="AC36" s="32">
        <f t="shared" si="97"/>
        <v>8</v>
      </c>
      <c r="AD36" s="32">
        <f t="shared" si="97"/>
        <v>8</v>
      </c>
      <c r="AE36" s="32">
        <f t="shared" si="97"/>
        <v>8</v>
      </c>
      <c r="AF36" s="32">
        <f t="shared" si="97"/>
        <v>8</v>
      </c>
      <c r="AG36" s="32">
        <f t="shared" si="97"/>
        <v>8</v>
      </c>
      <c r="AH36" s="32">
        <f t="shared" si="97"/>
        <v>8</v>
      </c>
      <c r="AI36" s="60">
        <f t="shared" si="95"/>
        <v>104</v>
      </c>
    </row>
    <row r="37" spans="1:38">
      <c r="A37" s="54">
        <f>$M$2</f>
        <v>1</v>
      </c>
      <c r="B37" s="31" t="s">
        <v>53</v>
      </c>
      <c r="C37" s="32">
        <f t="shared" si="96"/>
        <v>10822</v>
      </c>
      <c r="D37" s="32">
        <f t="shared" si="96"/>
        <v>55302</v>
      </c>
      <c r="E37" s="32">
        <f t="shared" si="96"/>
        <v>73232</v>
      </c>
      <c r="F37" s="32">
        <f t="shared" si="96"/>
        <v>27055</v>
      </c>
      <c r="G37" s="32">
        <f t="shared" si="96"/>
        <v>44241.599999999999</v>
      </c>
      <c r="H37" s="32">
        <f t="shared" si="96"/>
        <v>73232</v>
      </c>
      <c r="I37" s="32">
        <f t="shared" si="96"/>
        <v>16233</v>
      </c>
      <c r="J37" s="32">
        <f t="shared" si="96"/>
        <v>55302</v>
      </c>
      <c r="K37" s="32">
        <f t="shared" si="96"/>
        <v>48821.333333333336</v>
      </c>
      <c r="L37" s="32">
        <f t="shared" si="96"/>
        <v>32466</v>
      </c>
      <c r="M37" s="32">
        <f t="shared" si="96"/>
        <v>55302</v>
      </c>
      <c r="N37" s="32">
        <f t="shared" si="96"/>
        <v>48821.333333333336</v>
      </c>
      <c r="O37" s="60">
        <f t="shared" si="31"/>
        <v>540830.2666666666</v>
      </c>
      <c r="U37" s="54">
        <f>$AG$2</f>
        <v>1</v>
      </c>
      <c r="V37" s="31" t="s">
        <v>53</v>
      </c>
      <c r="W37" s="32">
        <f t="shared" ref="W37:AH37" si="98">W35*$C$2</f>
        <v>10822</v>
      </c>
      <c r="X37" s="32">
        <f t="shared" si="98"/>
        <v>55302</v>
      </c>
      <c r="Y37" s="32">
        <f t="shared" si="98"/>
        <v>73232</v>
      </c>
      <c r="Z37" s="32">
        <f t="shared" si="98"/>
        <v>27056</v>
      </c>
      <c r="AA37" s="32">
        <f t="shared" si="98"/>
        <v>41976</v>
      </c>
      <c r="AB37" s="32">
        <f t="shared" si="98"/>
        <v>73232</v>
      </c>
      <c r="AC37" s="32">
        <f t="shared" si="98"/>
        <v>16234</v>
      </c>
      <c r="AD37" s="32">
        <f t="shared" si="98"/>
        <v>55302</v>
      </c>
      <c r="AE37" s="32">
        <f t="shared" si="98"/>
        <v>48822</v>
      </c>
      <c r="AF37" s="32">
        <f t="shared" si="98"/>
        <v>32466</v>
      </c>
      <c r="AG37" s="32">
        <f t="shared" si="98"/>
        <v>55302</v>
      </c>
      <c r="AH37" s="32">
        <f t="shared" si="98"/>
        <v>48822</v>
      </c>
      <c r="AI37" s="60">
        <f t="shared" si="95"/>
        <v>538568</v>
      </c>
    </row>
    <row r="38" spans="1:38">
      <c r="B38" s="31" t="s">
        <v>54</v>
      </c>
      <c r="C38" s="36">
        <f>(C36*$J$1)*$A36</f>
        <v>2527520</v>
      </c>
      <c r="D38" s="36">
        <f t="shared" ref="D38:N38" si="99">(D36*$J$1)*$A36</f>
        <v>6318800</v>
      </c>
      <c r="E38" s="36">
        <f t="shared" si="99"/>
        <v>7582560</v>
      </c>
      <c r="F38" s="36">
        <f t="shared" si="99"/>
        <v>6318800</v>
      </c>
      <c r="G38" s="36">
        <f t="shared" si="99"/>
        <v>5055040</v>
      </c>
      <c r="H38" s="36">
        <f t="shared" si="99"/>
        <v>7582560</v>
      </c>
      <c r="I38" s="36">
        <f t="shared" si="99"/>
        <v>3791280</v>
      </c>
      <c r="J38" s="36">
        <f t="shared" si="99"/>
        <v>6318800</v>
      </c>
      <c r="K38" s="36">
        <f t="shared" si="99"/>
        <v>5055040</v>
      </c>
      <c r="L38" s="36">
        <f t="shared" si="99"/>
        <v>7582560</v>
      </c>
      <c r="M38" s="36">
        <f t="shared" si="99"/>
        <v>6318800</v>
      </c>
      <c r="N38" s="36">
        <f t="shared" si="99"/>
        <v>5055040</v>
      </c>
      <c r="O38" s="60">
        <f t="shared" si="31"/>
        <v>69506800</v>
      </c>
      <c r="Q38" s="54"/>
      <c r="V38" s="31" t="s">
        <v>54</v>
      </c>
      <c r="W38" s="36">
        <f>(W36*$J$1)*$U36</f>
        <v>2527520</v>
      </c>
      <c r="X38" s="36">
        <f t="shared" ref="X38:AH38" si="100">(X36*$J$1)*$U36</f>
        <v>6318800</v>
      </c>
      <c r="Y38" s="36">
        <f t="shared" si="100"/>
        <v>7582560</v>
      </c>
      <c r="Z38" s="36">
        <f t="shared" si="100"/>
        <v>6318800</v>
      </c>
      <c r="AA38" s="36">
        <f t="shared" si="100"/>
        <v>5055040</v>
      </c>
      <c r="AB38" s="36">
        <f t="shared" si="100"/>
        <v>7582560</v>
      </c>
      <c r="AC38" s="36">
        <f t="shared" si="100"/>
        <v>5055040</v>
      </c>
      <c r="AD38" s="36">
        <f t="shared" si="100"/>
        <v>5055040</v>
      </c>
      <c r="AE38" s="36">
        <f t="shared" si="100"/>
        <v>5055040</v>
      </c>
      <c r="AF38" s="36">
        <f t="shared" si="100"/>
        <v>5055040</v>
      </c>
      <c r="AG38" s="36">
        <f t="shared" si="100"/>
        <v>5055040</v>
      </c>
      <c r="AH38" s="36">
        <f t="shared" si="100"/>
        <v>5055040</v>
      </c>
      <c r="AI38" s="60">
        <f t="shared" si="95"/>
        <v>65715520</v>
      </c>
      <c r="AK38" s="54"/>
    </row>
    <row r="39" spans="1:38">
      <c r="B39" s="31" t="s">
        <v>55</v>
      </c>
      <c r="C39" s="36">
        <f>(C37*$J$2)*$A37</f>
        <v>1958782</v>
      </c>
      <c r="D39" s="36">
        <f t="shared" ref="D39:N39" si="101">(D37*$J$2)*$A37</f>
        <v>10009662</v>
      </c>
      <c r="E39" s="36">
        <f t="shared" si="101"/>
        <v>13254992</v>
      </c>
      <c r="F39" s="36">
        <f t="shared" si="101"/>
        <v>4896955</v>
      </c>
      <c r="G39" s="36">
        <f t="shared" si="101"/>
        <v>8007729.5999999996</v>
      </c>
      <c r="H39" s="36">
        <f t="shared" si="101"/>
        <v>13254992</v>
      </c>
      <c r="I39" s="36">
        <f t="shared" si="101"/>
        <v>2938173</v>
      </c>
      <c r="J39" s="36">
        <f t="shared" si="101"/>
        <v>10009662</v>
      </c>
      <c r="K39" s="36">
        <f t="shared" si="101"/>
        <v>8836661.333333334</v>
      </c>
      <c r="L39" s="36">
        <f t="shared" si="101"/>
        <v>5876346</v>
      </c>
      <c r="M39" s="36">
        <f t="shared" si="101"/>
        <v>10009662</v>
      </c>
      <c r="N39" s="36">
        <f t="shared" si="101"/>
        <v>8836661.333333334</v>
      </c>
      <c r="O39" s="60">
        <f t="shared" si="31"/>
        <v>97890278.266666666</v>
      </c>
      <c r="Q39" s="54">
        <f>N34*Q36</f>
        <v>24410.666666666668</v>
      </c>
      <c r="R39" s="39">
        <v>-829243</v>
      </c>
      <c r="V39" s="31" t="s">
        <v>55</v>
      </c>
      <c r="W39" s="36">
        <f>(W37*$J$2)*$U37</f>
        <v>1958782</v>
      </c>
      <c r="X39" s="36">
        <f t="shared" ref="X39:AH39" si="102">(X37*$J$2)*$U37</f>
        <v>10009662</v>
      </c>
      <c r="Y39" s="36">
        <f t="shared" si="102"/>
        <v>13254992</v>
      </c>
      <c r="Z39" s="36">
        <f t="shared" si="102"/>
        <v>4897136</v>
      </c>
      <c r="AA39" s="36">
        <f t="shared" si="102"/>
        <v>7597656</v>
      </c>
      <c r="AB39" s="36">
        <f t="shared" si="102"/>
        <v>13254992</v>
      </c>
      <c r="AC39" s="36">
        <f t="shared" si="102"/>
        <v>2938354</v>
      </c>
      <c r="AD39" s="36">
        <f t="shared" si="102"/>
        <v>10009662</v>
      </c>
      <c r="AE39" s="36">
        <f t="shared" si="102"/>
        <v>8836782</v>
      </c>
      <c r="AF39" s="36">
        <f t="shared" si="102"/>
        <v>5876346</v>
      </c>
      <c r="AG39" s="36">
        <f t="shared" si="102"/>
        <v>10009662</v>
      </c>
      <c r="AH39" s="36">
        <f t="shared" si="102"/>
        <v>8836782</v>
      </c>
      <c r="AI39" s="60">
        <f t="shared" si="95"/>
        <v>97480808</v>
      </c>
      <c r="AK39" s="54"/>
    </row>
    <row r="40" spans="1:38">
      <c r="B40" t="s">
        <v>56</v>
      </c>
      <c r="C40" s="100"/>
      <c r="D40" s="100"/>
      <c r="E40" s="100"/>
      <c r="F40" s="100"/>
      <c r="G40" s="100"/>
      <c r="H40" s="96"/>
      <c r="I40" s="97"/>
      <c r="J40" s="97"/>
      <c r="K40" s="97"/>
      <c r="L40" s="97"/>
      <c r="M40" s="97"/>
      <c r="N40" s="97"/>
      <c r="O40" s="62">
        <f t="shared" si="31"/>
        <v>0</v>
      </c>
      <c r="V40" t="s">
        <v>56</v>
      </c>
      <c r="W40" s="96">
        <f>IF(ROUND((C40*$AC$3),)=1,1,IF($AC$3&gt;1,ROUNDUP((C40*$AC$3),),ROUNDDOWN((C40*$AC$3),)))</f>
        <v>0</v>
      </c>
      <c r="X40" s="96">
        <f t="shared" ref="X40" si="103">IF(ROUND((D40*$AC$3),)=1,1,IF($AC$3&gt;1,ROUNDUP((D40*$AC$3),),ROUNDDOWN((D40*$AC$3),)))</f>
        <v>0</v>
      </c>
      <c r="Y40" s="96">
        <f t="shared" ref="Y40" si="104">IF(ROUND((E40*$AC$3),)=1,1,IF($AC$3&gt;1,ROUNDUP((E40*$AC$3),),ROUNDDOWN((E40*$AC$3),)))</f>
        <v>0</v>
      </c>
      <c r="Z40" s="96">
        <f t="shared" ref="Z40" si="105">IF(ROUND((F40*$AC$3),)=1,1,IF($AC$3&gt;1,ROUNDUP((F40*$AC$3),),ROUNDDOWN((F40*$AC$3),)))</f>
        <v>0</v>
      </c>
      <c r="AA40" s="96">
        <v>4</v>
      </c>
      <c r="AB40" s="96">
        <f t="shared" ref="AB40" si="106">IF(ROUND((H40*$AC$3),)=1,1,IF($AC$3&gt;1,ROUNDUP((H40*$AC$3),),ROUNDDOWN((H40*$AC$3),)))</f>
        <v>0</v>
      </c>
      <c r="AC40" s="96">
        <f t="shared" ref="AC40" si="107">IF(ROUND((I40*$AC$3),)=1,1,IF($AC$3&gt;1,ROUNDUP((I40*$AC$3),),ROUNDDOWN((I40*$AC$3),)))</f>
        <v>0</v>
      </c>
      <c r="AD40" s="96">
        <f t="shared" ref="AD40" si="108">IF(ROUND((J40*$AC$3),)=1,1,IF($AC$3&gt;1,ROUNDUP((J40*$AC$3),),ROUNDDOWN((J40*$AC$3),)))</f>
        <v>0</v>
      </c>
      <c r="AE40" s="96">
        <f t="shared" ref="AE40" si="109">IF(ROUND((K40*$AC$3),)=1,1,IF($AC$3&gt;1,ROUNDUP((K40*$AC$3),),ROUNDDOWN((K40*$AC$3),)))</f>
        <v>0</v>
      </c>
      <c r="AF40" s="96">
        <f t="shared" ref="AF40" si="110">IF(ROUND((L40*$AC$3),)=1,1,IF($AC$3&gt;1,ROUNDUP((L40*$AC$3),),ROUNDDOWN((L40*$AC$3),)))</f>
        <v>0</v>
      </c>
      <c r="AG40" s="96">
        <v>4</v>
      </c>
      <c r="AH40" s="96">
        <f t="shared" ref="AH40" si="111">IF(ROUND((N40*$AC$3),)=1,1,IF($AC$3&gt;1,ROUNDUP((N40*$AC$3),),ROUNDDOWN((N40*$AC$3),)))</f>
        <v>0</v>
      </c>
      <c r="AI40" s="61">
        <f t="shared" ref="AI40" si="112">SUM(W40:AH40)</f>
        <v>8</v>
      </c>
    </row>
    <row r="41" spans="1:38">
      <c r="C41" s="100"/>
      <c r="D41" s="100"/>
      <c r="E41" s="100"/>
      <c r="F41" s="100"/>
      <c r="G41" s="100"/>
      <c r="H41" s="96"/>
      <c r="I41" s="97"/>
      <c r="J41" s="97"/>
      <c r="K41" s="97"/>
      <c r="L41" s="97"/>
      <c r="M41" s="97"/>
      <c r="N41" s="97"/>
      <c r="O41" s="62">
        <f t="shared" si="31"/>
        <v>0</v>
      </c>
      <c r="W41" s="96">
        <f>ROUNDUP(C41*$AC$4,)</f>
        <v>0</v>
      </c>
      <c r="X41" s="96">
        <f t="shared" ref="X41" si="113">ROUNDUP(D41*$AC$4,)</f>
        <v>0</v>
      </c>
      <c r="Y41" s="96">
        <f t="shared" ref="Y41" si="114">ROUNDUP(E41*$AC$4,)</f>
        <v>0</v>
      </c>
      <c r="Z41" s="96">
        <f t="shared" ref="Z41" si="115">ROUNDUP(F41*$AC$4,)</f>
        <v>0</v>
      </c>
      <c r="AA41" s="96">
        <f t="shared" ref="AA41" si="116">ROUNDUP(G41*$AC$4,)</f>
        <v>0</v>
      </c>
      <c r="AB41" s="96">
        <f t="shared" ref="AB41" si="117">ROUNDUP(H41*$AC$4,)</f>
        <v>0</v>
      </c>
      <c r="AC41" s="96">
        <f t="shared" ref="AC41" si="118">ROUNDUP(I41*$AC$4,)</f>
        <v>0</v>
      </c>
      <c r="AD41" s="96">
        <f t="shared" ref="AD41" si="119">ROUNDUP(J41*$AC$4,)</f>
        <v>0</v>
      </c>
      <c r="AE41" s="96">
        <f t="shared" ref="AE41" si="120">ROUNDUP(K41*$AC$4,)</f>
        <v>0</v>
      </c>
      <c r="AF41" s="96">
        <f t="shared" ref="AF41" si="121">ROUNDUP(L41*$AC$4,)</f>
        <v>0</v>
      </c>
      <c r="AG41" s="96">
        <f t="shared" ref="AG41" si="122">ROUNDUP(M41*$AC$4,)</f>
        <v>0</v>
      </c>
      <c r="AH41" s="96">
        <f t="shared" ref="AH41" si="123">ROUNDUP(N41*$AC$4,)</f>
        <v>0</v>
      </c>
      <c r="AI41" s="62">
        <f t="shared" si="95"/>
        <v>0</v>
      </c>
    </row>
    <row r="42" spans="1:38">
      <c r="A42" s="54">
        <f>$M$1</f>
        <v>1</v>
      </c>
      <c r="B42" s="31" t="s">
        <v>52</v>
      </c>
      <c r="C42" s="32">
        <f t="shared" ref="C42:N43" si="124">C40*$C$2</f>
        <v>0</v>
      </c>
      <c r="D42" s="32">
        <f t="shared" si="124"/>
        <v>0</v>
      </c>
      <c r="E42" s="32">
        <f t="shared" si="124"/>
        <v>0</v>
      </c>
      <c r="F42" s="32">
        <f t="shared" si="124"/>
        <v>0</v>
      </c>
      <c r="G42" s="32">
        <f t="shared" si="124"/>
        <v>0</v>
      </c>
      <c r="H42" s="32">
        <f t="shared" si="124"/>
        <v>0</v>
      </c>
      <c r="I42" s="32">
        <f t="shared" si="124"/>
        <v>0</v>
      </c>
      <c r="J42" s="32">
        <f t="shared" si="124"/>
        <v>0</v>
      </c>
      <c r="K42" s="32">
        <f t="shared" si="124"/>
        <v>0</v>
      </c>
      <c r="L42" s="32">
        <f t="shared" si="124"/>
        <v>0</v>
      </c>
      <c r="M42" s="32">
        <f t="shared" si="124"/>
        <v>0</v>
      </c>
      <c r="N42" s="32">
        <f t="shared" si="124"/>
        <v>0</v>
      </c>
      <c r="O42" s="60">
        <f t="shared" si="31"/>
        <v>0</v>
      </c>
      <c r="U42" s="54">
        <f>$AG$1</f>
        <v>1</v>
      </c>
      <c r="V42" s="31" t="s">
        <v>52</v>
      </c>
      <c r="W42" s="32">
        <f t="shared" ref="W42:AH42" si="125">W40*$C$2</f>
        <v>0</v>
      </c>
      <c r="X42" s="32">
        <f t="shared" si="125"/>
        <v>0</v>
      </c>
      <c r="Y42" s="32">
        <f t="shared" si="125"/>
        <v>0</v>
      </c>
      <c r="Z42" s="32">
        <f t="shared" si="125"/>
        <v>0</v>
      </c>
      <c r="AA42" s="32">
        <f t="shared" si="125"/>
        <v>8</v>
      </c>
      <c r="AB42" s="32">
        <f t="shared" si="125"/>
        <v>0</v>
      </c>
      <c r="AC42" s="32">
        <f t="shared" si="125"/>
        <v>0</v>
      </c>
      <c r="AD42" s="32">
        <f t="shared" si="125"/>
        <v>0</v>
      </c>
      <c r="AE42" s="32">
        <f t="shared" si="125"/>
        <v>0</v>
      </c>
      <c r="AF42" s="32">
        <f t="shared" si="125"/>
        <v>0</v>
      </c>
      <c r="AG42" s="32">
        <f t="shared" si="125"/>
        <v>8</v>
      </c>
      <c r="AH42" s="32">
        <f t="shared" si="125"/>
        <v>0</v>
      </c>
      <c r="AI42" s="60">
        <f t="shared" si="95"/>
        <v>16</v>
      </c>
    </row>
    <row r="43" spans="1:38">
      <c r="A43" s="54">
        <f>$M$2</f>
        <v>1</v>
      </c>
      <c r="B43" s="31" t="s">
        <v>53</v>
      </c>
      <c r="C43" s="32">
        <f t="shared" si="124"/>
        <v>0</v>
      </c>
      <c r="D43" s="32">
        <f t="shared" si="124"/>
        <v>0</v>
      </c>
      <c r="E43" s="32">
        <f t="shared" si="124"/>
        <v>0</v>
      </c>
      <c r="F43" s="32">
        <f t="shared" si="124"/>
        <v>0</v>
      </c>
      <c r="G43" s="32">
        <f t="shared" si="124"/>
        <v>0</v>
      </c>
      <c r="H43" s="32">
        <f t="shared" si="124"/>
        <v>0</v>
      </c>
      <c r="I43" s="32">
        <f t="shared" si="124"/>
        <v>0</v>
      </c>
      <c r="J43" s="32">
        <f t="shared" si="124"/>
        <v>0</v>
      </c>
      <c r="K43" s="32">
        <f t="shared" si="124"/>
        <v>0</v>
      </c>
      <c r="L43" s="32">
        <f t="shared" si="124"/>
        <v>0</v>
      </c>
      <c r="M43" s="32">
        <f t="shared" si="124"/>
        <v>0</v>
      </c>
      <c r="N43" s="32">
        <f t="shared" si="124"/>
        <v>0</v>
      </c>
      <c r="O43" s="60">
        <f t="shared" si="31"/>
        <v>0</v>
      </c>
      <c r="U43" s="54">
        <f>$AG$2</f>
        <v>1</v>
      </c>
      <c r="V43" s="31" t="s">
        <v>53</v>
      </c>
      <c r="W43" s="32">
        <f t="shared" ref="W43:AH43" si="126">W41*$C$2</f>
        <v>0</v>
      </c>
      <c r="X43" s="32">
        <f t="shared" si="126"/>
        <v>0</v>
      </c>
      <c r="Y43" s="32">
        <f t="shared" si="126"/>
        <v>0</v>
      </c>
      <c r="Z43" s="32">
        <f t="shared" si="126"/>
        <v>0</v>
      </c>
      <c r="AA43" s="32">
        <f t="shared" si="126"/>
        <v>0</v>
      </c>
      <c r="AB43" s="32">
        <f t="shared" si="126"/>
        <v>0</v>
      </c>
      <c r="AC43" s="32">
        <f t="shared" si="126"/>
        <v>0</v>
      </c>
      <c r="AD43" s="32">
        <f t="shared" si="126"/>
        <v>0</v>
      </c>
      <c r="AE43" s="32">
        <f t="shared" si="126"/>
        <v>0</v>
      </c>
      <c r="AF43" s="32">
        <f t="shared" si="126"/>
        <v>0</v>
      </c>
      <c r="AG43" s="32">
        <f t="shared" si="126"/>
        <v>0</v>
      </c>
      <c r="AH43" s="32">
        <f t="shared" si="126"/>
        <v>0</v>
      </c>
      <c r="AI43" s="60">
        <f t="shared" si="95"/>
        <v>0</v>
      </c>
      <c r="AL43" s="39">
        <v>921608</v>
      </c>
    </row>
    <row r="44" spans="1:38">
      <c r="B44" s="31" t="s">
        <v>54</v>
      </c>
      <c r="C44" s="36">
        <f>(C42*$J$1)*$A42</f>
        <v>0</v>
      </c>
      <c r="D44" s="36">
        <f t="shared" ref="D44:N44" si="127">(D42*$J$1)*$A42</f>
        <v>0</v>
      </c>
      <c r="E44" s="36">
        <f t="shared" si="127"/>
        <v>0</v>
      </c>
      <c r="F44" s="36">
        <f t="shared" si="127"/>
        <v>0</v>
      </c>
      <c r="G44" s="36">
        <f t="shared" si="127"/>
        <v>0</v>
      </c>
      <c r="H44" s="36">
        <f t="shared" si="127"/>
        <v>0</v>
      </c>
      <c r="I44" s="36">
        <f t="shared" si="127"/>
        <v>0</v>
      </c>
      <c r="J44" s="36">
        <f t="shared" si="127"/>
        <v>0</v>
      </c>
      <c r="K44" s="36">
        <f t="shared" si="127"/>
        <v>0</v>
      </c>
      <c r="L44" s="36">
        <f t="shared" si="127"/>
        <v>0</v>
      </c>
      <c r="M44" s="36">
        <f t="shared" si="127"/>
        <v>0</v>
      </c>
      <c r="N44" s="36">
        <f t="shared" si="127"/>
        <v>0</v>
      </c>
      <c r="O44" s="60">
        <f t="shared" si="31"/>
        <v>0</v>
      </c>
      <c r="Q44" s="54"/>
      <c r="V44" s="31" t="s">
        <v>54</v>
      </c>
      <c r="W44" s="36">
        <f>(W42*$J$1)*$U42</f>
        <v>0</v>
      </c>
      <c r="X44" s="36">
        <f t="shared" ref="X44:AH44" si="128">(X42*$J$1)*$U42</f>
        <v>0</v>
      </c>
      <c r="Y44" s="36">
        <f t="shared" si="128"/>
        <v>0</v>
      </c>
      <c r="Z44" s="36">
        <f t="shared" si="128"/>
        <v>0</v>
      </c>
      <c r="AA44" s="36">
        <f t="shared" si="128"/>
        <v>5055040</v>
      </c>
      <c r="AB44" s="36">
        <f t="shared" si="128"/>
        <v>0</v>
      </c>
      <c r="AC44" s="36">
        <f t="shared" si="128"/>
        <v>0</v>
      </c>
      <c r="AD44" s="36">
        <f t="shared" si="128"/>
        <v>0</v>
      </c>
      <c r="AE44" s="36">
        <f t="shared" si="128"/>
        <v>0</v>
      </c>
      <c r="AF44" s="36">
        <f t="shared" si="128"/>
        <v>0</v>
      </c>
      <c r="AG44" s="36">
        <f t="shared" si="128"/>
        <v>5055040</v>
      </c>
      <c r="AH44" s="36">
        <f t="shared" si="128"/>
        <v>0</v>
      </c>
      <c r="AI44" s="60">
        <f t="shared" si="95"/>
        <v>10110080</v>
      </c>
      <c r="AK44" s="54"/>
    </row>
    <row r="45" spans="1:38">
      <c r="B45" s="31" t="s">
        <v>55</v>
      </c>
      <c r="C45" s="36">
        <f>(C43*$J$2)*$A43</f>
        <v>0</v>
      </c>
      <c r="D45" s="36">
        <f t="shared" ref="D45:N45" si="129">(D43*$J$2)*$A43</f>
        <v>0</v>
      </c>
      <c r="E45" s="36">
        <f t="shared" si="129"/>
        <v>0</v>
      </c>
      <c r="F45" s="36">
        <f t="shared" si="129"/>
        <v>0</v>
      </c>
      <c r="G45" s="36">
        <f t="shared" si="129"/>
        <v>0</v>
      </c>
      <c r="H45" s="36">
        <f t="shared" si="129"/>
        <v>0</v>
      </c>
      <c r="I45" s="36">
        <f t="shared" si="129"/>
        <v>0</v>
      </c>
      <c r="J45" s="36">
        <f t="shared" si="129"/>
        <v>0</v>
      </c>
      <c r="K45" s="36">
        <f t="shared" si="129"/>
        <v>0</v>
      </c>
      <c r="L45" s="36">
        <f t="shared" si="129"/>
        <v>0</v>
      </c>
      <c r="M45" s="36">
        <f t="shared" si="129"/>
        <v>0</v>
      </c>
      <c r="N45" s="36">
        <f t="shared" si="129"/>
        <v>0</v>
      </c>
      <c r="O45" s="60">
        <f t="shared" si="31"/>
        <v>0</v>
      </c>
      <c r="Q45" s="54"/>
      <c r="V45" s="31" t="s">
        <v>55</v>
      </c>
      <c r="W45" s="36">
        <f>(W43*$J$2)*$U43</f>
        <v>0</v>
      </c>
      <c r="X45" s="36">
        <f t="shared" ref="X45:AH45" si="130">(X43*$J$2)*$U43</f>
        <v>0</v>
      </c>
      <c r="Y45" s="36">
        <f t="shared" si="130"/>
        <v>0</v>
      </c>
      <c r="Z45" s="36">
        <f t="shared" si="130"/>
        <v>0</v>
      </c>
      <c r="AA45" s="36">
        <f t="shared" si="130"/>
        <v>0</v>
      </c>
      <c r="AB45" s="36">
        <f t="shared" si="130"/>
        <v>0</v>
      </c>
      <c r="AC45" s="36">
        <f t="shared" si="130"/>
        <v>0</v>
      </c>
      <c r="AD45" s="36">
        <f t="shared" si="130"/>
        <v>0</v>
      </c>
      <c r="AE45" s="36">
        <f t="shared" si="130"/>
        <v>0</v>
      </c>
      <c r="AF45" s="36">
        <f t="shared" si="130"/>
        <v>0</v>
      </c>
      <c r="AG45" s="36">
        <f t="shared" si="130"/>
        <v>0</v>
      </c>
      <c r="AH45" s="36">
        <f t="shared" si="130"/>
        <v>0</v>
      </c>
      <c r="AI45" s="60">
        <f t="shared" si="95"/>
        <v>0</v>
      </c>
      <c r="AK45" s="54"/>
      <c r="AL45" s="39">
        <v>146426</v>
      </c>
    </row>
    <row r="46" spans="1:38">
      <c r="B46" t="s">
        <v>57</v>
      </c>
      <c r="C46" s="100">
        <f>'TAMBAT-IKPP'!E42</f>
        <v>3</v>
      </c>
      <c r="D46" s="100">
        <f>'TAMBAT-IKPP'!F42</f>
        <v>5</v>
      </c>
      <c r="E46" s="100">
        <f>'TAMBAT-IKPP'!G42</f>
        <v>0</v>
      </c>
      <c r="F46" s="100">
        <f>'TAMBAT-IKPP'!H42</f>
        <v>4</v>
      </c>
      <c r="G46" s="100">
        <f>'TAMBAT-IKPP'!I42</f>
        <v>3</v>
      </c>
      <c r="H46" s="100">
        <f>'TAMBAT-IKPP'!J42</f>
        <v>5</v>
      </c>
      <c r="I46" s="294">
        <f>'TAMBAT-IKPP'!K42</f>
        <v>3</v>
      </c>
      <c r="J46" s="294">
        <f>'TAMBAT-IKPP'!L42</f>
        <v>4</v>
      </c>
      <c r="K46" s="294">
        <f>'TAMBAT-IKPP'!M42</f>
        <v>3</v>
      </c>
      <c r="L46" s="294">
        <f>'TAMBAT-IKPP'!N42</f>
        <v>5</v>
      </c>
      <c r="M46" s="294">
        <f>'TAMBAT-IKPP'!O42</f>
        <v>4</v>
      </c>
      <c r="N46" s="294">
        <f>'TAMBAT-IKPP'!P42</f>
        <v>3</v>
      </c>
      <c r="O46" s="62">
        <f t="shared" si="31"/>
        <v>42</v>
      </c>
      <c r="V46" t="s">
        <v>57</v>
      </c>
      <c r="W46" s="96">
        <v>2</v>
      </c>
      <c r="X46" s="96">
        <v>1</v>
      </c>
      <c r="Y46" s="96">
        <v>1</v>
      </c>
      <c r="Z46" s="96">
        <f t="shared" ref="Z46" si="131">IF(ROUND((F46*$AC$3),)=1,1,IF($AC$3&gt;1,ROUNDUP((F46*$AC$3),),ROUNDDOWN((F46*$AC$3),)))</f>
        <v>4</v>
      </c>
      <c r="AA46" s="96">
        <f t="shared" ref="AA46" si="132">IF(ROUND((G46*$AC$3),)=1,1,IF($AC$3&gt;1,ROUNDUP((G46*$AC$3),),ROUNDDOWN((G46*$AC$3),)))</f>
        <v>3</v>
      </c>
      <c r="AB46" s="96">
        <f t="shared" ref="AB46" si="133">IF(ROUND((H46*$AC$3),)=1,1,IF($AC$3&gt;1,ROUNDUP((H46*$AC$3),),ROUNDDOWN((H46*$AC$3),)))</f>
        <v>5</v>
      </c>
      <c r="AC46" s="96">
        <f t="shared" ref="AC46" si="134">IF(ROUND((I46*$AC$3),)=1,1,IF($AC$3&gt;1,ROUNDUP((I46*$AC$3),),ROUNDDOWN((I46*$AC$3),)))</f>
        <v>3</v>
      </c>
      <c r="AD46" s="96">
        <f t="shared" ref="AD46" si="135">IF(ROUND((J46*$AC$3),)=1,1,IF($AC$3&gt;1,ROUNDUP((J46*$AC$3),),ROUNDDOWN((J46*$AC$3),)))</f>
        <v>4</v>
      </c>
      <c r="AE46" s="96">
        <f t="shared" ref="AE46" si="136">IF(ROUND((K46*$AC$3),)=1,1,IF($AC$3&gt;1,ROUNDUP((K46*$AC$3),),ROUNDDOWN((K46*$AC$3),)))</f>
        <v>3</v>
      </c>
      <c r="AF46" s="96">
        <f t="shared" ref="AF46" si="137">IF(ROUND((L46*$AC$3),)=1,1,IF($AC$3&gt;1,ROUNDUP((L46*$AC$3),),ROUNDDOWN((L46*$AC$3),)))</f>
        <v>5</v>
      </c>
      <c r="AG46" s="96">
        <f t="shared" ref="AG46" si="138">IF(ROUND((M46*$AC$3),)=1,1,IF($AC$3&gt;1,ROUNDUP((M46*$AC$3),),ROUNDDOWN((M46*$AC$3),)))</f>
        <v>4</v>
      </c>
      <c r="AH46" s="96">
        <f t="shared" ref="AH46" si="139">IF(ROUND((N46*$AC$3),)=1,1,IF($AC$3&gt;1,ROUNDUP((N46*$AC$3),),ROUNDDOWN((N46*$AC$3),)))</f>
        <v>3</v>
      </c>
      <c r="AI46" s="61">
        <f t="shared" ref="AI46" si="140">SUM(W46:AH46)</f>
        <v>38</v>
      </c>
      <c r="AL46" s="39">
        <f>AL45/24</f>
        <v>6101.083333333333</v>
      </c>
    </row>
    <row r="47" spans="1:38">
      <c r="C47" s="100">
        <f>'TAMBAT-IKPP'!E43</f>
        <v>13500</v>
      </c>
      <c r="D47" s="100">
        <f>'TAMBAT-IKPP'!F43</f>
        <v>18648</v>
      </c>
      <c r="E47" s="100">
        <f>'TAMBAT-IKPP'!G43</f>
        <v>0</v>
      </c>
      <c r="F47" s="100">
        <f>'TAMBAT-IKPP'!H43</f>
        <v>14918.4</v>
      </c>
      <c r="G47" s="100">
        <f>'TAMBAT-IKPP'!I43</f>
        <v>13500</v>
      </c>
      <c r="H47" s="100">
        <f>'TAMBAT-IKPP'!J43</f>
        <v>18648</v>
      </c>
      <c r="I47" s="294">
        <f>'TAMBAT-IKPP'!K43</f>
        <v>13500</v>
      </c>
      <c r="J47" s="294">
        <f>'TAMBAT-IKPP'!L43</f>
        <v>14918.4</v>
      </c>
      <c r="K47" s="294">
        <f>'TAMBAT-IKPP'!M43</f>
        <v>13500</v>
      </c>
      <c r="L47" s="294">
        <f>'TAMBAT-IKPP'!N43</f>
        <v>18648</v>
      </c>
      <c r="M47" s="294">
        <f>'TAMBAT-IKPP'!O43</f>
        <v>18000</v>
      </c>
      <c r="N47" s="294">
        <f>'TAMBAT-IKPP'!P43</f>
        <v>11188.8</v>
      </c>
      <c r="O47" s="62">
        <f t="shared" si="31"/>
        <v>168969.59999999998</v>
      </c>
      <c r="W47" s="96">
        <v>8018</v>
      </c>
      <c r="X47" s="96">
        <v>8018</v>
      </c>
      <c r="Y47" s="96">
        <v>4009</v>
      </c>
      <c r="Z47" s="96">
        <v>8018</v>
      </c>
      <c r="AA47" s="96">
        <v>8018</v>
      </c>
      <c r="AB47" s="96">
        <v>8018</v>
      </c>
      <c r="AC47" s="96">
        <v>8018</v>
      </c>
      <c r="AD47" s="96">
        <v>4009</v>
      </c>
      <c r="AE47" s="96">
        <v>4009</v>
      </c>
      <c r="AF47" s="96">
        <v>4009</v>
      </c>
      <c r="AG47" s="96">
        <v>4009</v>
      </c>
      <c r="AH47" s="96">
        <v>4009</v>
      </c>
      <c r="AI47" s="62">
        <f t="shared" si="95"/>
        <v>72162</v>
      </c>
    </row>
    <row r="48" spans="1:38">
      <c r="A48" s="54">
        <f>$M$1</f>
        <v>1</v>
      </c>
      <c r="B48" s="31" t="s">
        <v>52</v>
      </c>
      <c r="C48" s="32">
        <f t="shared" ref="C48:N49" si="141">C46*$C$2</f>
        <v>6</v>
      </c>
      <c r="D48" s="32">
        <f t="shared" si="141"/>
        <v>10</v>
      </c>
      <c r="E48" s="32">
        <f t="shared" si="141"/>
        <v>0</v>
      </c>
      <c r="F48" s="32">
        <f t="shared" si="141"/>
        <v>8</v>
      </c>
      <c r="G48" s="32">
        <f t="shared" si="141"/>
        <v>6</v>
      </c>
      <c r="H48" s="32">
        <f t="shared" si="141"/>
        <v>10</v>
      </c>
      <c r="I48" s="32">
        <f t="shared" si="141"/>
        <v>6</v>
      </c>
      <c r="J48" s="32">
        <f t="shared" si="141"/>
        <v>8</v>
      </c>
      <c r="K48" s="32">
        <f t="shared" si="141"/>
        <v>6</v>
      </c>
      <c r="L48" s="32">
        <f t="shared" si="141"/>
        <v>10</v>
      </c>
      <c r="M48" s="32">
        <f t="shared" si="141"/>
        <v>8</v>
      </c>
      <c r="N48" s="32">
        <f t="shared" si="141"/>
        <v>6</v>
      </c>
      <c r="O48" s="60">
        <f t="shared" si="31"/>
        <v>84</v>
      </c>
      <c r="U48" s="54">
        <f>$AG$1</f>
        <v>1</v>
      </c>
      <c r="V48" s="31" t="s">
        <v>52</v>
      </c>
      <c r="W48" s="32">
        <f t="shared" ref="W48:AH48" si="142">W46*$C$2</f>
        <v>4</v>
      </c>
      <c r="X48" s="32">
        <f t="shared" si="142"/>
        <v>2</v>
      </c>
      <c r="Y48" s="32">
        <f t="shared" si="142"/>
        <v>2</v>
      </c>
      <c r="Z48" s="32">
        <f t="shared" si="142"/>
        <v>8</v>
      </c>
      <c r="AA48" s="32">
        <f t="shared" si="142"/>
        <v>6</v>
      </c>
      <c r="AB48" s="32">
        <f t="shared" si="142"/>
        <v>10</v>
      </c>
      <c r="AC48" s="32">
        <f t="shared" si="142"/>
        <v>6</v>
      </c>
      <c r="AD48" s="32">
        <f t="shared" si="142"/>
        <v>8</v>
      </c>
      <c r="AE48" s="32">
        <f t="shared" si="142"/>
        <v>6</v>
      </c>
      <c r="AF48" s="32">
        <f t="shared" si="142"/>
        <v>10</v>
      </c>
      <c r="AG48" s="32">
        <f t="shared" si="142"/>
        <v>8</v>
      </c>
      <c r="AH48" s="32">
        <f t="shared" si="142"/>
        <v>6</v>
      </c>
      <c r="AI48" s="60">
        <f t="shared" si="95"/>
        <v>76</v>
      </c>
    </row>
    <row r="49" spans="1:37">
      <c r="A49" s="54">
        <f>$M$2</f>
        <v>1</v>
      </c>
      <c r="B49" s="31" t="s">
        <v>53</v>
      </c>
      <c r="C49" s="32">
        <f t="shared" si="141"/>
        <v>27000</v>
      </c>
      <c r="D49" s="32">
        <f t="shared" si="141"/>
        <v>37296</v>
      </c>
      <c r="E49" s="32">
        <f t="shared" si="141"/>
        <v>0</v>
      </c>
      <c r="F49" s="32">
        <f t="shared" si="141"/>
        <v>29836.799999999999</v>
      </c>
      <c r="G49" s="32">
        <f t="shared" si="141"/>
        <v>27000</v>
      </c>
      <c r="H49" s="32">
        <f t="shared" si="141"/>
        <v>37296</v>
      </c>
      <c r="I49" s="32">
        <f t="shared" si="141"/>
        <v>27000</v>
      </c>
      <c r="J49" s="32">
        <f t="shared" si="141"/>
        <v>29836.799999999999</v>
      </c>
      <c r="K49" s="32">
        <f t="shared" si="141"/>
        <v>27000</v>
      </c>
      <c r="L49" s="32">
        <f t="shared" si="141"/>
        <v>37296</v>
      </c>
      <c r="M49" s="32">
        <f t="shared" si="141"/>
        <v>36000</v>
      </c>
      <c r="N49" s="32">
        <f t="shared" si="141"/>
        <v>22377.599999999999</v>
      </c>
      <c r="O49" s="60">
        <f t="shared" si="31"/>
        <v>337939.19999999995</v>
      </c>
      <c r="U49" s="54">
        <f>$AG$2</f>
        <v>1</v>
      </c>
      <c r="V49" s="31" t="s">
        <v>53</v>
      </c>
      <c r="W49" s="32">
        <f t="shared" ref="W49:AH49" si="143">W47*$C$2</f>
        <v>16036</v>
      </c>
      <c r="X49" s="32">
        <f t="shared" si="143"/>
        <v>16036</v>
      </c>
      <c r="Y49" s="32">
        <f t="shared" si="143"/>
        <v>8018</v>
      </c>
      <c r="Z49" s="32">
        <f t="shared" si="143"/>
        <v>16036</v>
      </c>
      <c r="AA49" s="32">
        <f t="shared" si="143"/>
        <v>16036</v>
      </c>
      <c r="AB49" s="32">
        <f t="shared" si="143"/>
        <v>16036</v>
      </c>
      <c r="AC49" s="32">
        <f t="shared" si="143"/>
        <v>16036</v>
      </c>
      <c r="AD49" s="32">
        <f t="shared" si="143"/>
        <v>8018</v>
      </c>
      <c r="AE49" s="32">
        <f t="shared" si="143"/>
        <v>8018</v>
      </c>
      <c r="AF49" s="32">
        <f t="shared" si="143"/>
        <v>8018</v>
      </c>
      <c r="AG49" s="32">
        <f t="shared" si="143"/>
        <v>8018</v>
      </c>
      <c r="AH49" s="32">
        <f t="shared" si="143"/>
        <v>8018</v>
      </c>
      <c r="AI49" s="60">
        <f t="shared" si="95"/>
        <v>144324</v>
      </c>
    </row>
    <row r="50" spans="1:37">
      <c r="B50" s="31" t="s">
        <v>54</v>
      </c>
      <c r="C50" s="36">
        <f>(C48*$J$1)*$A48</f>
        <v>3791280</v>
      </c>
      <c r="D50" s="36">
        <f t="shared" ref="D50:N50" si="144">(D48*$J$1)*$A48</f>
        <v>6318800</v>
      </c>
      <c r="E50" s="36">
        <f t="shared" si="144"/>
        <v>0</v>
      </c>
      <c r="F50" s="36">
        <f t="shared" si="144"/>
        <v>5055040</v>
      </c>
      <c r="G50" s="36">
        <f t="shared" si="144"/>
        <v>3791280</v>
      </c>
      <c r="H50" s="36">
        <f t="shared" si="144"/>
        <v>6318800</v>
      </c>
      <c r="I50" s="36">
        <f t="shared" si="144"/>
        <v>3791280</v>
      </c>
      <c r="J50" s="36">
        <f t="shared" si="144"/>
        <v>5055040</v>
      </c>
      <c r="K50" s="36">
        <f t="shared" si="144"/>
        <v>3791280</v>
      </c>
      <c r="L50" s="36">
        <f t="shared" si="144"/>
        <v>6318800</v>
      </c>
      <c r="M50" s="36">
        <f t="shared" si="144"/>
        <v>5055040</v>
      </c>
      <c r="N50" s="36">
        <f t="shared" si="144"/>
        <v>3791280</v>
      </c>
      <c r="O50" s="60">
        <f t="shared" si="31"/>
        <v>53077920</v>
      </c>
      <c r="P50" s="84"/>
      <c r="Q50" s="54"/>
      <c r="V50" s="31" t="s">
        <v>54</v>
      </c>
      <c r="W50" s="36">
        <f>(W48*$J$1)*$U48</f>
        <v>2527520</v>
      </c>
      <c r="X50" s="36">
        <f t="shared" ref="X50:AH50" si="145">(X48*$J$1)*$U48</f>
        <v>1263760</v>
      </c>
      <c r="Y50" s="36">
        <f t="shared" si="145"/>
        <v>1263760</v>
      </c>
      <c r="Z50" s="36">
        <f t="shared" si="145"/>
        <v>5055040</v>
      </c>
      <c r="AA50" s="36">
        <f t="shared" si="145"/>
        <v>3791280</v>
      </c>
      <c r="AB50" s="36">
        <f t="shared" si="145"/>
        <v>6318800</v>
      </c>
      <c r="AC50" s="36">
        <f t="shared" si="145"/>
        <v>3791280</v>
      </c>
      <c r="AD50" s="36">
        <f t="shared" si="145"/>
        <v>5055040</v>
      </c>
      <c r="AE50" s="36">
        <f t="shared" si="145"/>
        <v>3791280</v>
      </c>
      <c r="AF50" s="36">
        <f t="shared" si="145"/>
        <v>6318800</v>
      </c>
      <c r="AG50" s="36">
        <f t="shared" si="145"/>
        <v>5055040</v>
      </c>
      <c r="AH50" s="36">
        <f t="shared" si="145"/>
        <v>3791280</v>
      </c>
      <c r="AI50" s="60">
        <f t="shared" si="95"/>
        <v>48022880</v>
      </c>
      <c r="AJ50" s="84"/>
      <c r="AK50" s="54"/>
    </row>
    <row r="51" spans="1:37">
      <c r="B51" s="31" t="s">
        <v>55</v>
      </c>
      <c r="C51" s="36">
        <f>(C49*$J$2)*$A49</f>
        <v>4887000</v>
      </c>
      <c r="D51" s="36">
        <f t="shared" ref="D51:N51" si="146">(D49*$J$2)*$A49</f>
        <v>6750576</v>
      </c>
      <c r="E51" s="36">
        <f t="shared" si="146"/>
        <v>0</v>
      </c>
      <c r="F51" s="36">
        <f t="shared" si="146"/>
        <v>5400460.7999999998</v>
      </c>
      <c r="G51" s="36">
        <f t="shared" si="146"/>
        <v>4887000</v>
      </c>
      <c r="H51" s="36">
        <f t="shared" si="146"/>
        <v>6750576</v>
      </c>
      <c r="I51" s="36">
        <f t="shared" si="146"/>
        <v>4887000</v>
      </c>
      <c r="J51" s="36">
        <f t="shared" si="146"/>
        <v>5400460.7999999998</v>
      </c>
      <c r="K51" s="36">
        <f t="shared" si="146"/>
        <v>4887000</v>
      </c>
      <c r="L51" s="36">
        <f t="shared" si="146"/>
        <v>6750576</v>
      </c>
      <c r="M51" s="36">
        <f t="shared" si="146"/>
        <v>6516000</v>
      </c>
      <c r="N51" s="36">
        <f t="shared" si="146"/>
        <v>4050345.5999999996</v>
      </c>
      <c r="O51" s="60">
        <f t="shared" si="31"/>
        <v>61166995.199999996</v>
      </c>
      <c r="P51" s="84"/>
      <c r="Q51" s="54"/>
      <c r="V51" s="31" t="s">
        <v>55</v>
      </c>
      <c r="W51" s="36">
        <f>(W49*$J$2)*$U49</f>
        <v>2902516</v>
      </c>
      <c r="X51" s="36">
        <f t="shared" ref="X51:AH51" si="147">(X49*$J$2)*$U49</f>
        <v>2902516</v>
      </c>
      <c r="Y51" s="36">
        <f t="shared" si="147"/>
        <v>1451258</v>
      </c>
      <c r="Z51" s="36">
        <f t="shared" si="147"/>
        <v>2902516</v>
      </c>
      <c r="AA51" s="36">
        <f t="shared" si="147"/>
        <v>2902516</v>
      </c>
      <c r="AB51" s="36">
        <f t="shared" si="147"/>
        <v>2902516</v>
      </c>
      <c r="AC51" s="36">
        <f t="shared" si="147"/>
        <v>2902516</v>
      </c>
      <c r="AD51" s="36">
        <f t="shared" si="147"/>
        <v>1451258</v>
      </c>
      <c r="AE51" s="36">
        <f t="shared" si="147"/>
        <v>1451258</v>
      </c>
      <c r="AF51" s="36">
        <f t="shared" si="147"/>
        <v>1451258</v>
      </c>
      <c r="AG51" s="36">
        <f t="shared" si="147"/>
        <v>1451258</v>
      </c>
      <c r="AH51" s="36">
        <f t="shared" si="147"/>
        <v>1451258</v>
      </c>
      <c r="AI51" s="60">
        <f t="shared" si="95"/>
        <v>26122644</v>
      </c>
      <c r="AJ51" s="84"/>
      <c r="AK51" s="54"/>
    </row>
    <row r="52" spans="1:37">
      <c r="B52" t="s">
        <v>59</v>
      </c>
      <c r="C52" s="101"/>
      <c r="D52" s="101"/>
      <c r="E52" s="108">
        <v>130</v>
      </c>
      <c r="F52" s="101"/>
      <c r="G52" s="101"/>
      <c r="H52" s="96">
        <v>0</v>
      </c>
      <c r="I52" s="97">
        <f>IF(ROUND((C52*$I$3),)=1,1,IF($I$3&gt;1,ROUNDUP((C52*$I$3),),ROUNDDOWN((C52*$I$3),)))</f>
        <v>0</v>
      </c>
      <c r="J52" s="97">
        <f t="shared" ref="J52" si="148">IF(ROUND((D52*$I$3),)=1,1,IF($I$3&gt;1,ROUNDUP((D52*$I$3),),ROUNDDOWN((D52*$I$3),)))</f>
        <v>0</v>
      </c>
      <c r="K52" s="97">
        <v>0</v>
      </c>
      <c r="L52" s="97">
        <f t="shared" ref="L52" si="149">IF(ROUND((F52*$I$3),)=1,1,IF($I$3&gt;1,ROUNDUP((F52*$I$3),),ROUNDDOWN((F52*$I$3),)))</f>
        <v>0</v>
      </c>
      <c r="M52" s="97">
        <f t="shared" ref="M52" si="150">IF(ROUND((G52*$I$3),)=1,1,IF($I$3&gt;1,ROUNDUP((G52*$I$3),),ROUNDDOWN((G52*$I$3),)))</f>
        <v>0</v>
      </c>
      <c r="N52" s="97">
        <f t="shared" ref="N52" si="151">IF(ROUND((H52*$I$3),)=1,1,IF($I$3&gt;1,ROUNDUP((H52*$I$3),),ROUNDDOWN((H52*$I$3),)))</f>
        <v>0</v>
      </c>
      <c r="O52" s="62">
        <f t="shared" si="31"/>
        <v>130</v>
      </c>
      <c r="Q52" s="102">
        <v>130</v>
      </c>
      <c r="V52" t="s">
        <v>59</v>
      </c>
      <c r="W52" s="96">
        <f>IF(ROUND((C52*$AC$3),)=1,1,IF($AC$3&gt;1,ROUNDUP((C52*$AC$3),),ROUNDDOWN((C52*$AC$3),)))</f>
        <v>0</v>
      </c>
      <c r="X52" s="96">
        <f t="shared" ref="X52" si="152">IF(ROUND((D52*$AC$3),)=1,1,IF($AC$3&gt;1,ROUNDUP((D52*$AC$3),),ROUNDDOWN((D52*$AC$3),)))</f>
        <v>0</v>
      </c>
      <c r="Y52" s="96">
        <v>140</v>
      </c>
      <c r="Z52" s="96">
        <f t="shared" ref="Z52" si="153">IF(ROUND((F52*$AC$3),)=1,1,IF($AC$3&gt;1,ROUNDUP((F52*$AC$3),),ROUNDDOWN((F52*$AC$3),)))</f>
        <v>0</v>
      </c>
      <c r="AA52" s="96">
        <f t="shared" ref="AA52" si="154">IF(ROUND((G52*$AC$3),)=1,1,IF($AC$3&gt;1,ROUNDUP((G52*$AC$3),),ROUNDDOWN((G52*$AC$3),)))</f>
        <v>0</v>
      </c>
      <c r="AB52" s="96">
        <f t="shared" ref="AB52" si="155">IF(ROUND((H52*$AC$3),)=1,1,IF($AC$3&gt;1,ROUNDUP((H52*$AC$3),),ROUNDDOWN((H52*$AC$3),)))</f>
        <v>0</v>
      </c>
      <c r="AC52" s="96">
        <f t="shared" ref="AC52" si="156">IF(ROUND((I52*$AC$3),)=1,1,IF($AC$3&gt;1,ROUNDUP((I52*$AC$3),),ROUNDDOWN((I52*$AC$3),)))</f>
        <v>0</v>
      </c>
      <c r="AD52" s="96">
        <f t="shared" ref="AD52" si="157">IF(ROUND((J52*$AC$3),)=1,1,IF($AC$3&gt;1,ROUNDUP((J52*$AC$3),),ROUNDDOWN((J52*$AC$3),)))</f>
        <v>0</v>
      </c>
      <c r="AE52" s="96">
        <f t="shared" ref="AE52" si="158">IF(ROUND((K52*$AC$3),)=1,1,IF($AC$3&gt;1,ROUNDUP((K52*$AC$3),),ROUNDDOWN((K52*$AC$3),)))</f>
        <v>0</v>
      </c>
      <c r="AF52" s="96">
        <f t="shared" ref="AF52" si="159">IF(ROUND((L52*$AC$3),)=1,1,IF($AC$3&gt;1,ROUNDUP((L52*$AC$3),),ROUNDDOWN((L52*$AC$3),)))</f>
        <v>0</v>
      </c>
      <c r="AG52" s="96">
        <f t="shared" ref="AG52" si="160">IF(ROUND((M52*$AC$3),)=1,1,IF($AC$3&gt;1,ROUNDUP((M52*$AC$3),),ROUNDDOWN((M52*$AC$3),)))</f>
        <v>0</v>
      </c>
      <c r="AH52" s="96">
        <f t="shared" ref="AH52" si="161">IF(ROUND((N52*$AC$3),)=1,1,IF($AC$3&gt;1,ROUNDUP((N52*$AC$3),),ROUNDDOWN((N52*$AC$3),)))</f>
        <v>0</v>
      </c>
      <c r="AI52" s="61">
        <f t="shared" ref="AI52" si="162">SUM(W52:AH52)</f>
        <v>140</v>
      </c>
    </row>
    <row r="53" spans="1:37">
      <c r="C53" s="101"/>
      <c r="D53" s="101"/>
      <c r="E53" s="108">
        <v>1068034</v>
      </c>
      <c r="F53" s="101"/>
      <c r="G53" s="101"/>
      <c r="H53" s="96">
        <v>0</v>
      </c>
      <c r="I53" s="97">
        <f>IF(I52=1,C53,IF(I48&gt;1,ROUNDUP((C53*$I$4),),ROUNDDOWN((C53*$I$4),)))</f>
        <v>0</v>
      </c>
      <c r="J53" s="97">
        <f t="shared" ref="J53" si="163">IF(J52=1,D53,IF(J48&gt;1,ROUNDUP((D53*$I$4),),ROUNDDOWN((D53*$I$4),)))</f>
        <v>0</v>
      </c>
      <c r="K53" s="97">
        <v>0</v>
      </c>
      <c r="L53" s="97">
        <f t="shared" ref="L53" si="164">IF(L52=1,F53,IF(L48&gt;1,ROUNDUP((F53*$I$4),),ROUNDDOWN((F53*$I$4),)))</f>
        <v>0</v>
      </c>
      <c r="M53" s="97">
        <f t="shared" ref="M53" si="165">IF(M52=1,G53,IF(M48&gt;1,ROUNDUP((G53*$I$4),),ROUNDDOWN((G53*$I$4),)))</f>
        <v>0</v>
      </c>
      <c r="N53" s="97">
        <f t="shared" ref="N53" si="166">IF(N52=1,H53,IF(N48&gt;1,ROUNDUP((H53*$I$4),),ROUNDDOWN((H53*$I$4),)))</f>
        <v>0</v>
      </c>
      <c r="O53" s="62">
        <f t="shared" si="31"/>
        <v>1068034</v>
      </c>
      <c r="Q53" s="102">
        <v>1068034</v>
      </c>
      <c r="W53" s="96">
        <f>ROUNDUP(C53*$AC$4,)</f>
        <v>0</v>
      </c>
      <c r="X53" s="96">
        <f t="shared" ref="X53" si="167">ROUNDUP(D53*$AC$4,)</f>
        <v>0</v>
      </c>
      <c r="Y53" s="96">
        <v>1109112.2307692308</v>
      </c>
      <c r="Z53" s="96">
        <f t="shared" ref="Z53" si="168">ROUNDUP(F53*$AC$4,)</f>
        <v>0</v>
      </c>
      <c r="AA53" s="96">
        <f t="shared" ref="AA53" si="169">ROUNDUP(G53*$AC$4,)</f>
        <v>0</v>
      </c>
      <c r="AB53" s="96">
        <f t="shared" ref="AB53" si="170">ROUNDUP(H53*$AC$4,)</f>
        <v>0</v>
      </c>
      <c r="AC53" s="96">
        <f t="shared" ref="AC53" si="171">ROUNDUP(I53*$AC$4,)</f>
        <v>0</v>
      </c>
      <c r="AD53" s="96">
        <f t="shared" ref="AD53" si="172">ROUNDUP(J53*$AC$4,)</f>
        <v>0</v>
      </c>
      <c r="AE53" s="96">
        <f t="shared" ref="AE53" si="173">ROUNDUP(K53*$AC$4,)</f>
        <v>0</v>
      </c>
      <c r="AF53" s="96">
        <f t="shared" ref="AF53" si="174">ROUNDUP(L53*$AC$4,)</f>
        <v>0</v>
      </c>
      <c r="AG53" s="96">
        <f t="shared" ref="AG53" si="175">ROUNDUP(M53*$AC$4,)</f>
        <v>0</v>
      </c>
      <c r="AH53" s="96">
        <f t="shared" ref="AH53" si="176">ROUNDUP(N53*$AC$4,)</f>
        <v>0</v>
      </c>
      <c r="AI53" s="62">
        <f t="shared" si="95"/>
        <v>1109112.2307692308</v>
      </c>
    </row>
    <row r="54" spans="1:37">
      <c r="A54" s="54">
        <f>$M$1</f>
        <v>1</v>
      </c>
      <c r="B54" s="31" t="s">
        <v>52</v>
      </c>
      <c r="C54" s="36">
        <f>C52*2</f>
        <v>0</v>
      </c>
      <c r="D54" s="36">
        <f t="shared" ref="D54:N55" si="177">D52*2</f>
        <v>0</v>
      </c>
      <c r="E54" s="36">
        <f t="shared" si="177"/>
        <v>260</v>
      </c>
      <c r="F54" s="36">
        <f t="shared" si="177"/>
        <v>0</v>
      </c>
      <c r="G54" s="36">
        <f t="shared" si="177"/>
        <v>0</v>
      </c>
      <c r="H54" s="36">
        <f t="shared" si="177"/>
        <v>0</v>
      </c>
      <c r="I54" s="36">
        <f t="shared" si="177"/>
        <v>0</v>
      </c>
      <c r="J54" s="36">
        <f t="shared" si="177"/>
        <v>0</v>
      </c>
      <c r="K54" s="36">
        <f t="shared" si="177"/>
        <v>0</v>
      </c>
      <c r="L54" s="36">
        <f t="shared" si="177"/>
        <v>0</v>
      </c>
      <c r="M54" s="36">
        <f t="shared" si="177"/>
        <v>0</v>
      </c>
      <c r="N54" s="36">
        <f t="shared" si="177"/>
        <v>0</v>
      </c>
      <c r="O54" s="60">
        <f t="shared" si="31"/>
        <v>260</v>
      </c>
      <c r="U54" s="54">
        <f>$AG$1</f>
        <v>1</v>
      </c>
      <c r="V54" s="31" t="s">
        <v>52</v>
      </c>
      <c r="W54" s="36">
        <f>W52*2</f>
        <v>0</v>
      </c>
      <c r="X54" s="36">
        <f t="shared" ref="X54:AH54" si="178">X52*2</f>
        <v>0</v>
      </c>
      <c r="Y54" s="36">
        <f t="shared" si="178"/>
        <v>280</v>
      </c>
      <c r="Z54" s="36">
        <f t="shared" si="178"/>
        <v>0</v>
      </c>
      <c r="AA54" s="36">
        <f t="shared" si="178"/>
        <v>0</v>
      </c>
      <c r="AB54" s="36">
        <f t="shared" si="178"/>
        <v>0</v>
      </c>
      <c r="AC54" s="36">
        <f t="shared" si="178"/>
        <v>0</v>
      </c>
      <c r="AD54" s="36">
        <f t="shared" si="178"/>
        <v>0</v>
      </c>
      <c r="AE54" s="36">
        <f t="shared" si="178"/>
        <v>0</v>
      </c>
      <c r="AF54" s="36">
        <f t="shared" si="178"/>
        <v>0</v>
      </c>
      <c r="AG54" s="36">
        <f t="shared" si="178"/>
        <v>0</v>
      </c>
      <c r="AH54" s="36">
        <f t="shared" si="178"/>
        <v>0</v>
      </c>
      <c r="AI54" s="60">
        <f t="shared" si="95"/>
        <v>280</v>
      </c>
    </row>
    <row r="55" spans="1:37">
      <c r="A55" s="54">
        <f>$M$2</f>
        <v>1</v>
      </c>
      <c r="B55" s="31" t="s">
        <v>53</v>
      </c>
      <c r="C55" s="36">
        <f>C53*2</f>
        <v>0</v>
      </c>
      <c r="D55" s="36">
        <f t="shared" si="177"/>
        <v>0</v>
      </c>
      <c r="E55" s="36">
        <f t="shared" si="177"/>
        <v>2136068</v>
      </c>
      <c r="F55" s="36">
        <f t="shared" si="177"/>
        <v>0</v>
      </c>
      <c r="G55" s="36">
        <f t="shared" si="177"/>
        <v>0</v>
      </c>
      <c r="H55" s="36">
        <f t="shared" si="177"/>
        <v>0</v>
      </c>
      <c r="I55" s="36">
        <f t="shared" si="177"/>
        <v>0</v>
      </c>
      <c r="J55" s="36">
        <f t="shared" si="177"/>
        <v>0</v>
      </c>
      <c r="K55" s="36">
        <f t="shared" si="177"/>
        <v>0</v>
      </c>
      <c r="L55" s="36">
        <f t="shared" si="177"/>
        <v>0</v>
      </c>
      <c r="M55" s="36">
        <f t="shared" si="177"/>
        <v>0</v>
      </c>
      <c r="N55" s="36">
        <f t="shared" si="177"/>
        <v>0</v>
      </c>
      <c r="O55" s="60">
        <f t="shared" si="31"/>
        <v>2136068</v>
      </c>
      <c r="U55" s="54">
        <f>$AG$2</f>
        <v>1</v>
      </c>
      <c r="V55" s="31" t="s">
        <v>53</v>
      </c>
      <c r="W55" s="36">
        <f>W53*2</f>
        <v>0</v>
      </c>
      <c r="X55" s="36">
        <f t="shared" ref="X55:AH55" si="179">X53*2</f>
        <v>0</v>
      </c>
      <c r="Y55" s="36">
        <f t="shared" si="179"/>
        <v>2218224.4615384615</v>
      </c>
      <c r="Z55" s="36">
        <f t="shared" si="179"/>
        <v>0</v>
      </c>
      <c r="AA55" s="36">
        <f t="shared" si="179"/>
        <v>0</v>
      </c>
      <c r="AB55" s="36">
        <f t="shared" si="179"/>
        <v>0</v>
      </c>
      <c r="AC55" s="36">
        <f t="shared" si="179"/>
        <v>0</v>
      </c>
      <c r="AD55" s="36">
        <f t="shared" si="179"/>
        <v>0</v>
      </c>
      <c r="AE55" s="36">
        <f t="shared" si="179"/>
        <v>0</v>
      </c>
      <c r="AF55" s="36">
        <f t="shared" si="179"/>
        <v>0</v>
      </c>
      <c r="AG55" s="36">
        <f t="shared" si="179"/>
        <v>0</v>
      </c>
      <c r="AH55" s="36">
        <f t="shared" si="179"/>
        <v>0</v>
      </c>
      <c r="AI55" s="60">
        <f t="shared" si="95"/>
        <v>2218224.4615384615</v>
      </c>
    </row>
    <row r="56" spans="1:37">
      <c r="B56" s="31" t="s">
        <v>54</v>
      </c>
      <c r="C56" s="36">
        <f>(C54*$J$1)*$A54</f>
        <v>0</v>
      </c>
      <c r="D56" s="36">
        <f t="shared" ref="D56:N56" si="180">(D54*$J$1)*$A54</f>
        <v>0</v>
      </c>
      <c r="E56" s="36">
        <f t="shared" si="180"/>
        <v>164288800</v>
      </c>
      <c r="F56" s="36">
        <f t="shared" si="180"/>
        <v>0</v>
      </c>
      <c r="G56" s="36">
        <f t="shared" si="180"/>
        <v>0</v>
      </c>
      <c r="H56" s="36">
        <f t="shared" si="180"/>
        <v>0</v>
      </c>
      <c r="I56" s="36">
        <f t="shared" si="180"/>
        <v>0</v>
      </c>
      <c r="J56" s="36">
        <f t="shared" si="180"/>
        <v>0</v>
      </c>
      <c r="K56" s="36">
        <f t="shared" si="180"/>
        <v>0</v>
      </c>
      <c r="L56" s="36">
        <f t="shared" si="180"/>
        <v>0</v>
      </c>
      <c r="M56" s="36">
        <f t="shared" si="180"/>
        <v>0</v>
      </c>
      <c r="N56" s="36">
        <f t="shared" si="180"/>
        <v>0</v>
      </c>
      <c r="O56" s="60">
        <f t="shared" si="31"/>
        <v>164288800</v>
      </c>
      <c r="P56" s="84"/>
      <c r="Q56" s="66">
        <f>TRAFIK!U21</f>
        <v>0</v>
      </c>
      <c r="V56" s="31" t="s">
        <v>54</v>
      </c>
      <c r="W56" s="36">
        <f>(W54*$J$1)*$U54</f>
        <v>0</v>
      </c>
      <c r="X56" s="36">
        <f t="shared" ref="X56:AH56" si="181">(X54*$J$1)*$U54</f>
        <v>0</v>
      </c>
      <c r="Y56" s="36">
        <f t="shared" si="181"/>
        <v>176926400</v>
      </c>
      <c r="Z56" s="36">
        <f t="shared" si="181"/>
        <v>0</v>
      </c>
      <c r="AA56" s="36">
        <f t="shared" si="181"/>
        <v>0</v>
      </c>
      <c r="AB56" s="36">
        <f t="shared" si="181"/>
        <v>0</v>
      </c>
      <c r="AC56" s="36">
        <f t="shared" si="181"/>
        <v>0</v>
      </c>
      <c r="AD56" s="36">
        <f t="shared" si="181"/>
        <v>0</v>
      </c>
      <c r="AE56" s="36">
        <f t="shared" si="181"/>
        <v>0</v>
      </c>
      <c r="AF56" s="36">
        <f t="shared" si="181"/>
        <v>0</v>
      </c>
      <c r="AG56" s="36">
        <f t="shared" si="181"/>
        <v>0</v>
      </c>
      <c r="AH56" s="36">
        <f t="shared" si="181"/>
        <v>0</v>
      </c>
      <c r="AI56" s="60">
        <f t="shared" si="95"/>
        <v>176926400</v>
      </c>
      <c r="AJ56" s="84"/>
      <c r="AK56" s="54"/>
    </row>
    <row r="57" spans="1:37">
      <c r="B57" s="31" t="s">
        <v>55</v>
      </c>
      <c r="C57" s="36">
        <f>(C55*$J$2)*$A55</f>
        <v>0</v>
      </c>
      <c r="D57" s="36">
        <f t="shared" ref="D57:N57" si="182">(D55*$J$2)*$A55</f>
        <v>0</v>
      </c>
      <c r="E57" s="36">
        <f t="shared" si="182"/>
        <v>386628308</v>
      </c>
      <c r="F57" s="36">
        <f t="shared" si="182"/>
        <v>0</v>
      </c>
      <c r="G57" s="36">
        <f t="shared" si="182"/>
        <v>0</v>
      </c>
      <c r="H57" s="36">
        <f t="shared" si="182"/>
        <v>0</v>
      </c>
      <c r="I57" s="36">
        <f t="shared" si="182"/>
        <v>0</v>
      </c>
      <c r="J57" s="36">
        <f t="shared" si="182"/>
        <v>0</v>
      </c>
      <c r="K57" s="36">
        <f t="shared" si="182"/>
        <v>0</v>
      </c>
      <c r="L57" s="36">
        <f t="shared" si="182"/>
        <v>0</v>
      </c>
      <c r="M57" s="36">
        <f t="shared" si="182"/>
        <v>0</v>
      </c>
      <c r="N57" s="36">
        <f t="shared" si="182"/>
        <v>0</v>
      </c>
      <c r="O57" s="60">
        <f t="shared" si="31"/>
        <v>386628308</v>
      </c>
      <c r="P57" s="81"/>
      <c r="Q57" s="54"/>
      <c r="V57" s="31" t="s">
        <v>55</v>
      </c>
      <c r="W57" s="36">
        <f>(W55*$J$2)*$U55</f>
        <v>0</v>
      </c>
      <c r="X57" s="36">
        <f t="shared" ref="X57:AH57" si="183">(X55*$J$2)*$U55</f>
        <v>0</v>
      </c>
      <c r="Y57" s="36">
        <f t="shared" si="183"/>
        <v>401498627.53846151</v>
      </c>
      <c r="Z57" s="36">
        <f t="shared" si="183"/>
        <v>0</v>
      </c>
      <c r="AA57" s="36">
        <f t="shared" si="183"/>
        <v>0</v>
      </c>
      <c r="AB57" s="36">
        <f t="shared" si="183"/>
        <v>0</v>
      </c>
      <c r="AC57" s="36">
        <f t="shared" si="183"/>
        <v>0</v>
      </c>
      <c r="AD57" s="36">
        <f t="shared" si="183"/>
        <v>0</v>
      </c>
      <c r="AE57" s="36">
        <f t="shared" si="183"/>
        <v>0</v>
      </c>
      <c r="AF57" s="36">
        <f t="shared" si="183"/>
        <v>0</v>
      </c>
      <c r="AG57" s="36">
        <f t="shared" si="183"/>
        <v>0</v>
      </c>
      <c r="AH57" s="36">
        <f t="shared" si="183"/>
        <v>0</v>
      </c>
      <c r="AI57" s="60">
        <f t="shared" si="95"/>
        <v>401498627.53846151</v>
      </c>
      <c r="AJ57" s="81"/>
      <c r="AK57" s="54"/>
    </row>
    <row r="58" spans="1:37">
      <c r="B58" t="s">
        <v>60</v>
      </c>
      <c r="C58" s="100">
        <f>'TAMBAT-IKPP'!E50</f>
        <v>20</v>
      </c>
      <c r="D58" s="100">
        <f>'TAMBAT-IKPP'!F50</f>
        <v>20</v>
      </c>
      <c r="E58" s="100">
        <f>'TAMBAT-IKPP'!G50</f>
        <v>12</v>
      </c>
      <c r="F58" s="100">
        <f>'TAMBAT-IKPP'!H50</f>
        <v>19</v>
      </c>
      <c r="G58" s="100">
        <f>'TAMBAT-IKPP'!I50</f>
        <v>18</v>
      </c>
      <c r="H58" s="100">
        <f>'TAMBAT-IKPP'!J50</f>
        <v>15</v>
      </c>
      <c r="I58" s="294">
        <f>'TAMBAT-IKPP'!K50</f>
        <v>18</v>
      </c>
      <c r="J58" s="294">
        <f>'TAMBAT-IKPP'!L50</f>
        <v>17</v>
      </c>
      <c r="K58" s="294">
        <f>'TAMBAT-IKPP'!M50</f>
        <v>20</v>
      </c>
      <c r="L58" s="294">
        <f>'TAMBAT-IKPP'!N50</f>
        <v>19</v>
      </c>
      <c r="M58" s="294">
        <f>'TAMBAT-IKPP'!O50</f>
        <v>18</v>
      </c>
      <c r="N58" s="294">
        <f>'TAMBAT-IKPP'!P50</f>
        <v>16</v>
      </c>
      <c r="O58" s="62">
        <f t="shared" si="31"/>
        <v>212</v>
      </c>
      <c r="V58" t="s">
        <v>60</v>
      </c>
      <c r="W58" s="96">
        <f>IF(ROUND((C58*$AC$3),)=1,1,IF($AC$3&gt;1,ROUNDUP((C58*$AC$3),),ROUNDDOWN((C58*$AC$3),)))</f>
        <v>20</v>
      </c>
      <c r="X58" s="96">
        <f t="shared" ref="X58" si="184">IF(ROUND((D58*$AC$3),)=1,1,IF($AC$3&gt;1,ROUNDUP((D58*$AC$3),),ROUNDDOWN((D58*$AC$3),)))</f>
        <v>20</v>
      </c>
      <c r="Y58" s="96">
        <v>24</v>
      </c>
      <c r="Z58" s="96">
        <f t="shared" ref="Z58" si="185">IF(ROUND((F58*$AC$3),)=1,1,IF($AC$3&gt;1,ROUNDUP((F58*$AC$3),),ROUNDDOWN((F58*$AC$3),)))</f>
        <v>19</v>
      </c>
      <c r="AA58" s="96">
        <f t="shared" ref="AA58" si="186">IF(ROUND((G58*$AC$3),)=1,1,IF($AC$3&gt;1,ROUNDUP((G58*$AC$3),),ROUNDDOWN((G58*$AC$3),)))</f>
        <v>18</v>
      </c>
      <c r="AB58" s="96">
        <f t="shared" ref="AB58" si="187">IF(ROUND((H58*$AC$3),)=1,1,IF($AC$3&gt;1,ROUNDUP((H58*$AC$3),),ROUNDDOWN((H58*$AC$3),)))</f>
        <v>15</v>
      </c>
      <c r="AC58" s="96">
        <v>34</v>
      </c>
      <c r="AD58" s="96">
        <v>38</v>
      </c>
      <c r="AE58" s="96">
        <v>34</v>
      </c>
      <c r="AF58" s="96">
        <v>36</v>
      </c>
      <c r="AG58" s="96">
        <v>32</v>
      </c>
      <c r="AH58" s="96">
        <v>32</v>
      </c>
      <c r="AI58" s="61">
        <f>SUM(W58:AH58)</f>
        <v>322</v>
      </c>
    </row>
    <row r="59" spans="1:37">
      <c r="C59" s="100">
        <f>'TAMBAT-IKPP'!E51</f>
        <v>66654</v>
      </c>
      <c r="D59" s="100">
        <f>'TAMBAT-IKPP'!F51</f>
        <v>61961</v>
      </c>
      <c r="E59" s="100">
        <f>'TAMBAT-IKPP'!G51</f>
        <v>40796</v>
      </c>
      <c r="F59" s="100">
        <f>'TAMBAT-IKPP'!H51</f>
        <v>63321.299999999996</v>
      </c>
      <c r="G59" s="100">
        <f>'TAMBAT-IKPP'!I51</f>
        <v>55764.9</v>
      </c>
      <c r="H59" s="100">
        <f>'TAMBAT-IKPP'!J51</f>
        <v>50995</v>
      </c>
      <c r="I59" s="294">
        <f>'TAMBAT-IKPP'!K51</f>
        <v>59988.6</v>
      </c>
      <c r="J59" s="294">
        <f>'TAMBAT-IKPP'!L51</f>
        <v>52666.850000000006</v>
      </c>
      <c r="K59" s="294">
        <f>'TAMBAT-IKPP'!M51</f>
        <v>67993.333333333328</v>
      </c>
      <c r="L59" s="294">
        <f>'TAMBAT-IKPP'!N51</f>
        <v>63321.299999999996</v>
      </c>
      <c r="M59" s="294">
        <f>'TAMBAT-IKPP'!O51</f>
        <v>55764.9</v>
      </c>
      <c r="N59" s="294">
        <f>'TAMBAT-IKPP'!P51</f>
        <v>54394.666666666664</v>
      </c>
      <c r="O59" s="62">
        <f t="shared" si="31"/>
        <v>693621.85</v>
      </c>
      <c r="Q59">
        <v>277.2</v>
      </c>
      <c r="R59" s="39">
        <f>N59/N58</f>
        <v>3399.6666666666665</v>
      </c>
      <c r="W59" s="96">
        <v>32226</v>
      </c>
      <c r="X59" s="96">
        <v>33262</v>
      </c>
      <c r="Y59" s="96">
        <v>48377</v>
      </c>
      <c r="Z59" s="96">
        <v>36073</v>
      </c>
      <c r="AA59" s="96">
        <v>35858</v>
      </c>
      <c r="AB59" s="96">
        <v>35914</v>
      </c>
      <c r="AC59" s="96">
        <v>80144</v>
      </c>
      <c r="AD59" s="96">
        <v>90060</v>
      </c>
      <c r="AE59" s="96">
        <v>80144</v>
      </c>
      <c r="AF59" s="96">
        <v>85102</v>
      </c>
      <c r="AG59" s="96">
        <v>75186</v>
      </c>
      <c r="AH59" s="96">
        <v>75186</v>
      </c>
      <c r="AI59" s="62">
        <f t="shared" si="95"/>
        <v>707532</v>
      </c>
    </row>
    <row r="60" spans="1:37">
      <c r="A60" s="54">
        <f>$M$1</f>
        <v>1</v>
      </c>
      <c r="B60" s="31" t="s">
        <v>52</v>
      </c>
      <c r="C60" s="32">
        <f t="shared" ref="C60:N60" si="188">C58*$C$2</f>
        <v>40</v>
      </c>
      <c r="D60" s="32">
        <f t="shared" si="188"/>
        <v>40</v>
      </c>
      <c r="E60" s="32">
        <f t="shared" si="188"/>
        <v>24</v>
      </c>
      <c r="F60" s="32">
        <f t="shared" si="188"/>
        <v>38</v>
      </c>
      <c r="G60" s="32">
        <f t="shared" si="188"/>
        <v>36</v>
      </c>
      <c r="H60" s="32">
        <f t="shared" si="188"/>
        <v>30</v>
      </c>
      <c r="I60" s="32">
        <f t="shared" si="188"/>
        <v>36</v>
      </c>
      <c r="J60" s="32">
        <f t="shared" si="188"/>
        <v>34</v>
      </c>
      <c r="K60" s="32">
        <f t="shared" si="188"/>
        <v>40</v>
      </c>
      <c r="L60" s="32">
        <f t="shared" si="188"/>
        <v>38</v>
      </c>
      <c r="M60" s="32">
        <f t="shared" si="188"/>
        <v>36</v>
      </c>
      <c r="N60" s="32">
        <f t="shared" si="188"/>
        <v>32</v>
      </c>
      <c r="O60" s="60">
        <f t="shared" si="31"/>
        <v>424</v>
      </c>
      <c r="Q60">
        <v>641120.4</v>
      </c>
      <c r="U60" s="54">
        <f>$AG$1</f>
        <v>1</v>
      </c>
      <c r="V60" s="31" t="s">
        <v>52</v>
      </c>
      <c r="W60" s="32">
        <f t="shared" ref="W60:AH60" si="189">W58*$C$2</f>
        <v>40</v>
      </c>
      <c r="X60" s="32">
        <f t="shared" si="189"/>
        <v>40</v>
      </c>
      <c r="Y60" s="32">
        <f t="shared" si="189"/>
        <v>48</v>
      </c>
      <c r="Z60" s="32">
        <f t="shared" si="189"/>
        <v>38</v>
      </c>
      <c r="AA60" s="32">
        <f t="shared" si="189"/>
        <v>36</v>
      </c>
      <c r="AB60" s="32">
        <f t="shared" si="189"/>
        <v>30</v>
      </c>
      <c r="AC60" s="32">
        <f t="shared" si="189"/>
        <v>68</v>
      </c>
      <c r="AD60" s="32">
        <f t="shared" si="189"/>
        <v>76</v>
      </c>
      <c r="AE60" s="32">
        <f t="shared" si="189"/>
        <v>68</v>
      </c>
      <c r="AF60" s="32">
        <f t="shared" si="189"/>
        <v>72</v>
      </c>
      <c r="AG60" s="32">
        <f t="shared" si="189"/>
        <v>64</v>
      </c>
      <c r="AH60" s="32">
        <f t="shared" si="189"/>
        <v>64</v>
      </c>
      <c r="AI60" s="60">
        <f t="shared" si="95"/>
        <v>644</v>
      </c>
    </row>
    <row r="61" spans="1:37">
      <c r="A61" s="54">
        <f>$M$2</f>
        <v>1</v>
      </c>
      <c r="B61" s="31" t="s">
        <v>53</v>
      </c>
      <c r="C61" s="32">
        <f t="shared" ref="C61:N61" si="190">C59*$C$2</f>
        <v>133308</v>
      </c>
      <c r="D61" s="32">
        <f t="shared" si="190"/>
        <v>123922</v>
      </c>
      <c r="E61" s="32">
        <f t="shared" si="190"/>
        <v>81592</v>
      </c>
      <c r="F61" s="32">
        <f t="shared" si="190"/>
        <v>126642.59999999999</v>
      </c>
      <c r="G61" s="32">
        <f t="shared" si="190"/>
        <v>111529.8</v>
      </c>
      <c r="H61" s="32">
        <f t="shared" si="190"/>
        <v>101990</v>
      </c>
      <c r="I61" s="32">
        <f t="shared" si="190"/>
        <v>119977.2</v>
      </c>
      <c r="J61" s="32">
        <f t="shared" si="190"/>
        <v>105333.70000000001</v>
      </c>
      <c r="K61" s="32">
        <f t="shared" si="190"/>
        <v>135986.66666666666</v>
      </c>
      <c r="L61" s="32">
        <f t="shared" si="190"/>
        <v>126642.59999999999</v>
      </c>
      <c r="M61" s="32">
        <f t="shared" si="190"/>
        <v>111529.8</v>
      </c>
      <c r="N61" s="32">
        <f t="shared" si="190"/>
        <v>108789.33333333333</v>
      </c>
      <c r="O61" s="60">
        <f t="shared" si="31"/>
        <v>1387243.7</v>
      </c>
      <c r="U61" s="54">
        <f>$AG$2</f>
        <v>1</v>
      </c>
      <c r="V61" s="31" t="s">
        <v>53</v>
      </c>
      <c r="W61" s="32">
        <f t="shared" ref="W61:AH61" si="191">W59*$C$2</f>
        <v>64452</v>
      </c>
      <c r="X61" s="32">
        <f t="shared" si="191"/>
        <v>66524</v>
      </c>
      <c r="Y61" s="32">
        <f t="shared" si="191"/>
        <v>96754</v>
      </c>
      <c r="Z61" s="32">
        <f t="shared" si="191"/>
        <v>72146</v>
      </c>
      <c r="AA61" s="32">
        <f t="shared" si="191"/>
        <v>71716</v>
      </c>
      <c r="AB61" s="32">
        <f t="shared" si="191"/>
        <v>71828</v>
      </c>
      <c r="AC61" s="32">
        <f t="shared" si="191"/>
        <v>160288</v>
      </c>
      <c r="AD61" s="32">
        <f t="shared" si="191"/>
        <v>180120</v>
      </c>
      <c r="AE61" s="32">
        <f t="shared" si="191"/>
        <v>160288</v>
      </c>
      <c r="AF61" s="32">
        <f t="shared" si="191"/>
        <v>170204</v>
      </c>
      <c r="AG61" s="32">
        <f t="shared" si="191"/>
        <v>150372</v>
      </c>
      <c r="AH61" s="32">
        <f t="shared" si="191"/>
        <v>150372</v>
      </c>
      <c r="AI61" s="60">
        <f t="shared" si="95"/>
        <v>1415064</v>
      </c>
    </row>
    <row r="62" spans="1:37">
      <c r="B62" s="31" t="s">
        <v>54</v>
      </c>
      <c r="C62" s="36">
        <f>(C60*$J$1)*$A60</f>
        <v>25275200</v>
      </c>
      <c r="D62" s="36">
        <f t="shared" ref="D62:N62" si="192">(D60*$J$1)*$A60</f>
        <v>25275200</v>
      </c>
      <c r="E62" s="36">
        <f t="shared" si="192"/>
        <v>15165120</v>
      </c>
      <c r="F62" s="36">
        <f t="shared" si="192"/>
        <v>24011440</v>
      </c>
      <c r="G62" s="36">
        <f t="shared" si="192"/>
        <v>22747680</v>
      </c>
      <c r="H62" s="36">
        <f t="shared" si="192"/>
        <v>18956400</v>
      </c>
      <c r="I62" s="36">
        <f t="shared" si="192"/>
        <v>22747680</v>
      </c>
      <c r="J62" s="36">
        <f t="shared" si="192"/>
        <v>21483920</v>
      </c>
      <c r="K62" s="36">
        <f t="shared" si="192"/>
        <v>25275200</v>
      </c>
      <c r="L62" s="36">
        <f t="shared" si="192"/>
        <v>24011440</v>
      </c>
      <c r="M62" s="36">
        <f t="shared" si="192"/>
        <v>22747680</v>
      </c>
      <c r="N62" s="36">
        <f t="shared" si="192"/>
        <v>20220160</v>
      </c>
      <c r="O62" s="60">
        <f t="shared" si="31"/>
        <v>267917120</v>
      </c>
      <c r="Q62" s="54"/>
      <c r="V62" s="31" t="s">
        <v>54</v>
      </c>
      <c r="W62" s="36">
        <f>(W60*$J$1)*$U60</f>
        <v>25275200</v>
      </c>
      <c r="X62" s="36">
        <f t="shared" ref="X62:AH62" si="193">(X60*$J$1)*$U60</f>
        <v>25275200</v>
      </c>
      <c r="Y62" s="36">
        <f t="shared" si="193"/>
        <v>30330240</v>
      </c>
      <c r="Z62" s="36">
        <f t="shared" si="193"/>
        <v>24011440</v>
      </c>
      <c r="AA62" s="36">
        <f t="shared" si="193"/>
        <v>22747680</v>
      </c>
      <c r="AB62" s="36">
        <f t="shared" si="193"/>
        <v>18956400</v>
      </c>
      <c r="AC62" s="36">
        <f t="shared" si="193"/>
        <v>42967840</v>
      </c>
      <c r="AD62" s="36">
        <f t="shared" si="193"/>
        <v>48022880</v>
      </c>
      <c r="AE62" s="36">
        <f t="shared" si="193"/>
        <v>42967840</v>
      </c>
      <c r="AF62" s="36">
        <f t="shared" si="193"/>
        <v>45495360</v>
      </c>
      <c r="AG62" s="36">
        <f t="shared" si="193"/>
        <v>40440320</v>
      </c>
      <c r="AH62" s="36">
        <f t="shared" si="193"/>
        <v>40440320</v>
      </c>
      <c r="AI62" s="60">
        <f t="shared" si="95"/>
        <v>406930720</v>
      </c>
      <c r="AK62" s="54"/>
    </row>
    <row r="63" spans="1:37">
      <c r="B63" s="31" t="s">
        <v>55</v>
      </c>
      <c r="C63" s="36">
        <f>(C61*$J$2)*$A61</f>
        <v>24128748</v>
      </c>
      <c r="D63" s="36">
        <f t="shared" ref="D63:N63" si="194">(D61*$J$2)*$A61</f>
        <v>22429882</v>
      </c>
      <c r="E63" s="36">
        <f t="shared" si="194"/>
        <v>14768152</v>
      </c>
      <c r="F63" s="36">
        <f t="shared" si="194"/>
        <v>22922310.599999998</v>
      </c>
      <c r="G63" s="36">
        <f t="shared" si="194"/>
        <v>20186893.800000001</v>
      </c>
      <c r="H63" s="36">
        <f t="shared" si="194"/>
        <v>18460190</v>
      </c>
      <c r="I63" s="36">
        <f t="shared" si="194"/>
        <v>21715873.199999999</v>
      </c>
      <c r="J63" s="36">
        <f t="shared" si="194"/>
        <v>19065399.700000003</v>
      </c>
      <c r="K63" s="36">
        <f t="shared" si="194"/>
        <v>24613586.666666664</v>
      </c>
      <c r="L63" s="36">
        <f t="shared" si="194"/>
        <v>22922310.599999998</v>
      </c>
      <c r="M63" s="36">
        <f t="shared" si="194"/>
        <v>20186893.800000001</v>
      </c>
      <c r="N63" s="36">
        <f t="shared" si="194"/>
        <v>19690869.333333332</v>
      </c>
      <c r="O63" s="60">
        <f t="shared" si="31"/>
        <v>251091109.70000002</v>
      </c>
      <c r="Q63" s="54"/>
      <c r="V63" s="31" t="s">
        <v>55</v>
      </c>
      <c r="W63" s="36">
        <f>(W61*$J$2)*$U61</f>
        <v>11665812</v>
      </c>
      <c r="X63" s="36">
        <f t="shared" ref="X63:AH63" si="195">(X61*$J$2)*$U61</f>
        <v>12040844</v>
      </c>
      <c r="Y63" s="36">
        <f t="shared" si="195"/>
        <v>17512474</v>
      </c>
      <c r="Z63" s="36">
        <f t="shared" si="195"/>
        <v>13058426</v>
      </c>
      <c r="AA63" s="36">
        <f t="shared" si="195"/>
        <v>12980596</v>
      </c>
      <c r="AB63" s="36">
        <f t="shared" si="195"/>
        <v>13000868</v>
      </c>
      <c r="AC63" s="36">
        <f t="shared" si="195"/>
        <v>29012128</v>
      </c>
      <c r="AD63" s="36">
        <f t="shared" si="195"/>
        <v>32601720</v>
      </c>
      <c r="AE63" s="36">
        <f t="shared" si="195"/>
        <v>29012128</v>
      </c>
      <c r="AF63" s="36">
        <f t="shared" si="195"/>
        <v>30806924</v>
      </c>
      <c r="AG63" s="36">
        <f t="shared" si="195"/>
        <v>27217332</v>
      </c>
      <c r="AH63" s="36">
        <f t="shared" si="195"/>
        <v>27217332</v>
      </c>
      <c r="AI63" s="60">
        <f t="shared" si="95"/>
        <v>256126584</v>
      </c>
      <c r="AK63" s="54"/>
    </row>
    <row r="64" spans="1:37">
      <c r="B64" t="s">
        <v>61</v>
      </c>
      <c r="C64" s="100"/>
      <c r="D64" s="100"/>
      <c r="E64" s="100"/>
      <c r="F64" s="100"/>
      <c r="G64" s="100"/>
      <c r="H64" s="96"/>
      <c r="I64" s="97"/>
      <c r="J64" s="97"/>
      <c r="K64" s="97"/>
      <c r="L64" s="97"/>
      <c r="M64" s="97"/>
      <c r="N64" s="97"/>
      <c r="O64" s="62">
        <f t="shared" si="31"/>
        <v>0</v>
      </c>
      <c r="Q64" s="31">
        <f>277/12</f>
        <v>23.083333333333332</v>
      </c>
      <c r="V64" t="s">
        <v>61</v>
      </c>
      <c r="W64" s="96">
        <f>IF(ROUND((C64*$AC$3),)=1,1,IF($AC$3&gt;1,ROUNDUP((C64*$AC$3),),ROUNDDOWN((C64*$AC$3),)))</f>
        <v>0</v>
      </c>
      <c r="X64" s="96">
        <f t="shared" ref="X64" si="196">IF(ROUND((D64*$AC$3),)=1,1,IF($AC$3&gt;1,ROUNDUP((D64*$AC$3),),ROUNDDOWN((D64*$AC$3),)))</f>
        <v>0</v>
      </c>
      <c r="Y64" s="96">
        <f t="shared" ref="Y64" si="197">IF(ROUND((E64*$AC$3),)=1,1,IF($AC$3&gt;1,ROUNDUP((E64*$AC$3),),ROUNDDOWN((E64*$AC$3),)))</f>
        <v>0</v>
      </c>
      <c r="Z64" s="96">
        <f t="shared" ref="Z64" si="198">IF(ROUND((F64*$AC$3),)=1,1,IF($AC$3&gt;1,ROUNDUP((F64*$AC$3),),ROUNDDOWN((F64*$AC$3),)))</f>
        <v>0</v>
      </c>
      <c r="AA64" s="96">
        <f t="shared" ref="AA64" si="199">IF(ROUND((G64*$AC$3),)=1,1,IF($AC$3&gt;1,ROUNDUP((G64*$AC$3),),ROUNDDOWN((G64*$AC$3),)))</f>
        <v>0</v>
      </c>
      <c r="AB64" s="96">
        <f t="shared" ref="AB64" si="200">IF(ROUND((H64*$AC$3),)=1,1,IF($AC$3&gt;1,ROUNDUP((H64*$AC$3),),ROUNDDOWN((H64*$AC$3),)))</f>
        <v>0</v>
      </c>
      <c r="AC64" s="96">
        <f t="shared" ref="AC64" si="201">IF(ROUND((I64*$AC$3),)=1,1,IF($AC$3&gt;1,ROUNDUP((I64*$AC$3),),ROUNDDOWN((I64*$AC$3),)))</f>
        <v>0</v>
      </c>
      <c r="AD64" s="96">
        <f t="shared" ref="AD64" si="202">IF(ROUND((J64*$AC$3),)=1,1,IF($AC$3&gt;1,ROUNDUP((J64*$AC$3),),ROUNDDOWN((J64*$AC$3),)))</f>
        <v>0</v>
      </c>
      <c r="AE64" s="96">
        <f t="shared" ref="AE64" si="203">IF(ROUND((K64*$AC$3),)=1,1,IF($AC$3&gt;1,ROUNDUP((K64*$AC$3),),ROUNDDOWN((K64*$AC$3),)))</f>
        <v>0</v>
      </c>
      <c r="AF64" s="96">
        <f t="shared" ref="AF64" si="204">IF(ROUND((L64*$AC$3),)=1,1,IF($AC$3&gt;1,ROUNDUP((L64*$AC$3),),ROUNDDOWN((L64*$AC$3),)))</f>
        <v>0</v>
      </c>
      <c r="AG64" s="96">
        <f t="shared" ref="AG64" si="205">IF(ROUND((M64*$AC$3),)=1,1,IF($AC$3&gt;1,ROUNDUP((M64*$AC$3),),ROUNDDOWN((M64*$AC$3),)))</f>
        <v>0</v>
      </c>
      <c r="AH64" s="96">
        <f t="shared" ref="AH64" si="206">IF(ROUND((N64*$AC$3),)=1,1,IF($AC$3&gt;1,ROUNDUP((N64*$AC$3),),ROUNDDOWN((N64*$AC$3),)))</f>
        <v>0</v>
      </c>
      <c r="AI64" s="61">
        <f t="shared" ref="AI64" si="207">SUM(W64:AH64)</f>
        <v>0</v>
      </c>
      <c r="AK64" s="31"/>
    </row>
    <row r="65" spans="1:38">
      <c r="C65" s="100"/>
      <c r="D65" s="100"/>
      <c r="E65" s="100"/>
      <c r="F65" s="100"/>
      <c r="G65" s="100"/>
      <c r="H65" s="96"/>
      <c r="I65" s="97"/>
      <c r="J65" s="97"/>
      <c r="K65" s="97"/>
      <c r="L65" s="97"/>
      <c r="M65" s="97"/>
      <c r="N65" s="97"/>
      <c r="O65" s="62">
        <f t="shared" si="31"/>
        <v>0</v>
      </c>
      <c r="Q65">
        <f>Q60/6</f>
        <v>106853.40000000001</v>
      </c>
      <c r="W65" s="96">
        <f>ROUNDUP(C65*$AC$4,)</f>
        <v>0</v>
      </c>
      <c r="X65" s="96">
        <f t="shared" ref="X65" si="208">ROUNDUP(D65*$AC$4,)</f>
        <v>0</v>
      </c>
      <c r="Y65" s="96">
        <f t="shared" ref="Y65" si="209">ROUNDUP(E65*$AC$4,)</f>
        <v>0</v>
      </c>
      <c r="Z65" s="96">
        <f t="shared" ref="Z65" si="210">ROUNDUP(F65*$AC$4,)</f>
        <v>0</v>
      </c>
      <c r="AA65" s="96">
        <f t="shared" ref="AA65" si="211">ROUNDUP(G65*$AC$4,)</f>
        <v>0</v>
      </c>
      <c r="AB65" s="96">
        <f t="shared" ref="AB65" si="212">ROUNDUP(H65*$AC$4,)</f>
        <v>0</v>
      </c>
      <c r="AC65" s="96">
        <f t="shared" ref="AC65" si="213">ROUNDUP(I65*$AC$4,)</f>
        <v>0</v>
      </c>
      <c r="AD65" s="96">
        <f t="shared" ref="AD65" si="214">ROUNDUP(J65*$AC$4,)</f>
        <v>0</v>
      </c>
      <c r="AE65" s="96">
        <f t="shared" ref="AE65" si="215">ROUNDUP(K65*$AC$4,)</f>
        <v>0</v>
      </c>
      <c r="AF65" s="96">
        <f t="shared" ref="AF65" si="216">ROUNDUP(L65*$AC$4,)</f>
        <v>0</v>
      </c>
      <c r="AG65" s="96">
        <f t="shared" ref="AG65" si="217">ROUNDUP(M65*$AC$4,)</f>
        <v>0</v>
      </c>
      <c r="AH65" s="96">
        <f t="shared" ref="AH65" si="218">ROUNDUP(N65*$AC$4,)</f>
        <v>0</v>
      </c>
      <c r="AI65" s="62">
        <f t="shared" si="95"/>
        <v>0</v>
      </c>
    </row>
    <row r="66" spans="1:38">
      <c r="A66" s="54">
        <f>$M$1</f>
        <v>1</v>
      </c>
      <c r="B66" s="31" t="s">
        <v>52</v>
      </c>
      <c r="C66" s="32">
        <f t="shared" ref="C66:N66" si="219">C64*$C$2</f>
        <v>0</v>
      </c>
      <c r="D66" s="32">
        <f t="shared" si="219"/>
        <v>0</v>
      </c>
      <c r="E66" s="32">
        <f t="shared" si="219"/>
        <v>0</v>
      </c>
      <c r="F66" s="32">
        <f t="shared" si="219"/>
        <v>0</v>
      </c>
      <c r="G66" s="32">
        <f t="shared" si="219"/>
        <v>0</v>
      </c>
      <c r="H66" s="32">
        <f t="shared" si="219"/>
        <v>0</v>
      </c>
      <c r="I66" s="32">
        <f t="shared" si="219"/>
        <v>0</v>
      </c>
      <c r="J66" s="32">
        <f t="shared" si="219"/>
        <v>0</v>
      </c>
      <c r="K66" s="32">
        <f t="shared" si="219"/>
        <v>0</v>
      </c>
      <c r="L66" s="32">
        <f t="shared" si="219"/>
        <v>0</v>
      </c>
      <c r="M66" s="32">
        <f t="shared" si="219"/>
        <v>0</v>
      </c>
      <c r="N66" s="32">
        <f t="shared" si="219"/>
        <v>0</v>
      </c>
      <c r="O66" s="60">
        <f t="shared" si="31"/>
        <v>0</v>
      </c>
      <c r="Q66" s="31"/>
      <c r="U66" s="54">
        <f>$AG$1</f>
        <v>1</v>
      </c>
      <c r="V66" s="31" t="s">
        <v>52</v>
      </c>
      <c r="W66" s="32">
        <f t="shared" ref="W66:AH66" si="220">W64*$C$2</f>
        <v>0</v>
      </c>
      <c r="X66" s="32">
        <f t="shared" si="220"/>
        <v>0</v>
      </c>
      <c r="Y66" s="32">
        <f t="shared" si="220"/>
        <v>0</v>
      </c>
      <c r="Z66" s="32">
        <f t="shared" si="220"/>
        <v>0</v>
      </c>
      <c r="AA66" s="32">
        <f t="shared" si="220"/>
        <v>0</v>
      </c>
      <c r="AB66" s="32">
        <f t="shared" si="220"/>
        <v>0</v>
      </c>
      <c r="AC66" s="32">
        <f t="shared" si="220"/>
        <v>0</v>
      </c>
      <c r="AD66" s="32">
        <f t="shared" si="220"/>
        <v>0</v>
      </c>
      <c r="AE66" s="32">
        <f t="shared" si="220"/>
        <v>0</v>
      </c>
      <c r="AF66" s="32">
        <f t="shared" si="220"/>
        <v>0</v>
      </c>
      <c r="AG66" s="32">
        <f t="shared" si="220"/>
        <v>0</v>
      </c>
      <c r="AH66" s="32">
        <f t="shared" si="220"/>
        <v>0</v>
      </c>
      <c r="AI66" s="60">
        <f t="shared" si="95"/>
        <v>0</v>
      </c>
      <c r="AK66" s="31"/>
    </row>
    <row r="67" spans="1:38">
      <c r="A67" s="54">
        <f>$M$2</f>
        <v>1</v>
      </c>
      <c r="B67" s="31" t="s">
        <v>53</v>
      </c>
      <c r="C67" s="32">
        <f t="shared" ref="C67:N67" si="221">C65*$C$2</f>
        <v>0</v>
      </c>
      <c r="D67" s="32">
        <f t="shared" si="221"/>
        <v>0</v>
      </c>
      <c r="E67" s="32">
        <f t="shared" si="221"/>
        <v>0</v>
      </c>
      <c r="F67" s="32">
        <f t="shared" si="221"/>
        <v>0</v>
      </c>
      <c r="G67" s="32">
        <f t="shared" si="221"/>
        <v>0</v>
      </c>
      <c r="H67" s="32">
        <f t="shared" si="221"/>
        <v>0</v>
      </c>
      <c r="I67" s="32">
        <f t="shared" si="221"/>
        <v>0</v>
      </c>
      <c r="J67" s="32">
        <f t="shared" si="221"/>
        <v>0</v>
      </c>
      <c r="K67" s="32">
        <f t="shared" si="221"/>
        <v>0</v>
      </c>
      <c r="L67" s="32">
        <f t="shared" si="221"/>
        <v>0</v>
      </c>
      <c r="M67" s="32">
        <f t="shared" si="221"/>
        <v>0</v>
      </c>
      <c r="N67" s="32">
        <f t="shared" si="221"/>
        <v>0</v>
      </c>
      <c r="O67" s="60">
        <f t="shared" si="31"/>
        <v>0</v>
      </c>
      <c r="U67" s="54">
        <f>$AG$2</f>
        <v>1</v>
      </c>
      <c r="V67" s="31" t="s">
        <v>53</v>
      </c>
      <c r="W67" s="32">
        <f t="shared" ref="W67:AH67" si="222">W65*$C$2</f>
        <v>0</v>
      </c>
      <c r="X67" s="32">
        <f t="shared" si="222"/>
        <v>0</v>
      </c>
      <c r="Y67" s="32">
        <f t="shared" si="222"/>
        <v>0</v>
      </c>
      <c r="Z67" s="32">
        <f t="shared" si="222"/>
        <v>0</v>
      </c>
      <c r="AA67" s="32">
        <f t="shared" si="222"/>
        <v>0</v>
      </c>
      <c r="AB67" s="32">
        <f t="shared" si="222"/>
        <v>0</v>
      </c>
      <c r="AC67" s="32">
        <f t="shared" si="222"/>
        <v>0</v>
      </c>
      <c r="AD67" s="32">
        <f t="shared" si="222"/>
        <v>0</v>
      </c>
      <c r="AE67" s="32">
        <f t="shared" si="222"/>
        <v>0</v>
      </c>
      <c r="AF67" s="32">
        <f t="shared" si="222"/>
        <v>0</v>
      </c>
      <c r="AG67" s="32">
        <f t="shared" si="222"/>
        <v>0</v>
      </c>
      <c r="AH67" s="32">
        <f t="shared" si="222"/>
        <v>0</v>
      </c>
      <c r="AI67" s="60">
        <f t="shared" si="95"/>
        <v>0</v>
      </c>
    </row>
    <row r="68" spans="1:38">
      <c r="B68" s="31" t="s">
        <v>54</v>
      </c>
      <c r="C68" s="36">
        <f>(C66*$J$1)*$A66</f>
        <v>0</v>
      </c>
      <c r="D68" s="36">
        <f t="shared" ref="D68:N68" si="223">(D66*$J$1)*$A66</f>
        <v>0</v>
      </c>
      <c r="E68" s="36">
        <f t="shared" si="223"/>
        <v>0</v>
      </c>
      <c r="F68" s="36">
        <f t="shared" si="223"/>
        <v>0</v>
      </c>
      <c r="G68" s="36">
        <f t="shared" si="223"/>
        <v>0</v>
      </c>
      <c r="H68" s="36">
        <f t="shared" si="223"/>
        <v>0</v>
      </c>
      <c r="I68" s="36">
        <f t="shared" si="223"/>
        <v>0</v>
      </c>
      <c r="J68" s="36">
        <f t="shared" si="223"/>
        <v>0</v>
      </c>
      <c r="K68" s="36">
        <f t="shared" si="223"/>
        <v>0</v>
      </c>
      <c r="L68" s="36">
        <f t="shared" si="223"/>
        <v>0</v>
      </c>
      <c r="M68" s="36">
        <f t="shared" si="223"/>
        <v>0</v>
      </c>
      <c r="N68" s="36">
        <f t="shared" si="223"/>
        <v>0</v>
      </c>
      <c r="O68" s="60">
        <f t="shared" si="31"/>
        <v>0</v>
      </c>
      <c r="Q68" s="54"/>
      <c r="V68" s="31" t="s">
        <v>54</v>
      </c>
      <c r="W68" s="36">
        <f>(W66*$J$1)*$U66</f>
        <v>0</v>
      </c>
      <c r="X68" s="36">
        <f t="shared" ref="X68:AH68" si="224">(X66*$J$1)*$U66</f>
        <v>0</v>
      </c>
      <c r="Y68" s="36">
        <f t="shared" si="224"/>
        <v>0</v>
      </c>
      <c r="Z68" s="36">
        <f t="shared" si="224"/>
        <v>0</v>
      </c>
      <c r="AA68" s="36">
        <f t="shared" si="224"/>
        <v>0</v>
      </c>
      <c r="AB68" s="36">
        <f t="shared" si="224"/>
        <v>0</v>
      </c>
      <c r="AC68" s="36">
        <f t="shared" si="224"/>
        <v>0</v>
      </c>
      <c r="AD68" s="36">
        <f t="shared" si="224"/>
        <v>0</v>
      </c>
      <c r="AE68" s="36">
        <f t="shared" si="224"/>
        <v>0</v>
      </c>
      <c r="AF68" s="36">
        <f t="shared" si="224"/>
        <v>0</v>
      </c>
      <c r="AG68" s="36">
        <f t="shared" si="224"/>
        <v>0</v>
      </c>
      <c r="AH68" s="36">
        <f t="shared" si="224"/>
        <v>0</v>
      </c>
      <c r="AI68" s="60">
        <f t="shared" si="95"/>
        <v>0</v>
      </c>
      <c r="AK68" s="54"/>
    </row>
    <row r="69" spans="1:38">
      <c r="B69" s="31" t="s">
        <v>55</v>
      </c>
      <c r="C69" s="36">
        <f>(C67*$J$2)*$A67</f>
        <v>0</v>
      </c>
      <c r="D69" s="36">
        <f t="shared" ref="D69:N69" si="225">(D67*$J$2)*$A67</f>
        <v>0</v>
      </c>
      <c r="E69" s="36">
        <f t="shared" si="225"/>
        <v>0</v>
      </c>
      <c r="F69" s="36">
        <f t="shared" si="225"/>
        <v>0</v>
      </c>
      <c r="G69" s="36">
        <f t="shared" si="225"/>
        <v>0</v>
      </c>
      <c r="H69" s="36">
        <f t="shared" si="225"/>
        <v>0</v>
      </c>
      <c r="I69" s="36">
        <f t="shared" si="225"/>
        <v>0</v>
      </c>
      <c r="J69" s="36">
        <f t="shared" si="225"/>
        <v>0</v>
      </c>
      <c r="K69" s="36">
        <f t="shared" si="225"/>
        <v>0</v>
      </c>
      <c r="L69" s="36">
        <f t="shared" si="225"/>
        <v>0</v>
      </c>
      <c r="M69" s="36">
        <f t="shared" si="225"/>
        <v>0</v>
      </c>
      <c r="N69" s="36">
        <f t="shared" si="225"/>
        <v>0</v>
      </c>
      <c r="O69" s="60">
        <f t="shared" si="31"/>
        <v>0</v>
      </c>
      <c r="Q69" s="54"/>
      <c r="V69" s="31" t="s">
        <v>55</v>
      </c>
      <c r="W69" s="36">
        <f>(W67*$J$2)*$U67</f>
        <v>0</v>
      </c>
      <c r="X69" s="36">
        <f t="shared" ref="X69:AH69" si="226">(X67*$J$2)*$U67</f>
        <v>0</v>
      </c>
      <c r="Y69" s="36">
        <f t="shared" si="226"/>
        <v>0</v>
      </c>
      <c r="Z69" s="36">
        <f t="shared" si="226"/>
        <v>0</v>
      </c>
      <c r="AA69" s="36">
        <f t="shared" si="226"/>
        <v>0</v>
      </c>
      <c r="AB69" s="36">
        <f t="shared" si="226"/>
        <v>0</v>
      </c>
      <c r="AC69" s="36">
        <f t="shared" si="226"/>
        <v>0</v>
      </c>
      <c r="AD69" s="36">
        <f t="shared" si="226"/>
        <v>0</v>
      </c>
      <c r="AE69" s="36">
        <f t="shared" si="226"/>
        <v>0</v>
      </c>
      <c r="AF69" s="36">
        <f t="shared" si="226"/>
        <v>0</v>
      </c>
      <c r="AG69" s="36">
        <f t="shared" si="226"/>
        <v>0</v>
      </c>
      <c r="AH69" s="36">
        <f t="shared" si="226"/>
        <v>0</v>
      </c>
      <c r="AI69" s="60">
        <f t="shared" si="95"/>
        <v>0</v>
      </c>
      <c r="AK69" s="54"/>
    </row>
    <row r="70" spans="1:38">
      <c r="C70" s="31">
        <f>C60+C66</f>
        <v>40</v>
      </c>
      <c r="D70" s="31">
        <f t="shared" ref="D70:N70" si="227">D60+D66</f>
        <v>40</v>
      </c>
      <c r="E70" s="31">
        <f t="shared" si="227"/>
        <v>24</v>
      </c>
      <c r="F70" s="31">
        <f t="shared" si="227"/>
        <v>38</v>
      </c>
      <c r="G70" s="31">
        <f t="shared" si="227"/>
        <v>36</v>
      </c>
      <c r="H70" s="31">
        <f t="shared" si="227"/>
        <v>30</v>
      </c>
      <c r="I70" s="31">
        <f t="shared" si="227"/>
        <v>36</v>
      </c>
      <c r="J70" s="31">
        <f t="shared" si="227"/>
        <v>34</v>
      </c>
      <c r="K70" s="31">
        <f t="shared" si="227"/>
        <v>40</v>
      </c>
      <c r="L70" s="31">
        <f t="shared" si="227"/>
        <v>38</v>
      </c>
      <c r="M70" s="31">
        <f t="shared" si="227"/>
        <v>36</v>
      </c>
      <c r="N70" s="31">
        <f t="shared" si="227"/>
        <v>32</v>
      </c>
      <c r="O70" s="58">
        <f>SUM(C70:N70)</f>
        <v>424</v>
      </c>
      <c r="R70" s="95">
        <f>O9+O15+O21+O36+O42+O48+O54+O60+O66</f>
        <v>1112</v>
      </c>
      <c r="W70" s="31">
        <f t="shared" ref="W70:AH70" si="228">W60+W66</f>
        <v>40</v>
      </c>
      <c r="X70" s="31">
        <f t="shared" si="228"/>
        <v>40</v>
      </c>
      <c r="Y70" s="31">
        <f t="shared" si="228"/>
        <v>48</v>
      </c>
      <c r="Z70" s="31">
        <f t="shared" si="228"/>
        <v>38</v>
      </c>
      <c r="AA70" s="31">
        <f t="shared" si="228"/>
        <v>36</v>
      </c>
      <c r="AB70" s="31">
        <f t="shared" si="228"/>
        <v>30</v>
      </c>
      <c r="AC70" s="31">
        <f t="shared" si="228"/>
        <v>68</v>
      </c>
      <c r="AD70" s="31">
        <f t="shared" si="228"/>
        <v>76</v>
      </c>
      <c r="AE70" s="31">
        <f t="shared" si="228"/>
        <v>68</v>
      </c>
      <c r="AF70" s="31">
        <f t="shared" si="228"/>
        <v>72</v>
      </c>
      <c r="AG70" s="31">
        <f t="shared" si="228"/>
        <v>64</v>
      </c>
      <c r="AH70" s="31">
        <f t="shared" si="228"/>
        <v>64</v>
      </c>
      <c r="AI70" s="58">
        <f>SUM(W70:AH70)</f>
        <v>644</v>
      </c>
      <c r="AL70" s="95">
        <f>AI9+AI15+AI21+AI36+AI42+AI48+AI54+AI60+AI66</f>
        <v>1360</v>
      </c>
    </row>
    <row r="71" spans="1:38">
      <c r="C71" s="31">
        <f>C61+C67</f>
        <v>133308</v>
      </c>
      <c r="D71" s="31">
        <f t="shared" ref="D71:N71" si="229">D61+D67</f>
        <v>123922</v>
      </c>
      <c r="E71" s="31">
        <f t="shared" si="229"/>
        <v>81592</v>
      </c>
      <c r="F71" s="31">
        <f t="shared" si="229"/>
        <v>126642.59999999999</v>
      </c>
      <c r="G71" s="31">
        <f t="shared" si="229"/>
        <v>111529.8</v>
      </c>
      <c r="H71" s="31">
        <f t="shared" si="229"/>
        <v>101990</v>
      </c>
      <c r="I71" s="31">
        <f t="shared" si="229"/>
        <v>119977.2</v>
      </c>
      <c r="J71" s="31">
        <f t="shared" si="229"/>
        <v>105333.70000000001</v>
      </c>
      <c r="K71" s="31">
        <f t="shared" si="229"/>
        <v>135986.66666666666</v>
      </c>
      <c r="L71" s="31">
        <f t="shared" si="229"/>
        <v>126642.59999999999</v>
      </c>
      <c r="M71" s="31">
        <f t="shared" si="229"/>
        <v>111529.8</v>
      </c>
      <c r="N71" s="31">
        <f t="shared" si="229"/>
        <v>108789.33333333333</v>
      </c>
      <c r="O71" s="58">
        <f t="shared" ref="O71:O73" si="230">SUM(C71:N71)</f>
        <v>1387243.7</v>
      </c>
      <c r="R71" s="95">
        <f>O10+O16+O22+O37+O43+O49+O55+O61+O67</f>
        <v>8147484.0714285718</v>
      </c>
      <c r="W71" s="31">
        <f t="shared" ref="W71:AH71" si="231">W61+W67</f>
        <v>64452</v>
      </c>
      <c r="X71" s="31">
        <f t="shared" si="231"/>
        <v>66524</v>
      </c>
      <c r="Y71" s="31">
        <f t="shared" si="231"/>
        <v>96754</v>
      </c>
      <c r="Z71" s="31">
        <f t="shared" si="231"/>
        <v>72146</v>
      </c>
      <c r="AA71" s="31">
        <f t="shared" si="231"/>
        <v>71716</v>
      </c>
      <c r="AB71" s="31">
        <f t="shared" si="231"/>
        <v>71828</v>
      </c>
      <c r="AC71" s="31">
        <f t="shared" si="231"/>
        <v>160288</v>
      </c>
      <c r="AD71" s="31">
        <f t="shared" si="231"/>
        <v>180120</v>
      </c>
      <c r="AE71" s="31">
        <f t="shared" si="231"/>
        <v>160288</v>
      </c>
      <c r="AF71" s="31">
        <f t="shared" si="231"/>
        <v>170204</v>
      </c>
      <c r="AG71" s="31">
        <f t="shared" si="231"/>
        <v>150372</v>
      </c>
      <c r="AH71" s="31">
        <f t="shared" si="231"/>
        <v>150372</v>
      </c>
      <c r="AI71" s="58">
        <f t="shared" ref="AI71:AI73" si="232">SUM(W71:AH71)</f>
        <v>1415064</v>
      </c>
      <c r="AL71" s="95">
        <f>AI10+AI16+AI22+AI37+AI43+AI49+AI55+AI61+AI67</f>
        <v>8070388.461538462</v>
      </c>
    </row>
    <row r="72" spans="1:38">
      <c r="C72" s="31">
        <f t="shared" ref="C72:N72" si="233">C62+C68</f>
        <v>25275200</v>
      </c>
      <c r="D72" s="31">
        <f t="shared" si="233"/>
        <v>25275200</v>
      </c>
      <c r="E72" s="31">
        <f t="shared" si="233"/>
        <v>15165120</v>
      </c>
      <c r="F72" s="31">
        <f t="shared" si="233"/>
        <v>24011440</v>
      </c>
      <c r="G72" s="31">
        <f t="shared" si="233"/>
        <v>22747680</v>
      </c>
      <c r="H72" s="31">
        <f t="shared" si="233"/>
        <v>18956400</v>
      </c>
      <c r="I72" s="31">
        <f t="shared" si="233"/>
        <v>22747680</v>
      </c>
      <c r="J72" s="31">
        <f t="shared" si="233"/>
        <v>21483920</v>
      </c>
      <c r="K72" s="31">
        <f t="shared" si="233"/>
        <v>25275200</v>
      </c>
      <c r="L72" s="31">
        <f t="shared" si="233"/>
        <v>24011440</v>
      </c>
      <c r="M72" s="31">
        <f t="shared" si="233"/>
        <v>22747680</v>
      </c>
      <c r="N72" s="31">
        <f t="shared" si="233"/>
        <v>20220160</v>
      </c>
      <c r="O72" s="58">
        <f t="shared" si="230"/>
        <v>267917120</v>
      </c>
      <c r="Q72" s="54"/>
      <c r="W72" s="31">
        <f t="shared" ref="W72:AH72" si="234">W62+W68</f>
        <v>25275200</v>
      </c>
      <c r="X72" s="31">
        <f t="shared" si="234"/>
        <v>25275200</v>
      </c>
      <c r="Y72" s="31">
        <f t="shared" si="234"/>
        <v>30330240</v>
      </c>
      <c r="Z72" s="31">
        <f t="shared" si="234"/>
        <v>24011440</v>
      </c>
      <c r="AA72" s="31">
        <f t="shared" si="234"/>
        <v>22747680</v>
      </c>
      <c r="AB72" s="31">
        <f t="shared" si="234"/>
        <v>18956400</v>
      </c>
      <c r="AC72" s="31">
        <f t="shared" si="234"/>
        <v>42967840</v>
      </c>
      <c r="AD72" s="31">
        <f t="shared" si="234"/>
        <v>48022880</v>
      </c>
      <c r="AE72" s="31">
        <f t="shared" si="234"/>
        <v>42967840</v>
      </c>
      <c r="AF72" s="31">
        <f t="shared" si="234"/>
        <v>45495360</v>
      </c>
      <c r="AG72" s="31">
        <f t="shared" si="234"/>
        <v>40440320</v>
      </c>
      <c r="AH72" s="31">
        <f t="shared" si="234"/>
        <v>40440320</v>
      </c>
      <c r="AI72" s="58">
        <f t="shared" si="232"/>
        <v>406930720</v>
      </c>
      <c r="AK72" s="54"/>
    </row>
    <row r="73" spans="1:38">
      <c r="C73" s="31">
        <f t="shared" ref="C73:N73" si="235">C63+C69</f>
        <v>24128748</v>
      </c>
      <c r="D73" s="31">
        <f t="shared" si="235"/>
        <v>22429882</v>
      </c>
      <c r="E73" s="31">
        <f t="shared" si="235"/>
        <v>14768152</v>
      </c>
      <c r="F73" s="31">
        <f t="shared" si="235"/>
        <v>22922310.599999998</v>
      </c>
      <c r="G73" s="31">
        <f t="shared" si="235"/>
        <v>20186893.800000001</v>
      </c>
      <c r="H73" s="31">
        <f t="shared" si="235"/>
        <v>18460190</v>
      </c>
      <c r="I73" s="31">
        <f t="shared" si="235"/>
        <v>21715873.199999999</v>
      </c>
      <c r="J73" s="31">
        <f t="shared" si="235"/>
        <v>19065399.700000003</v>
      </c>
      <c r="K73" s="31">
        <f t="shared" si="235"/>
        <v>24613586.666666664</v>
      </c>
      <c r="L73" s="31">
        <f t="shared" si="235"/>
        <v>22922310.599999998</v>
      </c>
      <c r="M73" s="31">
        <f t="shared" si="235"/>
        <v>20186893.800000001</v>
      </c>
      <c r="N73" s="31">
        <f t="shared" si="235"/>
        <v>19690869.333333332</v>
      </c>
      <c r="O73" s="58">
        <f t="shared" si="230"/>
        <v>251091109.70000002</v>
      </c>
      <c r="Q73" s="54"/>
      <c r="W73" s="31">
        <f t="shared" ref="W73:AH73" si="236">W63+W69</f>
        <v>11665812</v>
      </c>
      <c r="X73" s="31">
        <f t="shared" si="236"/>
        <v>12040844</v>
      </c>
      <c r="Y73" s="31">
        <f t="shared" si="236"/>
        <v>17512474</v>
      </c>
      <c r="Z73" s="31">
        <f t="shared" si="236"/>
        <v>13058426</v>
      </c>
      <c r="AA73" s="31">
        <f t="shared" si="236"/>
        <v>12980596</v>
      </c>
      <c r="AB73" s="31">
        <f t="shared" si="236"/>
        <v>13000868</v>
      </c>
      <c r="AC73" s="31">
        <f t="shared" si="236"/>
        <v>29012128</v>
      </c>
      <c r="AD73" s="31">
        <f t="shared" si="236"/>
        <v>32601720</v>
      </c>
      <c r="AE73" s="31">
        <f t="shared" si="236"/>
        <v>29012128</v>
      </c>
      <c r="AF73" s="31">
        <f t="shared" si="236"/>
        <v>30806924</v>
      </c>
      <c r="AG73" s="31">
        <f t="shared" si="236"/>
        <v>27217332</v>
      </c>
      <c r="AH73" s="31">
        <f t="shared" si="236"/>
        <v>27217332</v>
      </c>
      <c r="AI73" s="58">
        <f t="shared" si="232"/>
        <v>256126584</v>
      </c>
      <c r="AK73" s="54"/>
    </row>
    <row r="74" spans="1:38">
      <c r="A74" t="s">
        <v>62</v>
      </c>
      <c r="B74" s="31" t="s">
        <v>63</v>
      </c>
      <c r="C74" s="38">
        <f>C11+C17+C23+C29+C38+C44+C50+C56+C62+C68</f>
        <v>48510900</v>
      </c>
      <c r="D74" s="38">
        <f t="shared" ref="D74:N74" si="237">D11+D17+D23+D29+D38+D44+D50+D56+D62+D68</f>
        <v>54829700</v>
      </c>
      <c r="E74" s="38">
        <f>E11+E17+E23+E29+E38+E44+E50+E62+E68</f>
        <v>49331380</v>
      </c>
      <c r="F74" s="38">
        <f t="shared" si="237"/>
        <v>61968980</v>
      </c>
      <c r="G74" s="38">
        <f t="shared" si="237"/>
        <v>53344300</v>
      </c>
      <c r="H74" s="38">
        <f t="shared" si="237"/>
        <v>59441460</v>
      </c>
      <c r="I74" s="38">
        <f t="shared" si="237"/>
        <v>56913940</v>
      </c>
      <c r="J74" s="38">
        <f t="shared" si="237"/>
        <v>52191360</v>
      </c>
      <c r="K74" s="38">
        <f t="shared" si="237"/>
        <v>58288520</v>
      </c>
      <c r="L74" s="38">
        <f t="shared" si="237"/>
        <v>69329900</v>
      </c>
      <c r="M74" s="38">
        <f t="shared" si="237"/>
        <v>58288520</v>
      </c>
      <c r="N74" s="38">
        <f t="shared" si="237"/>
        <v>50816780</v>
      </c>
      <c r="O74" s="110">
        <f t="shared" ref="O74:O75" si="238">SUM(C74:N74)</f>
        <v>673255740</v>
      </c>
      <c r="P74" s="87"/>
      <c r="U74" t="s">
        <v>62</v>
      </c>
      <c r="V74" s="31" t="s">
        <v>63</v>
      </c>
      <c r="W74" s="38">
        <f t="shared" ref="W74:AH74" si="239">W11+W17+W23+W38+W44+W50+W56+W62+W68</f>
        <v>64164040</v>
      </c>
      <c r="X74" s="38">
        <f t="shared" si="239"/>
        <v>59441460</v>
      </c>
      <c r="Y74" s="38">
        <f>Y11+Y17+Y23+Y38+Y44+Y50+Y62+Y68</f>
        <v>53676760</v>
      </c>
      <c r="Z74" s="38">
        <f t="shared" si="239"/>
        <v>54718880</v>
      </c>
      <c r="AA74" s="38">
        <f t="shared" si="239"/>
        <v>53565940</v>
      </c>
      <c r="AB74" s="38">
        <f t="shared" si="239"/>
        <v>49774660</v>
      </c>
      <c r="AC74" s="38">
        <f t="shared" si="239"/>
        <v>78397860</v>
      </c>
      <c r="AD74" s="38">
        <f t="shared" si="239"/>
        <v>91966760</v>
      </c>
      <c r="AE74" s="38">
        <f t="shared" si="239"/>
        <v>78397860</v>
      </c>
      <c r="AF74" s="38">
        <f t="shared" si="239"/>
        <v>85869600</v>
      </c>
      <c r="AG74" s="38">
        <f t="shared" si="239"/>
        <v>74939040</v>
      </c>
      <c r="AH74" s="38">
        <f t="shared" si="239"/>
        <v>75870340</v>
      </c>
      <c r="AI74" s="58">
        <f t="shared" ref="AI74" si="240">SUM(W74:AH74)</f>
        <v>820783200</v>
      </c>
      <c r="AJ74" s="87"/>
    </row>
    <row r="75" spans="1:38">
      <c r="B75" s="31" t="s">
        <v>64</v>
      </c>
      <c r="C75" s="38">
        <f>C12+C18+C24+C30+C39+C45+C51+C57+C63+C69</f>
        <v>223724302.80000001</v>
      </c>
      <c r="D75" s="38">
        <f t="shared" ref="D75:N75" si="241">D12+D18+D24+D30+D39+D45+D51+D57+D63+D69</f>
        <v>142082728</v>
      </c>
      <c r="E75" s="38">
        <f>E12+E18+E24+E30+E39+E45+E51+E63+E69</f>
        <v>239023835.20000002</v>
      </c>
      <c r="F75" s="38">
        <f t="shared" si="241"/>
        <v>315157462.62857145</v>
      </c>
      <c r="G75" s="38">
        <f t="shared" si="241"/>
        <v>100130548.19999999</v>
      </c>
      <c r="H75" s="38">
        <f t="shared" si="241"/>
        <v>282090149.1111111</v>
      </c>
      <c r="I75" s="38">
        <f t="shared" si="241"/>
        <v>125790737.40000001</v>
      </c>
      <c r="J75" s="38">
        <f t="shared" si="241"/>
        <v>211428767.65555555</v>
      </c>
      <c r="K75" s="38">
        <f t="shared" si="241"/>
        <v>124276857.59999999</v>
      </c>
      <c r="L75" s="38">
        <f t="shared" si="241"/>
        <v>325294009.13333338</v>
      </c>
      <c r="M75" s="38">
        <f t="shared" si="241"/>
        <v>114071562.2</v>
      </c>
      <c r="N75" s="38">
        <f t="shared" si="241"/>
        <v>232591314.13333336</v>
      </c>
      <c r="O75" s="110">
        <f t="shared" si="238"/>
        <v>2435662274.0619049</v>
      </c>
      <c r="P75" s="87"/>
      <c r="V75" s="31" t="s">
        <v>64</v>
      </c>
      <c r="W75" s="38">
        <f t="shared" ref="W75:AH75" si="242">W12+W18+W24+W39+W45+W51+W57+W63+W69</f>
        <v>214032678</v>
      </c>
      <c r="X75" s="38">
        <f t="shared" si="242"/>
        <v>127845630</v>
      </c>
      <c r="Y75" s="38">
        <f>Y12+Y18+Y24+Y39+Y45+Y51+Y63+Y69</f>
        <v>243219415.20000002</v>
      </c>
      <c r="Z75" s="38">
        <f t="shared" si="242"/>
        <v>302796586.79999995</v>
      </c>
      <c r="AA75" s="38">
        <f t="shared" si="242"/>
        <v>90530233.600000009</v>
      </c>
      <c r="AB75" s="38">
        <f t="shared" si="242"/>
        <v>272784449.60000002</v>
      </c>
      <c r="AC75" s="38">
        <f t="shared" si="242"/>
        <v>131103500.39999999</v>
      </c>
      <c r="AD75" s="38">
        <f t="shared" si="242"/>
        <v>221016726.40000001</v>
      </c>
      <c r="AE75" s="38">
        <f t="shared" si="242"/>
        <v>125239777.59999999</v>
      </c>
      <c r="AF75" s="38">
        <f t="shared" si="242"/>
        <v>327880025.60000002</v>
      </c>
      <c r="AG75" s="38">
        <f t="shared" si="242"/>
        <v>116037528.8</v>
      </c>
      <c r="AH75" s="38">
        <f t="shared" si="242"/>
        <v>237519170.40000001</v>
      </c>
      <c r="AI75" s="58">
        <f>SUM(W75:AH75)</f>
        <v>2410005722.4000006</v>
      </c>
      <c r="AJ75" s="87"/>
    </row>
    <row r="76" spans="1:38">
      <c r="C76" s="38">
        <f>C74+C75</f>
        <v>272235202.80000001</v>
      </c>
      <c r="D76" s="38">
        <f t="shared" ref="D76:N76" si="243">D74+D75</f>
        <v>196912428</v>
      </c>
      <c r="E76" s="38">
        <f t="shared" si="243"/>
        <v>288355215.20000005</v>
      </c>
      <c r="F76" s="38">
        <f t="shared" si="243"/>
        <v>377126442.62857145</v>
      </c>
      <c r="G76" s="38">
        <f t="shared" si="243"/>
        <v>153474848.19999999</v>
      </c>
      <c r="H76" s="38">
        <f t="shared" si="243"/>
        <v>341531609.1111111</v>
      </c>
      <c r="I76" s="38">
        <f t="shared" si="243"/>
        <v>182704677.40000001</v>
      </c>
      <c r="J76" s="38">
        <f t="shared" si="243"/>
        <v>263620127.65555555</v>
      </c>
      <c r="K76" s="38">
        <f t="shared" si="243"/>
        <v>182565377.59999999</v>
      </c>
      <c r="L76" s="38">
        <f t="shared" si="243"/>
        <v>394623909.13333338</v>
      </c>
      <c r="M76" s="38">
        <f t="shared" si="243"/>
        <v>172360082.19999999</v>
      </c>
      <c r="N76" s="38">
        <f t="shared" si="243"/>
        <v>283408094.13333333</v>
      </c>
      <c r="O76" s="110">
        <f>SUM(C76:N76)</f>
        <v>3108918014.0619044</v>
      </c>
      <c r="R76" s="39" t="s">
        <v>98</v>
      </c>
      <c r="W76" s="38">
        <f t="shared" ref="W76:AH76" si="244">W74+W75</f>
        <v>278196718</v>
      </c>
      <c r="X76" s="38">
        <f t="shared" si="244"/>
        <v>187287090</v>
      </c>
      <c r="Y76" s="38">
        <f t="shared" si="244"/>
        <v>296896175.20000005</v>
      </c>
      <c r="Z76" s="38">
        <f t="shared" si="244"/>
        <v>357515466.79999995</v>
      </c>
      <c r="AA76" s="38">
        <f t="shared" si="244"/>
        <v>144096173.60000002</v>
      </c>
      <c r="AB76" s="38">
        <f t="shared" si="244"/>
        <v>322559109.60000002</v>
      </c>
      <c r="AC76" s="38">
        <f t="shared" si="244"/>
        <v>209501360.39999998</v>
      </c>
      <c r="AD76" s="38">
        <f t="shared" si="244"/>
        <v>312983486.39999998</v>
      </c>
      <c r="AE76" s="38">
        <f t="shared" si="244"/>
        <v>203637637.59999999</v>
      </c>
      <c r="AF76" s="38">
        <f t="shared" si="244"/>
        <v>413749625.60000002</v>
      </c>
      <c r="AG76" s="38">
        <f t="shared" si="244"/>
        <v>190976568.80000001</v>
      </c>
      <c r="AH76" s="38">
        <f t="shared" si="244"/>
        <v>313389510.39999998</v>
      </c>
      <c r="AI76" s="58">
        <f>SUM(W76:AH76)</f>
        <v>3230788922.4000001</v>
      </c>
      <c r="AL76" s="39" t="s">
        <v>98</v>
      </c>
    </row>
    <row r="77" spans="1:38">
      <c r="C77" s="73">
        <v>1</v>
      </c>
      <c r="D77" s="73">
        <v>2</v>
      </c>
      <c r="E77" s="73">
        <v>3</v>
      </c>
      <c r="F77" s="73">
        <v>4</v>
      </c>
      <c r="G77" s="73">
        <v>5</v>
      </c>
      <c r="H77" s="73"/>
      <c r="I77" s="73"/>
      <c r="J77" s="73"/>
      <c r="K77" s="73"/>
      <c r="L77" s="73"/>
      <c r="M77" s="73"/>
      <c r="N77" s="73"/>
      <c r="R77" s="39" t="s">
        <v>99</v>
      </c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L77" s="39" t="s">
        <v>99</v>
      </c>
    </row>
    <row r="78" spans="1:38"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</row>
    <row r="79" spans="1:38">
      <c r="C79" s="109">
        <f t="shared" ref="C79:N79" si="245">C7+C13+C19+C25+C34+C40+C46+C52+C58+C64</f>
        <v>32</v>
      </c>
      <c r="D79" s="109">
        <f t="shared" si="245"/>
        <v>37</v>
      </c>
      <c r="E79" s="109">
        <f t="shared" si="245"/>
        <v>159</v>
      </c>
      <c r="F79" s="109">
        <f t="shared" si="245"/>
        <v>39</v>
      </c>
      <c r="G79" s="109">
        <f t="shared" si="245"/>
        <v>34</v>
      </c>
      <c r="H79" s="109">
        <f t="shared" si="245"/>
        <v>37</v>
      </c>
      <c r="I79" s="109">
        <f t="shared" si="245"/>
        <v>35</v>
      </c>
      <c r="J79" s="109">
        <f t="shared" si="245"/>
        <v>34</v>
      </c>
      <c r="K79" s="109">
        <f t="shared" si="245"/>
        <v>37</v>
      </c>
      <c r="L79" s="109">
        <f t="shared" si="245"/>
        <v>43</v>
      </c>
      <c r="M79" s="109">
        <f t="shared" si="245"/>
        <v>37</v>
      </c>
      <c r="N79" s="109">
        <f t="shared" si="245"/>
        <v>32</v>
      </c>
      <c r="O79" s="110">
        <f>SUM(C79:N79)</f>
        <v>556</v>
      </c>
      <c r="W79" s="109">
        <f t="shared" ref="W79:AH79" si="246">W7+W13+W19+W34+W40+W46+W52+W58+W64</f>
        <v>38</v>
      </c>
      <c r="X79" s="109">
        <f t="shared" si="246"/>
        <v>37</v>
      </c>
      <c r="Y79" s="109">
        <f t="shared" si="246"/>
        <v>177</v>
      </c>
      <c r="Z79" s="109">
        <f t="shared" si="246"/>
        <v>36</v>
      </c>
      <c r="AA79" s="109">
        <f t="shared" si="246"/>
        <v>36</v>
      </c>
      <c r="AB79" s="109">
        <f t="shared" si="246"/>
        <v>33</v>
      </c>
      <c r="AC79" s="109">
        <f t="shared" si="246"/>
        <v>52</v>
      </c>
      <c r="AD79" s="109">
        <f t="shared" si="246"/>
        <v>60</v>
      </c>
      <c r="AE79" s="109">
        <f t="shared" si="246"/>
        <v>52</v>
      </c>
      <c r="AF79" s="109">
        <f t="shared" si="246"/>
        <v>57</v>
      </c>
      <c r="AG79" s="109">
        <f t="shared" si="246"/>
        <v>52</v>
      </c>
      <c r="AH79" s="109">
        <f t="shared" si="246"/>
        <v>50</v>
      </c>
      <c r="AI79" s="110">
        <f t="shared" ref="AI79:AI85" si="247">SUM(W79:AH79)</f>
        <v>680</v>
      </c>
    </row>
    <row r="80" spans="1:38">
      <c r="C80" s="109">
        <f t="shared" ref="C80:N80" si="248">C8+C14+C20+C26+C35+C41+C47+C53+C59+C65</f>
        <v>263773</v>
      </c>
      <c r="D80" s="109">
        <f t="shared" si="248"/>
        <v>203390</v>
      </c>
      <c r="E80" s="109">
        <f t="shared" si="248"/>
        <v>1340528</v>
      </c>
      <c r="F80" s="109">
        <f t="shared" si="248"/>
        <v>352434.48571428569</v>
      </c>
      <c r="G80" s="109">
        <f t="shared" si="248"/>
        <v>153376.20000000001</v>
      </c>
      <c r="H80" s="109">
        <f t="shared" si="248"/>
        <v>331503.44444444444</v>
      </c>
      <c r="I80" s="109">
        <f t="shared" si="248"/>
        <v>170593.35</v>
      </c>
      <c r="J80" s="109">
        <f t="shared" si="248"/>
        <v>258839.47222222222</v>
      </c>
      <c r="K80" s="109">
        <f t="shared" si="248"/>
        <v>185360</v>
      </c>
      <c r="L80" s="109">
        <f t="shared" si="248"/>
        <v>366087.6333333333</v>
      </c>
      <c r="M80" s="109">
        <f t="shared" si="248"/>
        <v>172938.65</v>
      </c>
      <c r="N80" s="109">
        <f t="shared" si="248"/>
        <v>274917.8</v>
      </c>
      <c r="O80" s="110">
        <f t="shared" ref="O80:O85" si="249">SUM(C80:N80)</f>
        <v>4073742.0357142854</v>
      </c>
      <c r="W80" s="109">
        <f t="shared" ref="W80:AH80" si="250">W8+W14+W20+W35+W41+W47+W53+W59+W65</f>
        <v>228260</v>
      </c>
      <c r="X80" s="109">
        <f t="shared" si="250"/>
        <v>164061</v>
      </c>
      <c r="Y80" s="109">
        <f t="shared" si="250"/>
        <v>1393196.2307692308</v>
      </c>
      <c r="Z80" s="109">
        <f t="shared" si="250"/>
        <v>318287</v>
      </c>
      <c r="AA80" s="109">
        <f t="shared" si="250"/>
        <v>126855</v>
      </c>
      <c r="AB80" s="109">
        <f t="shared" si="250"/>
        <v>305794</v>
      </c>
      <c r="AC80" s="109">
        <f t="shared" si="250"/>
        <v>185268</v>
      </c>
      <c r="AD80" s="109">
        <f t="shared" si="250"/>
        <v>285324</v>
      </c>
      <c r="AE80" s="109">
        <f t="shared" si="250"/>
        <v>188020</v>
      </c>
      <c r="AF80" s="109">
        <f t="shared" si="250"/>
        <v>373230</v>
      </c>
      <c r="AG80" s="109">
        <f t="shared" si="250"/>
        <v>178369</v>
      </c>
      <c r="AH80" s="109">
        <f t="shared" si="250"/>
        <v>288530</v>
      </c>
      <c r="AI80" s="110">
        <f t="shared" si="247"/>
        <v>4035194.230769231</v>
      </c>
    </row>
    <row r="81" spans="1:37">
      <c r="C81" s="32">
        <f t="shared" ref="C81:N81" si="251">C9+C15+C21+C27+C36+C42+C48+C54+C60+C66</f>
        <v>64</v>
      </c>
      <c r="D81" s="32">
        <f t="shared" si="251"/>
        <v>74</v>
      </c>
      <c r="E81" s="32">
        <f t="shared" si="251"/>
        <v>318</v>
      </c>
      <c r="F81" s="32">
        <f t="shared" si="251"/>
        <v>78</v>
      </c>
      <c r="G81" s="32">
        <f t="shared" si="251"/>
        <v>68</v>
      </c>
      <c r="H81" s="32">
        <f t="shared" si="251"/>
        <v>74</v>
      </c>
      <c r="I81" s="32">
        <f t="shared" si="251"/>
        <v>70</v>
      </c>
      <c r="J81" s="32">
        <f t="shared" si="251"/>
        <v>68</v>
      </c>
      <c r="K81" s="32">
        <f t="shared" si="251"/>
        <v>74</v>
      </c>
      <c r="L81" s="32">
        <f t="shared" si="251"/>
        <v>86</v>
      </c>
      <c r="M81" s="32">
        <f t="shared" si="251"/>
        <v>74</v>
      </c>
      <c r="N81" s="32">
        <f t="shared" si="251"/>
        <v>64</v>
      </c>
      <c r="O81" s="71">
        <f t="shared" si="249"/>
        <v>1112</v>
      </c>
      <c r="W81" s="32">
        <f t="shared" ref="W81:AH81" si="252">W9+W15+W21+W36+W42+W48+W54+W60+W66</f>
        <v>76</v>
      </c>
      <c r="X81" s="32">
        <f t="shared" si="252"/>
        <v>74</v>
      </c>
      <c r="Y81" s="32">
        <f t="shared" si="252"/>
        <v>354</v>
      </c>
      <c r="Z81" s="32">
        <f t="shared" si="252"/>
        <v>72</v>
      </c>
      <c r="AA81" s="32">
        <f t="shared" si="252"/>
        <v>72</v>
      </c>
      <c r="AB81" s="32">
        <f t="shared" si="252"/>
        <v>66</v>
      </c>
      <c r="AC81" s="32">
        <f t="shared" si="252"/>
        <v>104</v>
      </c>
      <c r="AD81" s="32">
        <f t="shared" si="252"/>
        <v>120</v>
      </c>
      <c r="AE81" s="32">
        <f t="shared" si="252"/>
        <v>104</v>
      </c>
      <c r="AF81" s="32">
        <f t="shared" si="252"/>
        <v>114</v>
      </c>
      <c r="AG81" s="32">
        <f t="shared" si="252"/>
        <v>104</v>
      </c>
      <c r="AH81" s="32">
        <f t="shared" si="252"/>
        <v>100</v>
      </c>
      <c r="AI81" s="71">
        <f>SUM(W81:AH81)</f>
        <v>1360</v>
      </c>
    </row>
    <row r="82" spans="1:37">
      <c r="C82" s="32">
        <f t="shared" ref="C82:N82" si="253">C10+C16+C22+C28+C37+C43+C49+C55+C61+C67</f>
        <v>527546</v>
      </c>
      <c r="D82" s="32">
        <f t="shared" si="253"/>
        <v>406780</v>
      </c>
      <c r="E82" s="32">
        <f t="shared" si="253"/>
        <v>2681056</v>
      </c>
      <c r="F82" s="32">
        <f t="shared" si="253"/>
        <v>704868.97142857139</v>
      </c>
      <c r="G82" s="32">
        <f t="shared" si="253"/>
        <v>306752.40000000002</v>
      </c>
      <c r="H82" s="32">
        <f t="shared" si="253"/>
        <v>663006.88888888888</v>
      </c>
      <c r="I82" s="32">
        <f t="shared" si="253"/>
        <v>341186.7</v>
      </c>
      <c r="J82" s="32">
        <f t="shared" si="253"/>
        <v>517678.94444444444</v>
      </c>
      <c r="K82" s="32">
        <f t="shared" si="253"/>
        <v>370720</v>
      </c>
      <c r="L82" s="32">
        <f t="shared" si="253"/>
        <v>732175.2666666666</v>
      </c>
      <c r="M82" s="32">
        <f t="shared" si="253"/>
        <v>345877.3</v>
      </c>
      <c r="N82" s="32">
        <f t="shared" si="253"/>
        <v>549835.6</v>
      </c>
      <c r="O82" s="71">
        <f t="shared" si="249"/>
        <v>8147484.0714285709</v>
      </c>
      <c r="W82" s="32">
        <f t="shared" ref="W82:AH82" si="254">W10+W16+W22+W37+W43+W49+W55+W61+W67</f>
        <v>456520</v>
      </c>
      <c r="X82" s="32">
        <f t="shared" si="254"/>
        <v>328122</v>
      </c>
      <c r="Y82" s="32">
        <f t="shared" si="254"/>
        <v>2786392.4615384615</v>
      </c>
      <c r="Z82" s="32">
        <f t="shared" si="254"/>
        <v>636574</v>
      </c>
      <c r="AA82" s="32">
        <f t="shared" si="254"/>
        <v>253710</v>
      </c>
      <c r="AB82" s="32">
        <f t="shared" si="254"/>
        <v>611588</v>
      </c>
      <c r="AC82" s="32">
        <f t="shared" si="254"/>
        <v>370536</v>
      </c>
      <c r="AD82" s="32">
        <f t="shared" si="254"/>
        <v>570648</v>
      </c>
      <c r="AE82" s="32">
        <f t="shared" si="254"/>
        <v>376040</v>
      </c>
      <c r="AF82" s="32">
        <f t="shared" si="254"/>
        <v>746460</v>
      </c>
      <c r="AG82" s="32">
        <f t="shared" si="254"/>
        <v>356738</v>
      </c>
      <c r="AH82" s="32">
        <f t="shared" si="254"/>
        <v>577060</v>
      </c>
      <c r="AI82" s="71">
        <f>SUM(W82:AH82)</f>
        <v>8070388.461538462</v>
      </c>
    </row>
    <row r="83" spans="1:37">
      <c r="C83" s="113">
        <f t="shared" ref="C83:N83" si="255">C11+C17+C23+C29+C38+C44+C50+C56+C62+C68</f>
        <v>48510900</v>
      </c>
      <c r="D83" s="113">
        <f t="shared" si="255"/>
        <v>54829700</v>
      </c>
      <c r="E83" s="113">
        <f t="shared" si="255"/>
        <v>213620180</v>
      </c>
      <c r="F83" s="113">
        <f t="shared" si="255"/>
        <v>61968980</v>
      </c>
      <c r="G83" s="113">
        <f t="shared" si="255"/>
        <v>53344300</v>
      </c>
      <c r="H83" s="113">
        <f t="shared" si="255"/>
        <v>59441460</v>
      </c>
      <c r="I83" s="113">
        <f t="shared" si="255"/>
        <v>56913940</v>
      </c>
      <c r="J83" s="113">
        <f t="shared" si="255"/>
        <v>52191360</v>
      </c>
      <c r="K83" s="113">
        <f t="shared" si="255"/>
        <v>58288520</v>
      </c>
      <c r="L83" s="113">
        <f t="shared" si="255"/>
        <v>69329900</v>
      </c>
      <c r="M83" s="113">
        <f t="shared" si="255"/>
        <v>58288520</v>
      </c>
      <c r="N83" s="113">
        <f t="shared" si="255"/>
        <v>50816780</v>
      </c>
      <c r="O83" s="114">
        <f t="shared" si="249"/>
        <v>837544540</v>
      </c>
      <c r="W83" s="113">
        <f t="shared" ref="W83:AH83" si="256">W11+W17+W23+W38+W44+W50+W56+W62+W68</f>
        <v>64164040</v>
      </c>
      <c r="X83" s="113">
        <f t="shared" si="256"/>
        <v>59441460</v>
      </c>
      <c r="Y83" s="113">
        <f t="shared" si="256"/>
        <v>230603160</v>
      </c>
      <c r="Z83" s="113">
        <f t="shared" si="256"/>
        <v>54718880</v>
      </c>
      <c r="AA83" s="113">
        <f t="shared" si="256"/>
        <v>53565940</v>
      </c>
      <c r="AB83" s="113">
        <f t="shared" si="256"/>
        <v>49774660</v>
      </c>
      <c r="AC83" s="113">
        <f t="shared" si="256"/>
        <v>78397860</v>
      </c>
      <c r="AD83" s="113">
        <f t="shared" si="256"/>
        <v>91966760</v>
      </c>
      <c r="AE83" s="113">
        <f t="shared" si="256"/>
        <v>78397860</v>
      </c>
      <c r="AF83" s="113">
        <f t="shared" si="256"/>
        <v>85869600</v>
      </c>
      <c r="AG83" s="113">
        <f t="shared" si="256"/>
        <v>74939040</v>
      </c>
      <c r="AH83" s="113">
        <f t="shared" si="256"/>
        <v>75870340</v>
      </c>
      <c r="AI83" s="114">
        <f t="shared" si="247"/>
        <v>997709600</v>
      </c>
    </row>
    <row r="84" spans="1:37">
      <c r="C84" s="113">
        <f t="shared" ref="C84:N84" si="257">C12+C18+C24+C30+C39+C45+C51+C57+C63+C69</f>
        <v>223724302.80000001</v>
      </c>
      <c r="D84" s="113">
        <f t="shared" si="257"/>
        <v>142082728</v>
      </c>
      <c r="E84" s="113">
        <f t="shared" si="257"/>
        <v>625652143.20000005</v>
      </c>
      <c r="F84" s="113">
        <f t="shared" si="257"/>
        <v>315157462.62857145</v>
      </c>
      <c r="G84" s="113">
        <f t="shared" si="257"/>
        <v>100130548.19999999</v>
      </c>
      <c r="H84" s="113">
        <f t="shared" si="257"/>
        <v>282090149.1111111</v>
      </c>
      <c r="I84" s="113">
        <f t="shared" si="257"/>
        <v>125790737.40000001</v>
      </c>
      <c r="J84" s="113">
        <f t="shared" si="257"/>
        <v>211428767.65555555</v>
      </c>
      <c r="K84" s="113">
        <f t="shared" si="257"/>
        <v>124276857.59999999</v>
      </c>
      <c r="L84" s="113">
        <f t="shared" si="257"/>
        <v>325294009.13333338</v>
      </c>
      <c r="M84" s="113">
        <f t="shared" si="257"/>
        <v>114071562.2</v>
      </c>
      <c r="N84" s="113">
        <f t="shared" si="257"/>
        <v>232591314.13333336</v>
      </c>
      <c r="O84" s="114">
        <f t="shared" si="249"/>
        <v>2822290582.0619044</v>
      </c>
      <c r="Q84" s="39"/>
      <c r="W84" s="113">
        <f t="shared" ref="W84:AH84" si="258">W12+W18+W24+W39+W45+W51+W57+W63+W69</f>
        <v>214032678</v>
      </c>
      <c r="X84" s="113">
        <f t="shared" si="258"/>
        <v>127845630</v>
      </c>
      <c r="Y84" s="113">
        <f t="shared" si="258"/>
        <v>644718042.73846149</v>
      </c>
      <c r="Z84" s="113">
        <f t="shared" si="258"/>
        <v>302796586.79999995</v>
      </c>
      <c r="AA84" s="113">
        <f t="shared" si="258"/>
        <v>90530233.600000009</v>
      </c>
      <c r="AB84" s="113">
        <f t="shared" si="258"/>
        <v>272784449.60000002</v>
      </c>
      <c r="AC84" s="113">
        <f t="shared" si="258"/>
        <v>131103500.39999999</v>
      </c>
      <c r="AD84" s="113">
        <f t="shared" si="258"/>
        <v>221016726.40000001</v>
      </c>
      <c r="AE84" s="113">
        <f t="shared" si="258"/>
        <v>125239777.59999999</v>
      </c>
      <c r="AF84" s="113">
        <f t="shared" si="258"/>
        <v>327880025.60000002</v>
      </c>
      <c r="AG84" s="113">
        <f t="shared" si="258"/>
        <v>116037528.8</v>
      </c>
      <c r="AH84" s="113">
        <f t="shared" si="258"/>
        <v>237519170.40000001</v>
      </c>
      <c r="AI84" s="114">
        <f t="shared" si="247"/>
        <v>2811504349.9384618</v>
      </c>
      <c r="AK84" s="39"/>
    </row>
    <row r="85" spans="1:37">
      <c r="C85" s="111">
        <f>C83+C84</f>
        <v>272235202.80000001</v>
      </c>
      <c r="D85" s="111">
        <f t="shared" ref="D85:N85" si="259">D83+D84</f>
        <v>196912428</v>
      </c>
      <c r="E85" s="111">
        <f t="shared" si="259"/>
        <v>839272323.20000005</v>
      </c>
      <c r="F85" s="111">
        <f t="shared" si="259"/>
        <v>377126442.62857145</v>
      </c>
      <c r="G85" s="111">
        <f t="shared" si="259"/>
        <v>153474848.19999999</v>
      </c>
      <c r="H85" s="111">
        <f t="shared" si="259"/>
        <v>341531609.1111111</v>
      </c>
      <c r="I85" s="111">
        <f t="shared" si="259"/>
        <v>182704677.40000001</v>
      </c>
      <c r="J85" s="111">
        <f t="shared" si="259"/>
        <v>263620127.65555555</v>
      </c>
      <c r="K85" s="111">
        <f t="shared" si="259"/>
        <v>182565377.59999999</v>
      </c>
      <c r="L85" s="111">
        <f t="shared" si="259"/>
        <v>394623909.13333338</v>
      </c>
      <c r="M85" s="111">
        <f t="shared" si="259"/>
        <v>172360082.19999999</v>
      </c>
      <c r="N85" s="111">
        <f t="shared" si="259"/>
        <v>283408094.13333333</v>
      </c>
      <c r="O85" s="112">
        <f t="shared" si="249"/>
        <v>3659835122.0619044</v>
      </c>
      <c r="P85" s="86"/>
      <c r="W85" s="111">
        <f>W83+W84</f>
        <v>278196718</v>
      </c>
      <c r="X85" s="111">
        <f t="shared" ref="X85:AH85" si="260">X83+X84</f>
        <v>187287090</v>
      </c>
      <c r="Y85" s="111">
        <f t="shared" si="260"/>
        <v>875321202.73846149</v>
      </c>
      <c r="Z85" s="111">
        <f t="shared" si="260"/>
        <v>357515466.79999995</v>
      </c>
      <c r="AA85" s="111">
        <f t="shared" si="260"/>
        <v>144096173.60000002</v>
      </c>
      <c r="AB85" s="111">
        <f t="shared" si="260"/>
        <v>322559109.60000002</v>
      </c>
      <c r="AC85" s="111">
        <f t="shared" si="260"/>
        <v>209501360.39999998</v>
      </c>
      <c r="AD85" s="111">
        <f t="shared" si="260"/>
        <v>312983486.39999998</v>
      </c>
      <c r="AE85" s="111">
        <f t="shared" si="260"/>
        <v>203637637.59999999</v>
      </c>
      <c r="AF85" s="111">
        <f t="shared" si="260"/>
        <v>413749625.60000002</v>
      </c>
      <c r="AG85" s="111">
        <f t="shared" si="260"/>
        <v>190976568.80000001</v>
      </c>
      <c r="AH85" s="111">
        <f t="shared" si="260"/>
        <v>313389510.39999998</v>
      </c>
      <c r="AI85" s="112">
        <f t="shared" si="247"/>
        <v>3809213949.9384618</v>
      </c>
      <c r="AJ85" s="86"/>
    </row>
    <row r="86" spans="1:37">
      <c r="C86" s="180"/>
      <c r="D86" s="180"/>
      <c r="E86" s="180"/>
      <c r="F86" s="180"/>
      <c r="G86" s="180"/>
      <c r="H86" s="39"/>
      <c r="I86" s="39"/>
      <c r="J86" s="39"/>
      <c r="K86" s="39"/>
      <c r="L86" s="39"/>
      <c r="M86" s="39"/>
      <c r="N86" s="39"/>
      <c r="O86" s="58"/>
      <c r="P86" s="86"/>
      <c r="AI86" s="58"/>
      <c r="AJ86" s="86"/>
    </row>
    <row r="87" spans="1:37">
      <c r="C87" s="31"/>
      <c r="D87" s="31"/>
      <c r="E87" s="31"/>
      <c r="F87" s="31"/>
      <c r="G87" s="31"/>
      <c r="H87" s="73"/>
      <c r="I87" s="73"/>
      <c r="J87" s="73"/>
      <c r="K87" s="73"/>
      <c r="L87" s="73"/>
      <c r="M87" s="73"/>
      <c r="N87" s="73"/>
      <c r="O87" s="58"/>
    </row>
    <row r="88" spans="1:37"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58"/>
    </row>
    <row r="89" spans="1:37">
      <c r="A89" t="s">
        <v>124</v>
      </c>
      <c r="B89" t="s">
        <v>123</v>
      </c>
      <c r="C89" s="39">
        <f t="shared" ref="C89:N89" si="261">C7+C13+C19+C25</f>
        <v>7</v>
      </c>
      <c r="D89" s="39">
        <f t="shared" si="261"/>
        <v>7</v>
      </c>
      <c r="E89" s="39">
        <f t="shared" si="261"/>
        <v>11</v>
      </c>
      <c r="F89" s="39">
        <f t="shared" si="261"/>
        <v>11</v>
      </c>
      <c r="G89" s="39">
        <f t="shared" si="261"/>
        <v>9</v>
      </c>
      <c r="H89" s="39">
        <f t="shared" si="261"/>
        <v>11</v>
      </c>
      <c r="I89" s="39">
        <f t="shared" si="261"/>
        <v>11</v>
      </c>
      <c r="J89" s="39">
        <f t="shared" si="261"/>
        <v>8</v>
      </c>
      <c r="K89" s="39">
        <f t="shared" si="261"/>
        <v>10</v>
      </c>
      <c r="L89" s="39">
        <f t="shared" si="261"/>
        <v>13</v>
      </c>
      <c r="M89" s="39">
        <f t="shared" si="261"/>
        <v>10</v>
      </c>
      <c r="N89" s="39">
        <f t="shared" si="261"/>
        <v>9</v>
      </c>
      <c r="O89" s="110">
        <f t="shared" ref="O89:O92" si="262">SUM(C89:N89)</f>
        <v>117</v>
      </c>
      <c r="U89" t="s">
        <v>124</v>
      </c>
      <c r="V89" t="s">
        <v>123</v>
      </c>
      <c r="W89" s="39">
        <f t="shared" ref="W89:AH89" si="263">W7+W13+W19</f>
        <v>14</v>
      </c>
      <c r="X89" s="39">
        <f t="shared" si="263"/>
        <v>11</v>
      </c>
      <c r="Y89" s="39">
        <f t="shared" si="263"/>
        <v>6</v>
      </c>
      <c r="Z89" s="39">
        <f t="shared" si="263"/>
        <v>8</v>
      </c>
      <c r="AA89" s="39">
        <f t="shared" si="263"/>
        <v>7</v>
      </c>
      <c r="AB89" s="39">
        <f t="shared" si="263"/>
        <v>7</v>
      </c>
      <c r="AC89" s="39">
        <f t="shared" si="263"/>
        <v>11</v>
      </c>
      <c r="AD89" s="39">
        <f t="shared" si="263"/>
        <v>14</v>
      </c>
      <c r="AE89" s="39">
        <f t="shared" si="263"/>
        <v>11</v>
      </c>
      <c r="AF89" s="39">
        <f t="shared" si="263"/>
        <v>12</v>
      </c>
      <c r="AG89" s="39">
        <f t="shared" si="263"/>
        <v>8</v>
      </c>
      <c r="AH89" s="39">
        <f t="shared" si="263"/>
        <v>11</v>
      </c>
      <c r="AI89" s="110">
        <f t="shared" ref="AI89:AI92" si="264">SUM(W89:AH89)</f>
        <v>120</v>
      </c>
    </row>
    <row r="90" spans="1:37">
      <c r="B90" t="s">
        <v>64</v>
      </c>
      <c r="C90" s="39">
        <f t="shared" ref="C90:N90" si="265">C8+C14+C20+C26</f>
        <v>178208</v>
      </c>
      <c r="D90" s="39">
        <f t="shared" si="265"/>
        <v>95130</v>
      </c>
      <c r="E90" s="39">
        <f t="shared" si="265"/>
        <v>195082</v>
      </c>
      <c r="F90" s="39">
        <f t="shared" si="265"/>
        <v>260667.28571428571</v>
      </c>
      <c r="G90" s="39">
        <f t="shared" si="265"/>
        <v>61990.5</v>
      </c>
      <c r="H90" s="39">
        <f t="shared" si="265"/>
        <v>225244.44444444444</v>
      </c>
      <c r="I90" s="39">
        <f t="shared" si="265"/>
        <v>88988.25</v>
      </c>
      <c r="J90" s="39">
        <f t="shared" si="265"/>
        <v>163603.22222222222</v>
      </c>
      <c r="K90" s="39">
        <f t="shared" si="265"/>
        <v>79456</v>
      </c>
      <c r="L90" s="39">
        <f t="shared" si="265"/>
        <v>267885.33333333331</v>
      </c>
      <c r="M90" s="39">
        <f t="shared" si="265"/>
        <v>71522.75</v>
      </c>
      <c r="N90" s="39">
        <f t="shared" si="265"/>
        <v>184923.66666666669</v>
      </c>
      <c r="O90" s="110">
        <f t="shared" si="262"/>
        <v>1872701.4523809524</v>
      </c>
      <c r="V90" t="s">
        <v>64</v>
      </c>
      <c r="W90" s="39">
        <f t="shared" ref="W90:AH90" si="266">W8+W14+W20</f>
        <v>182605</v>
      </c>
      <c r="X90" s="39">
        <f t="shared" si="266"/>
        <v>95130</v>
      </c>
      <c r="Y90" s="39">
        <f t="shared" si="266"/>
        <v>195082</v>
      </c>
      <c r="Z90" s="39">
        <f t="shared" si="266"/>
        <v>260668</v>
      </c>
      <c r="AA90" s="39">
        <f t="shared" si="266"/>
        <v>61991</v>
      </c>
      <c r="AB90" s="39">
        <f t="shared" si="266"/>
        <v>225246</v>
      </c>
      <c r="AC90" s="39">
        <f t="shared" si="266"/>
        <v>88989</v>
      </c>
      <c r="AD90" s="39">
        <f t="shared" si="266"/>
        <v>163604</v>
      </c>
      <c r="AE90" s="39">
        <f t="shared" si="266"/>
        <v>79456</v>
      </c>
      <c r="AF90" s="39">
        <f t="shared" si="266"/>
        <v>267886</v>
      </c>
      <c r="AG90" s="39">
        <f t="shared" si="266"/>
        <v>71523</v>
      </c>
      <c r="AH90" s="39">
        <f t="shared" si="266"/>
        <v>184924</v>
      </c>
      <c r="AI90" s="110">
        <f t="shared" si="264"/>
        <v>1877104</v>
      </c>
    </row>
    <row r="91" spans="1:37">
      <c r="A91" t="s">
        <v>125</v>
      </c>
      <c r="B91" t="s">
        <v>123</v>
      </c>
      <c r="C91" s="31">
        <f t="shared" ref="C91:N91" si="267">C34+C40+C46+C52+C58+C64</f>
        <v>25</v>
      </c>
      <c r="D91" s="31">
        <f t="shared" si="267"/>
        <v>30</v>
      </c>
      <c r="E91" s="31">
        <f t="shared" si="267"/>
        <v>148</v>
      </c>
      <c r="F91" s="31">
        <f t="shared" si="267"/>
        <v>28</v>
      </c>
      <c r="G91" s="31">
        <f t="shared" si="267"/>
        <v>25</v>
      </c>
      <c r="H91" s="31">
        <f t="shared" si="267"/>
        <v>26</v>
      </c>
      <c r="I91" s="31">
        <f t="shared" si="267"/>
        <v>24</v>
      </c>
      <c r="J91" s="31">
        <f t="shared" si="267"/>
        <v>26</v>
      </c>
      <c r="K91" s="31">
        <f t="shared" si="267"/>
        <v>27</v>
      </c>
      <c r="L91" s="31">
        <f t="shared" si="267"/>
        <v>30</v>
      </c>
      <c r="M91" s="31">
        <f t="shared" si="267"/>
        <v>27</v>
      </c>
      <c r="N91" s="31">
        <f t="shared" si="267"/>
        <v>23</v>
      </c>
      <c r="O91" s="110">
        <f t="shared" si="262"/>
        <v>439</v>
      </c>
      <c r="U91" t="s">
        <v>125</v>
      </c>
      <c r="V91" t="s">
        <v>123</v>
      </c>
      <c r="W91" s="31">
        <f t="shared" ref="W91:AH91" si="268">W34+W40+W46+W52+W58+W64</f>
        <v>24</v>
      </c>
      <c r="X91" s="31">
        <f t="shared" si="268"/>
        <v>26</v>
      </c>
      <c r="Y91" s="31">
        <f t="shared" si="268"/>
        <v>171</v>
      </c>
      <c r="Z91" s="31">
        <f t="shared" si="268"/>
        <v>28</v>
      </c>
      <c r="AA91" s="31">
        <f t="shared" si="268"/>
        <v>29</v>
      </c>
      <c r="AB91" s="31">
        <f t="shared" si="268"/>
        <v>26</v>
      </c>
      <c r="AC91" s="31">
        <f t="shared" si="268"/>
        <v>41</v>
      </c>
      <c r="AD91" s="31">
        <f t="shared" si="268"/>
        <v>46</v>
      </c>
      <c r="AE91" s="31">
        <f t="shared" si="268"/>
        <v>41</v>
      </c>
      <c r="AF91" s="31">
        <f t="shared" si="268"/>
        <v>45</v>
      </c>
      <c r="AG91" s="31">
        <f t="shared" si="268"/>
        <v>44</v>
      </c>
      <c r="AH91" s="31">
        <f t="shared" si="268"/>
        <v>39</v>
      </c>
      <c r="AI91" s="110">
        <f t="shared" si="264"/>
        <v>560</v>
      </c>
    </row>
    <row r="92" spans="1:37">
      <c r="B92" t="s">
        <v>64</v>
      </c>
      <c r="C92" s="31">
        <f t="shared" ref="C92:N92" si="269">C35+C41+C47+C53+C59+C65</f>
        <v>85565</v>
      </c>
      <c r="D92" s="31">
        <f t="shared" si="269"/>
        <v>108260</v>
      </c>
      <c r="E92" s="31">
        <f t="shared" si="269"/>
        <v>1145446</v>
      </c>
      <c r="F92" s="31">
        <f t="shared" si="269"/>
        <v>91767.2</v>
      </c>
      <c r="G92" s="31">
        <f t="shared" si="269"/>
        <v>91385.700000000012</v>
      </c>
      <c r="H92" s="31">
        <f t="shared" si="269"/>
        <v>106259</v>
      </c>
      <c r="I92" s="31">
        <f t="shared" si="269"/>
        <v>81605.100000000006</v>
      </c>
      <c r="J92" s="31">
        <f t="shared" si="269"/>
        <v>95236.25</v>
      </c>
      <c r="K92" s="31">
        <f t="shared" si="269"/>
        <v>105904</v>
      </c>
      <c r="L92" s="31">
        <f t="shared" si="269"/>
        <v>98202.299999999988</v>
      </c>
      <c r="M92" s="31">
        <f t="shared" si="269"/>
        <v>101415.9</v>
      </c>
      <c r="N92" s="31">
        <f t="shared" si="269"/>
        <v>89994.133333333331</v>
      </c>
      <c r="O92" s="110">
        <f t="shared" si="262"/>
        <v>2201040.5833333335</v>
      </c>
      <c r="V92" t="s">
        <v>64</v>
      </c>
      <c r="W92" s="31">
        <f t="shared" ref="W92:AH92" si="270">W35+W41+W47+W53+W59+W65</f>
        <v>45655</v>
      </c>
      <c r="X92" s="31">
        <f t="shared" si="270"/>
        <v>68931</v>
      </c>
      <c r="Y92" s="31">
        <f t="shared" si="270"/>
        <v>1198114.2307692308</v>
      </c>
      <c r="Z92" s="31">
        <f t="shared" si="270"/>
        <v>57619</v>
      </c>
      <c r="AA92" s="31">
        <f t="shared" si="270"/>
        <v>64864</v>
      </c>
      <c r="AB92" s="31">
        <f t="shared" si="270"/>
        <v>80548</v>
      </c>
      <c r="AC92" s="31">
        <f t="shared" si="270"/>
        <v>96279</v>
      </c>
      <c r="AD92" s="31">
        <f t="shared" si="270"/>
        <v>121720</v>
      </c>
      <c r="AE92" s="31">
        <f t="shared" si="270"/>
        <v>108564</v>
      </c>
      <c r="AF92" s="31">
        <f t="shared" si="270"/>
        <v>105344</v>
      </c>
      <c r="AG92" s="31">
        <f t="shared" si="270"/>
        <v>106846</v>
      </c>
      <c r="AH92" s="31">
        <f t="shared" si="270"/>
        <v>103606</v>
      </c>
      <c r="AI92" s="110">
        <f t="shared" si="264"/>
        <v>2158090.230769231</v>
      </c>
    </row>
    <row r="95" spans="1:37">
      <c r="A95" t="s">
        <v>124</v>
      </c>
      <c r="B95" t="s">
        <v>143</v>
      </c>
      <c r="C95" s="31">
        <f t="shared" ref="C95:N95" si="271">C9+C15+C21+C27</f>
        <v>14</v>
      </c>
      <c r="D95" s="31">
        <f t="shared" si="271"/>
        <v>14</v>
      </c>
      <c r="E95" s="31">
        <f t="shared" si="271"/>
        <v>22</v>
      </c>
      <c r="F95" s="31">
        <f t="shared" si="271"/>
        <v>22</v>
      </c>
      <c r="G95" s="31">
        <f t="shared" si="271"/>
        <v>18</v>
      </c>
      <c r="H95" s="31">
        <f t="shared" si="271"/>
        <v>22</v>
      </c>
      <c r="I95" s="31">
        <f t="shared" si="271"/>
        <v>22</v>
      </c>
      <c r="J95" s="31">
        <f t="shared" si="271"/>
        <v>16</v>
      </c>
      <c r="K95" s="31">
        <f t="shared" si="271"/>
        <v>20</v>
      </c>
      <c r="L95" s="31">
        <f t="shared" si="271"/>
        <v>26</v>
      </c>
      <c r="M95" s="31">
        <f t="shared" si="271"/>
        <v>20</v>
      </c>
      <c r="N95" s="31">
        <f t="shared" si="271"/>
        <v>18</v>
      </c>
      <c r="O95" s="58">
        <f>SUM(C95:N95)</f>
        <v>234</v>
      </c>
      <c r="U95" t="s">
        <v>124</v>
      </c>
      <c r="W95" s="31">
        <f t="shared" ref="W95:AH95" si="272">W9+W15+W21</f>
        <v>28</v>
      </c>
      <c r="X95" s="31">
        <f t="shared" si="272"/>
        <v>22</v>
      </c>
      <c r="Y95" s="31">
        <f t="shared" si="272"/>
        <v>12</v>
      </c>
      <c r="Z95" s="31">
        <f t="shared" si="272"/>
        <v>16</v>
      </c>
      <c r="AA95" s="31">
        <f t="shared" si="272"/>
        <v>14</v>
      </c>
      <c r="AB95" s="31">
        <f t="shared" si="272"/>
        <v>14</v>
      </c>
      <c r="AC95" s="31">
        <f t="shared" si="272"/>
        <v>22</v>
      </c>
      <c r="AD95" s="31">
        <f t="shared" si="272"/>
        <v>28</v>
      </c>
      <c r="AE95" s="31">
        <f t="shared" si="272"/>
        <v>22</v>
      </c>
      <c r="AF95" s="31">
        <f t="shared" si="272"/>
        <v>24</v>
      </c>
      <c r="AG95" s="31">
        <f t="shared" si="272"/>
        <v>16</v>
      </c>
      <c r="AH95" s="31">
        <f t="shared" si="272"/>
        <v>22</v>
      </c>
      <c r="AI95" s="58">
        <f>SUM(W95:AH95)</f>
        <v>240</v>
      </c>
    </row>
    <row r="96" spans="1:37">
      <c r="B96" t="s">
        <v>144</v>
      </c>
      <c r="C96" s="31">
        <f t="shared" ref="C96:N96" si="273">C10+C16+C22+C28</f>
        <v>356416</v>
      </c>
      <c r="D96" s="31">
        <f t="shared" si="273"/>
        <v>190260</v>
      </c>
      <c r="E96" s="31">
        <f t="shared" si="273"/>
        <v>390164</v>
      </c>
      <c r="F96" s="31">
        <f t="shared" si="273"/>
        <v>521334.57142857142</v>
      </c>
      <c r="G96" s="31">
        <f t="shared" si="273"/>
        <v>123981</v>
      </c>
      <c r="H96" s="31">
        <f t="shared" si="273"/>
        <v>450488.88888888888</v>
      </c>
      <c r="I96" s="31">
        <f t="shared" si="273"/>
        <v>177976.5</v>
      </c>
      <c r="J96" s="31">
        <f t="shared" si="273"/>
        <v>327206.44444444444</v>
      </c>
      <c r="K96" s="31">
        <f t="shared" si="273"/>
        <v>158912</v>
      </c>
      <c r="L96" s="31">
        <f t="shared" si="273"/>
        <v>535770.66666666663</v>
      </c>
      <c r="M96" s="31">
        <f t="shared" si="273"/>
        <v>143045.5</v>
      </c>
      <c r="N96" s="31">
        <f t="shared" si="273"/>
        <v>369847.33333333337</v>
      </c>
      <c r="O96" s="58">
        <f t="shared" ref="O96:O101" si="274">SUM(C96:N96)</f>
        <v>3745402.9047619049</v>
      </c>
      <c r="W96" s="31">
        <f t="shared" ref="W96:AH96" si="275">W10+W16+W22</f>
        <v>365210</v>
      </c>
      <c r="X96" s="31">
        <f t="shared" si="275"/>
        <v>190260</v>
      </c>
      <c r="Y96" s="31">
        <f t="shared" si="275"/>
        <v>390164</v>
      </c>
      <c r="Z96" s="31">
        <f t="shared" si="275"/>
        <v>521336</v>
      </c>
      <c r="AA96" s="31">
        <f t="shared" si="275"/>
        <v>123982</v>
      </c>
      <c r="AB96" s="31">
        <f t="shared" si="275"/>
        <v>450492</v>
      </c>
      <c r="AC96" s="31">
        <f t="shared" si="275"/>
        <v>177978</v>
      </c>
      <c r="AD96" s="31">
        <f t="shared" si="275"/>
        <v>327208</v>
      </c>
      <c r="AE96" s="31">
        <f t="shared" si="275"/>
        <v>158912</v>
      </c>
      <c r="AF96" s="31">
        <f t="shared" si="275"/>
        <v>535772</v>
      </c>
      <c r="AG96" s="31">
        <f t="shared" si="275"/>
        <v>143046</v>
      </c>
      <c r="AH96" s="31">
        <f t="shared" si="275"/>
        <v>369848</v>
      </c>
      <c r="AI96" s="58">
        <f t="shared" ref="AI96:AI100" si="276">SUM(W96:AH96)</f>
        <v>3754208</v>
      </c>
    </row>
    <row r="97" spans="1:35">
      <c r="A97" t="s">
        <v>125</v>
      </c>
      <c r="B97" t="s">
        <v>143</v>
      </c>
      <c r="C97" s="31">
        <f t="shared" ref="C97:N97" si="277">C36+C42+C48+C54+C60+C66</f>
        <v>50</v>
      </c>
      <c r="D97" s="31">
        <f t="shared" si="277"/>
        <v>60</v>
      </c>
      <c r="E97" s="31">
        <f t="shared" si="277"/>
        <v>296</v>
      </c>
      <c r="F97" s="31">
        <f t="shared" si="277"/>
        <v>56</v>
      </c>
      <c r="G97" s="31">
        <f t="shared" si="277"/>
        <v>50</v>
      </c>
      <c r="H97" s="31">
        <f t="shared" si="277"/>
        <v>52</v>
      </c>
      <c r="I97" s="31">
        <f t="shared" si="277"/>
        <v>48</v>
      </c>
      <c r="J97" s="31">
        <f t="shared" si="277"/>
        <v>52</v>
      </c>
      <c r="K97" s="31">
        <f t="shared" si="277"/>
        <v>54</v>
      </c>
      <c r="L97" s="31">
        <f t="shared" si="277"/>
        <v>60</v>
      </c>
      <c r="M97" s="31">
        <f t="shared" si="277"/>
        <v>54</v>
      </c>
      <c r="N97" s="31">
        <f t="shared" si="277"/>
        <v>46</v>
      </c>
      <c r="O97" s="58">
        <f t="shared" si="274"/>
        <v>878</v>
      </c>
      <c r="U97" t="s">
        <v>125</v>
      </c>
      <c r="W97" s="31">
        <f t="shared" ref="W97:AH97" si="278">W36+W42+W48+W54+W60+W66</f>
        <v>48</v>
      </c>
      <c r="X97" s="31">
        <f t="shared" si="278"/>
        <v>52</v>
      </c>
      <c r="Y97" s="31">
        <f t="shared" si="278"/>
        <v>342</v>
      </c>
      <c r="Z97" s="31">
        <f t="shared" si="278"/>
        <v>56</v>
      </c>
      <c r="AA97" s="31">
        <f t="shared" si="278"/>
        <v>58</v>
      </c>
      <c r="AB97" s="31">
        <f t="shared" si="278"/>
        <v>52</v>
      </c>
      <c r="AC97" s="31">
        <f t="shared" si="278"/>
        <v>82</v>
      </c>
      <c r="AD97" s="31">
        <f t="shared" si="278"/>
        <v>92</v>
      </c>
      <c r="AE97" s="31">
        <f t="shared" si="278"/>
        <v>82</v>
      </c>
      <c r="AF97" s="31">
        <f t="shared" si="278"/>
        <v>90</v>
      </c>
      <c r="AG97" s="31">
        <f t="shared" si="278"/>
        <v>88</v>
      </c>
      <c r="AH97" s="31">
        <f t="shared" si="278"/>
        <v>78</v>
      </c>
      <c r="AI97" s="58">
        <f t="shared" si="276"/>
        <v>1120</v>
      </c>
    </row>
    <row r="98" spans="1:35">
      <c r="B98" t="s">
        <v>144</v>
      </c>
      <c r="C98" s="31">
        <f t="shared" ref="C98:N98" si="279">C37+C43+C49+C55+C61+C67</f>
        <v>171130</v>
      </c>
      <c r="D98" s="31">
        <f t="shared" si="279"/>
        <v>216520</v>
      </c>
      <c r="E98" s="31">
        <f t="shared" si="279"/>
        <v>2290892</v>
      </c>
      <c r="F98" s="31">
        <f t="shared" si="279"/>
        <v>183534.4</v>
      </c>
      <c r="G98" s="31">
        <f t="shared" si="279"/>
        <v>182771.40000000002</v>
      </c>
      <c r="H98" s="31">
        <f t="shared" si="279"/>
        <v>212518</v>
      </c>
      <c r="I98" s="31">
        <f t="shared" si="279"/>
        <v>163210.20000000001</v>
      </c>
      <c r="J98" s="31">
        <f t="shared" si="279"/>
        <v>190472.5</v>
      </c>
      <c r="K98" s="31">
        <f t="shared" si="279"/>
        <v>211808</v>
      </c>
      <c r="L98" s="31">
        <f t="shared" si="279"/>
        <v>196404.59999999998</v>
      </c>
      <c r="M98" s="31">
        <f t="shared" si="279"/>
        <v>202831.8</v>
      </c>
      <c r="N98" s="31">
        <f t="shared" si="279"/>
        <v>179988.26666666666</v>
      </c>
      <c r="O98" s="58">
        <f t="shared" si="274"/>
        <v>4402081.166666667</v>
      </c>
      <c r="W98" s="31">
        <f t="shared" ref="W98:AH98" si="280">W37+W43+W49+W55+W61+W67</f>
        <v>91310</v>
      </c>
      <c r="X98" s="31">
        <f t="shared" si="280"/>
        <v>137862</v>
      </c>
      <c r="Y98" s="31">
        <f t="shared" si="280"/>
        <v>2396228.4615384615</v>
      </c>
      <c r="Z98" s="31">
        <f t="shared" si="280"/>
        <v>115238</v>
      </c>
      <c r="AA98" s="31">
        <f t="shared" si="280"/>
        <v>129728</v>
      </c>
      <c r="AB98" s="31">
        <f t="shared" si="280"/>
        <v>161096</v>
      </c>
      <c r="AC98" s="31">
        <f t="shared" si="280"/>
        <v>192558</v>
      </c>
      <c r="AD98" s="31">
        <f t="shared" si="280"/>
        <v>243440</v>
      </c>
      <c r="AE98" s="31">
        <f t="shared" si="280"/>
        <v>217128</v>
      </c>
      <c r="AF98" s="31">
        <f t="shared" si="280"/>
        <v>210688</v>
      </c>
      <c r="AG98" s="31">
        <f t="shared" si="280"/>
        <v>213692</v>
      </c>
      <c r="AH98" s="31">
        <f t="shared" si="280"/>
        <v>207212</v>
      </c>
      <c r="AI98" s="58">
        <f t="shared" si="276"/>
        <v>4316180.461538462</v>
      </c>
    </row>
    <row r="99" spans="1:35">
      <c r="C99" s="31">
        <f>C95+C97</f>
        <v>64</v>
      </c>
      <c r="D99" s="31">
        <f t="shared" ref="D99:N99" si="281">D95+D97</f>
        <v>74</v>
      </c>
      <c r="E99" s="31">
        <f t="shared" si="281"/>
        <v>318</v>
      </c>
      <c r="F99" s="31">
        <f t="shared" si="281"/>
        <v>78</v>
      </c>
      <c r="G99" s="31">
        <f t="shared" si="281"/>
        <v>68</v>
      </c>
      <c r="H99" s="31">
        <f t="shared" si="281"/>
        <v>74</v>
      </c>
      <c r="I99" s="31">
        <f t="shared" si="281"/>
        <v>70</v>
      </c>
      <c r="J99" s="31">
        <f t="shared" si="281"/>
        <v>68</v>
      </c>
      <c r="K99" s="31">
        <f t="shared" si="281"/>
        <v>74</v>
      </c>
      <c r="L99" s="31">
        <f t="shared" si="281"/>
        <v>86</v>
      </c>
      <c r="M99" s="31">
        <f t="shared" si="281"/>
        <v>74</v>
      </c>
      <c r="N99" s="31">
        <f t="shared" si="281"/>
        <v>64</v>
      </c>
      <c r="O99" s="58">
        <f t="shared" si="274"/>
        <v>1112</v>
      </c>
      <c r="W99" s="31">
        <f>W95+W97</f>
        <v>76</v>
      </c>
      <c r="X99" s="31">
        <f t="shared" ref="X99:AH99" si="282">X95+X97</f>
        <v>74</v>
      </c>
      <c r="Y99" s="31">
        <f t="shared" si="282"/>
        <v>354</v>
      </c>
      <c r="Z99" s="31">
        <f t="shared" si="282"/>
        <v>72</v>
      </c>
      <c r="AA99" s="31">
        <f t="shared" si="282"/>
        <v>72</v>
      </c>
      <c r="AB99" s="31">
        <f t="shared" si="282"/>
        <v>66</v>
      </c>
      <c r="AC99" s="31">
        <f t="shared" si="282"/>
        <v>104</v>
      </c>
      <c r="AD99" s="31">
        <f t="shared" si="282"/>
        <v>120</v>
      </c>
      <c r="AE99" s="31">
        <f t="shared" si="282"/>
        <v>104</v>
      </c>
      <c r="AF99" s="31">
        <f t="shared" si="282"/>
        <v>114</v>
      </c>
      <c r="AG99" s="31">
        <f t="shared" si="282"/>
        <v>104</v>
      </c>
      <c r="AH99" s="31">
        <f t="shared" si="282"/>
        <v>100</v>
      </c>
      <c r="AI99" s="58">
        <f t="shared" si="276"/>
        <v>1360</v>
      </c>
    </row>
    <row r="100" spans="1:35">
      <c r="C100" s="31">
        <f>C96+C98</f>
        <v>527546</v>
      </c>
      <c r="D100" s="31">
        <f t="shared" ref="D100:N100" si="283">D96+D98</f>
        <v>406780</v>
      </c>
      <c r="E100" s="31">
        <f t="shared" si="283"/>
        <v>2681056</v>
      </c>
      <c r="F100" s="31">
        <f t="shared" si="283"/>
        <v>704868.97142857139</v>
      </c>
      <c r="G100" s="31">
        <f t="shared" si="283"/>
        <v>306752.40000000002</v>
      </c>
      <c r="H100" s="31">
        <f t="shared" si="283"/>
        <v>663006.88888888888</v>
      </c>
      <c r="I100" s="31">
        <f t="shared" si="283"/>
        <v>341186.7</v>
      </c>
      <c r="J100" s="31">
        <f t="shared" si="283"/>
        <v>517678.94444444444</v>
      </c>
      <c r="K100" s="31">
        <f t="shared" si="283"/>
        <v>370720</v>
      </c>
      <c r="L100" s="31">
        <f t="shared" si="283"/>
        <v>732175.2666666666</v>
      </c>
      <c r="M100" s="31">
        <f t="shared" si="283"/>
        <v>345877.3</v>
      </c>
      <c r="N100" s="31">
        <f t="shared" si="283"/>
        <v>549835.60000000009</v>
      </c>
      <c r="O100" s="58">
        <f t="shared" si="274"/>
        <v>8147484.0714285709</v>
      </c>
      <c r="W100" s="31">
        <f>W96+W98</f>
        <v>456520</v>
      </c>
      <c r="X100" s="31">
        <f t="shared" ref="X100:AH100" si="284">X96+X98</f>
        <v>328122</v>
      </c>
      <c r="Y100" s="31">
        <f t="shared" si="284"/>
        <v>2786392.4615384615</v>
      </c>
      <c r="Z100" s="31">
        <f t="shared" si="284"/>
        <v>636574</v>
      </c>
      <c r="AA100" s="31">
        <f t="shared" si="284"/>
        <v>253710</v>
      </c>
      <c r="AB100" s="31">
        <f t="shared" si="284"/>
        <v>611588</v>
      </c>
      <c r="AC100" s="31">
        <f t="shared" si="284"/>
        <v>370536</v>
      </c>
      <c r="AD100" s="31">
        <f t="shared" si="284"/>
        <v>570648</v>
      </c>
      <c r="AE100" s="31">
        <f t="shared" si="284"/>
        <v>376040</v>
      </c>
      <c r="AF100" s="31">
        <f t="shared" si="284"/>
        <v>746460</v>
      </c>
      <c r="AG100" s="31">
        <f t="shared" si="284"/>
        <v>356738</v>
      </c>
      <c r="AH100" s="31">
        <f t="shared" si="284"/>
        <v>577060</v>
      </c>
      <c r="AI100" s="58">
        <f t="shared" si="276"/>
        <v>8070388.461538462</v>
      </c>
    </row>
    <row r="101" spans="1:35">
      <c r="O101" s="58">
        <f t="shared" si="274"/>
        <v>0</v>
      </c>
    </row>
  </sheetData>
  <mergeCells count="2">
    <mergeCell ref="B5:N5"/>
    <mergeCell ref="V5:AH5"/>
  </mergeCells>
  <pageMargins left="0.7" right="0.7" top="0.75" bottom="0.75" header="0.3" footer="0.3"/>
  <pageSetup paperSize="9" orientation="portrait" r:id="rId1"/>
  <customProperties>
    <customPr name="FPMExcelClientCellBasedFunctionStatus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Q214"/>
  <sheetViews>
    <sheetView topLeftCell="C174" zoomScale="80" zoomScaleNormal="80" workbookViewId="0">
      <selection activeCell="Q193" sqref="Q193"/>
    </sheetView>
  </sheetViews>
  <sheetFormatPr defaultRowHeight="14.4"/>
  <cols>
    <col min="1" max="1" width="20.33203125" bestFit="1" customWidth="1"/>
    <col min="2" max="2" width="27.44140625" customWidth="1"/>
    <col min="3" max="3" width="12.33203125" bestFit="1" customWidth="1"/>
    <col min="4" max="4" width="18.44140625" customWidth="1"/>
    <col min="5" max="7" width="14.88671875" bestFit="1" customWidth="1"/>
    <col min="8" max="8" width="15.109375" bestFit="1" customWidth="1"/>
    <col min="9" max="9" width="20.109375" bestFit="1" customWidth="1"/>
    <col min="10" max="10" width="18.109375" bestFit="1" customWidth="1"/>
    <col min="11" max="16" width="14.88671875" bestFit="1" customWidth="1"/>
    <col min="17" max="17" width="15.88671875" bestFit="1" customWidth="1"/>
    <col min="18" max="18" width="16" customWidth="1"/>
    <col min="19" max="19" width="13.5546875" style="39" bestFit="1" customWidth="1"/>
    <col min="20" max="21" width="10.88671875" customWidth="1"/>
    <col min="22" max="22" width="16" customWidth="1"/>
    <col min="23" max="23" width="11.44140625" customWidth="1"/>
    <col min="24" max="24" width="16.5546875" customWidth="1"/>
    <col min="25" max="25" width="8.88671875" customWidth="1"/>
    <col min="26" max="26" width="13.5546875" customWidth="1"/>
    <col min="27" max="27" width="13.88671875" customWidth="1"/>
    <col min="28" max="30" width="15.109375" customWidth="1"/>
    <col min="31" max="32" width="15.88671875" bestFit="1" customWidth="1"/>
    <col min="33" max="39" width="15.109375" customWidth="1"/>
    <col min="40" max="40" width="16.33203125" customWidth="1"/>
    <col min="41" max="41" width="14.88671875" style="39" customWidth="1"/>
    <col min="42" max="42" width="13" customWidth="1"/>
  </cols>
  <sheetData>
    <row r="1" spans="1:40">
      <c r="I1" s="39">
        <f>USULAN!H23</f>
        <v>21797647173.142517</v>
      </c>
      <c r="L1" s="26"/>
    </row>
    <row r="2" spans="1:40">
      <c r="C2" t="s">
        <v>36</v>
      </c>
      <c r="E2">
        <f>'PANDU IKPP'!C1</f>
        <v>16900</v>
      </c>
      <c r="G2" t="s">
        <v>65</v>
      </c>
      <c r="I2" s="73">
        <v>21797589609</v>
      </c>
      <c r="AB2" t="str">
        <f>'PANDU IKPP'!Z1</f>
        <v>Tarif LN</v>
      </c>
      <c r="AD2" t="s">
        <v>65</v>
      </c>
      <c r="AF2" s="39">
        <f>USULAN!J23</f>
        <v>22451533501.655941</v>
      </c>
    </row>
    <row r="3" spans="1:40">
      <c r="E3" t="s">
        <v>37</v>
      </c>
      <c r="G3" s="148">
        <v>4.8433000000000002</v>
      </c>
      <c r="I3" s="73">
        <f>I1-I2</f>
        <v>57564.142517089844</v>
      </c>
      <c r="J3" s="39"/>
      <c r="K3" s="147"/>
      <c r="AB3" t="s">
        <v>37</v>
      </c>
      <c r="AD3" s="220">
        <v>4.5763410000000002</v>
      </c>
      <c r="AE3" s="107"/>
      <c r="AF3" s="31">
        <v>22451517297</v>
      </c>
      <c r="AG3" s="39"/>
    </row>
    <row r="4" spans="1:40">
      <c r="AF4" s="31">
        <f>AF2-AF3</f>
        <v>16204.655941009521</v>
      </c>
    </row>
    <row r="5" spans="1:40">
      <c r="C5" s="333" t="s">
        <v>151</v>
      </c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Z5" s="333" t="s">
        <v>107</v>
      </c>
      <c r="AA5" s="333"/>
      <c r="AB5" s="333"/>
      <c r="AC5" s="333"/>
      <c r="AD5" s="333"/>
      <c r="AE5" s="333"/>
      <c r="AF5" s="333"/>
      <c r="AG5" s="333"/>
      <c r="AH5" s="333"/>
      <c r="AI5" s="333"/>
      <c r="AJ5" s="333"/>
      <c r="AK5" s="333"/>
      <c r="AL5" s="333"/>
      <c r="AM5" s="333"/>
    </row>
    <row r="6" spans="1:40"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P6" t="s">
        <v>49</v>
      </c>
      <c r="AB6" t="s">
        <v>38</v>
      </c>
      <c r="AC6" t="s">
        <v>39</v>
      </c>
      <c r="AD6" t="s">
        <v>40</v>
      </c>
      <c r="AE6" t="s">
        <v>41</v>
      </c>
      <c r="AF6" t="s">
        <v>42</v>
      </c>
      <c r="AG6" t="s">
        <v>43</v>
      </c>
      <c r="AH6" t="s">
        <v>44</v>
      </c>
      <c r="AI6" t="s">
        <v>45</v>
      </c>
      <c r="AJ6" t="s">
        <v>46</v>
      </c>
      <c r="AK6" t="s">
        <v>47</v>
      </c>
      <c r="AL6" t="s">
        <v>48</v>
      </c>
      <c r="AM6" t="s">
        <v>49</v>
      </c>
    </row>
    <row r="7" spans="1:40">
      <c r="C7" s="28" t="s">
        <v>50</v>
      </c>
      <c r="D7" s="28"/>
      <c r="R7" t="s">
        <v>64</v>
      </c>
      <c r="Z7" s="28" t="s">
        <v>50</v>
      </c>
      <c r="AA7" s="28"/>
    </row>
    <row r="8" spans="1:40">
      <c r="C8" t="s">
        <v>51</v>
      </c>
      <c r="D8" t="s">
        <v>66</v>
      </c>
      <c r="E8" s="96">
        <f>'PANDU IKPP'!C7</f>
        <v>7</v>
      </c>
      <c r="F8" s="96">
        <f>'PANDU IKPP'!D7</f>
        <v>4</v>
      </c>
      <c r="G8" s="96">
        <f>'PANDU IKPP'!E7</f>
        <v>9</v>
      </c>
      <c r="H8" s="96">
        <f>'PANDU IKPP'!F7</f>
        <v>8</v>
      </c>
      <c r="I8" s="96">
        <f>'PANDU IKPP'!G7</f>
        <v>6</v>
      </c>
      <c r="J8" s="96">
        <f>'PANDU IKPP'!H7</f>
        <v>7</v>
      </c>
      <c r="K8" s="29">
        <f>'PANDU IKPP'!I7</f>
        <v>9</v>
      </c>
      <c r="L8" s="29">
        <f>'PANDU IKPP'!J7</f>
        <v>5</v>
      </c>
      <c r="M8" s="29">
        <f>'PANDU IKPP'!K7</f>
        <v>8</v>
      </c>
      <c r="N8" s="29">
        <f>'PANDU IKPP'!L7</f>
        <v>9</v>
      </c>
      <c r="O8" s="29">
        <f>'PANDU IKPP'!M7</f>
        <v>7</v>
      </c>
      <c r="P8" s="29">
        <f>'PANDU IKPP'!N7</f>
        <v>6</v>
      </c>
      <c r="Q8" s="39">
        <f>SUM(E8:P8)</f>
        <v>85</v>
      </c>
      <c r="R8">
        <f>Q9/Q8</f>
        <v>17335.373949579833</v>
      </c>
      <c r="Z8" t="s">
        <v>51</v>
      </c>
      <c r="AA8" t="s">
        <v>66</v>
      </c>
      <c r="AB8" s="29">
        <f>'PANDU IKPP'!W7</f>
        <v>8</v>
      </c>
      <c r="AC8" s="29">
        <f>'PANDU IKPP'!X7</f>
        <v>6</v>
      </c>
      <c r="AD8" s="29">
        <f>'PANDU IKPP'!Y7</f>
        <v>4</v>
      </c>
      <c r="AE8" s="29">
        <f>'PANDU IKPP'!Z7</f>
        <v>4</v>
      </c>
      <c r="AF8" s="29">
        <f>'PANDU IKPP'!AA7</f>
        <v>6</v>
      </c>
      <c r="AG8" s="29">
        <f>'PANDU IKPP'!AB7</f>
        <v>4</v>
      </c>
      <c r="AH8" s="29">
        <f>'PANDU IKPP'!AC7</f>
        <v>7</v>
      </c>
      <c r="AI8" s="29">
        <f>'PANDU IKPP'!AD7</f>
        <v>8</v>
      </c>
      <c r="AJ8" s="29">
        <f>'PANDU IKPP'!AE7</f>
        <v>6</v>
      </c>
      <c r="AK8" s="29">
        <f>'PANDU IKPP'!AF7</f>
        <v>6</v>
      </c>
      <c r="AL8" s="29">
        <f>'PANDU IKPP'!AG7</f>
        <v>4</v>
      </c>
      <c r="AM8" s="29">
        <f>'PANDU IKPP'!AH7</f>
        <v>6</v>
      </c>
      <c r="AN8" s="39">
        <f>SUM(AB8:AM8)</f>
        <v>69</v>
      </c>
    </row>
    <row r="9" spans="1:40">
      <c r="E9" s="96">
        <f>'PANDU IKPP'!C8</f>
        <v>178208</v>
      </c>
      <c r="F9" s="96">
        <f>'PANDU IKPP'!D8</f>
        <v>38129</v>
      </c>
      <c r="G9" s="96">
        <f>'PANDU IKPP'!E8</f>
        <v>191884</v>
      </c>
      <c r="H9" s="96">
        <f>'PANDU IKPP'!F8</f>
        <v>203666.28571428571</v>
      </c>
      <c r="I9" s="96">
        <f>'PANDU IKPP'!G8</f>
        <v>57193.5</v>
      </c>
      <c r="J9" s="96">
        <f>'PANDU IKPP'!H8</f>
        <v>149243.11111111112</v>
      </c>
      <c r="K9" s="29">
        <f>'PANDU IKPP'!I8</f>
        <v>85790.25</v>
      </c>
      <c r="L9" s="29">
        <f>'PANDU IKPP'!J8</f>
        <v>106602.22222222222</v>
      </c>
      <c r="M9" s="29">
        <f>'PANDU IKPP'!K8</f>
        <v>76258</v>
      </c>
      <c r="N9" s="29">
        <f>'PANDU IKPP'!L8</f>
        <v>191884</v>
      </c>
      <c r="O9" s="29">
        <f>'PANDU IKPP'!M8</f>
        <v>66725.75</v>
      </c>
      <c r="P9" s="29">
        <f>'PANDU IKPP'!N8</f>
        <v>127922.66666666667</v>
      </c>
      <c r="Q9" s="39">
        <f>SUM(E9:P9)</f>
        <v>1473506.7857142857</v>
      </c>
      <c r="AB9" s="29">
        <f>'PANDU IKPP'!W8</f>
        <v>106603</v>
      </c>
      <c r="AC9" s="29">
        <f>'PANDU IKPP'!X8</f>
        <v>38129</v>
      </c>
      <c r="AD9" s="29">
        <f>'PANDU IKPP'!Y8</f>
        <v>191884</v>
      </c>
      <c r="AE9" s="29">
        <f>'PANDU IKPP'!Z8</f>
        <v>203667</v>
      </c>
      <c r="AF9" s="29">
        <f>'PANDU IKPP'!AA8</f>
        <v>57194</v>
      </c>
      <c r="AG9" s="29">
        <f>'PANDU IKPP'!AB8</f>
        <v>149244</v>
      </c>
      <c r="AH9" s="29">
        <f>'PANDU IKPP'!AC8</f>
        <v>85791</v>
      </c>
      <c r="AI9" s="29">
        <f>'PANDU IKPP'!AD8</f>
        <v>106603</v>
      </c>
      <c r="AJ9" s="29">
        <f>'PANDU IKPP'!AE8</f>
        <v>76258</v>
      </c>
      <c r="AK9" s="29">
        <f>'PANDU IKPP'!AF8</f>
        <v>191884</v>
      </c>
      <c r="AL9" s="29">
        <f>'PANDU IKPP'!AG8</f>
        <v>66726</v>
      </c>
      <c r="AM9" s="29">
        <f>'PANDU IKPP'!AH8</f>
        <v>127923</v>
      </c>
      <c r="AN9" s="39">
        <f>SUM(AB9:AM9)</f>
        <v>1401906</v>
      </c>
    </row>
    <row r="10" spans="1:40">
      <c r="A10" t="s">
        <v>69</v>
      </c>
      <c r="B10" t="s">
        <v>86</v>
      </c>
      <c r="C10" s="40" t="s">
        <v>20</v>
      </c>
      <c r="D10" s="104">
        <v>389.33</v>
      </c>
      <c r="E10" s="42"/>
      <c r="F10" s="42"/>
      <c r="G10" s="42"/>
      <c r="H10" s="42"/>
      <c r="I10" s="42"/>
      <c r="J10" s="42"/>
      <c r="K10" s="43"/>
      <c r="L10" s="43"/>
      <c r="M10" s="43"/>
      <c r="N10" s="43"/>
      <c r="O10" s="43"/>
      <c r="P10" s="43"/>
      <c r="Y10">
        <v>152.25</v>
      </c>
      <c r="Z10" s="40" t="s">
        <v>20</v>
      </c>
      <c r="AA10" s="221">
        <v>389</v>
      </c>
      <c r="AB10" s="42"/>
      <c r="AC10" s="42"/>
      <c r="AD10" s="42"/>
      <c r="AE10" s="42"/>
      <c r="AF10" s="42"/>
      <c r="AG10" s="42"/>
      <c r="AH10" s="43"/>
      <c r="AI10" s="43"/>
      <c r="AJ10" s="43"/>
      <c r="AK10" s="43"/>
      <c r="AL10" s="43"/>
      <c r="AM10" s="43"/>
    </row>
    <row r="11" spans="1:40">
      <c r="A11" t="s">
        <v>70</v>
      </c>
      <c r="B11" t="s">
        <v>70</v>
      </c>
      <c r="C11" s="40" t="s">
        <v>21</v>
      </c>
      <c r="D11" s="104">
        <v>0.01</v>
      </c>
      <c r="E11" s="42"/>
      <c r="F11" s="42"/>
      <c r="G11" s="42"/>
      <c r="H11" s="42"/>
      <c r="I11" s="42"/>
      <c r="J11" s="42"/>
      <c r="K11" s="43"/>
      <c r="L11" s="43"/>
      <c r="M11" s="43"/>
      <c r="N11" s="43"/>
      <c r="O11" s="43"/>
      <c r="P11" s="43"/>
      <c r="Y11">
        <v>5.0000000000000001E-3</v>
      </c>
      <c r="Z11" s="40" t="s">
        <v>21</v>
      </c>
      <c r="AA11" s="221">
        <v>0.01</v>
      </c>
      <c r="AB11" s="42"/>
      <c r="AC11" s="42"/>
      <c r="AD11" s="42"/>
      <c r="AE11" s="42"/>
      <c r="AF11" s="42"/>
      <c r="AG11" s="42"/>
      <c r="AH11" s="43"/>
      <c r="AI11" s="43"/>
      <c r="AJ11" s="43"/>
      <c r="AK11" s="43"/>
      <c r="AL11" s="43"/>
      <c r="AM11" s="43"/>
    </row>
    <row r="12" spans="1:40">
      <c r="A12" t="s">
        <v>71</v>
      </c>
      <c r="B12" t="s">
        <v>87</v>
      </c>
      <c r="C12" s="40" t="s">
        <v>20</v>
      </c>
      <c r="D12" s="104">
        <v>859.52</v>
      </c>
      <c r="E12" s="42"/>
      <c r="F12" s="42"/>
      <c r="G12" s="42"/>
      <c r="H12" s="42"/>
      <c r="I12" s="42"/>
      <c r="J12" s="42"/>
      <c r="K12" s="43"/>
      <c r="L12" s="43"/>
      <c r="M12" s="43"/>
      <c r="N12" s="43"/>
      <c r="O12" s="43"/>
      <c r="P12" s="43"/>
      <c r="Y12">
        <v>386.25</v>
      </c>
      <c r="Z12" s="40" t="s">
        <v>20</v>
      </c>
      <c r="AA12" s="221">
        <v>859</v>
      </c>
      <c r="AB12" s="42"/>
      <c r="AC12" s="42"/>
      <c r="AD12" s="42"/>
      <c r="AE12" s="42"/>
      <c r="AF12" s="42"/>
      <c r="AG12" s="42"/>
      <c r="AH12" s="43"/>
      <c r="AI12" s="43"/>
      <c r="AJ12" s="43"/>
      <c r="AK12" s="43"/>
      <c r="AL12" s="43"/>
      <c r="AM12" s="43"/>
    </row>
    <row r="13" spans="1:40">
      <c r="A13" t="s">
        <v>70</v>
      </c>
      <c r="B13" t="s">
        <v>70</v>
      </c>
      <c r="C13" s="40" t="s">
        <v>21</v>
      </c>
      <c r="D13" s="104">
        <v>0.01</v>
      </c>
      <c r="E13" s="42"/>
      <c r="F13" s="42"/>
      <c r="G13" s="42"/>
      <c r="H13" s="42"/>
      <c r="I13" s="42"/>
      <c r="J13" s="42"/>
      <c r="K13" s="43"/>
      <c r="L13" s="43"/>
      <c r="M13" s="43"/>
      <c r="N13" s="43"/>
      <c r="O13" s="43"/>
      <c r="P13" s="43"/>
      <c r="Y13">
        <v>5.0000000000000001E-3</v>
      </c>
      <c r="Z13" s="40" t="s">
        <v>21</v>
      </c>
      <c r="AA13" s="221">
        <v>0.01</v>
      </c>
      <c r="AB13" s="42"/>
      <c r="AC13" s="42"/>
      <c r="AD13" s="42"/>
      <c r="AE13" s="42"/>
      <c r="AF13" s="42"/>
      <c r="AG13" s="42"/>
      <c r="AH13" s="43"/>
      <c r="AI13" s="43"/>
      <c r="AJ13" s="43"/>
      <c r="AK13" s="43"/>
      <c r="AL13" s="43"/>
      <c r="AM13" s="43"/>
    </row>
    <row r="14" spans="1:40">
      <c r="A14" t="s">
        <v>72</v>
      </c>
      <c r="B14" t="s">
        <v>88</v>
      </c>
      <c r="C14" s="40" t="s">
        <v>20</v>
      </c>
      <c r="D14" s="104">
        <v>1342.72</v>
      </c>
      <c r="E14" s="42"/>
      <c r="F14" s="42"/>
      <c r="G14" s="42"/>
      <c r="H14" s="42"/>
      <c r="I14" s="42"/>
      <c r="J14" s="42"/>
      <c r="K14" s="43"/>
      <c r="L14" s="43"/>
      <c r="M14" s="43"/>
      <c r="N14" s="43"/>
      <c r="O14" s="43"/>
      <c r="P14" s="43"/>
      <c r="Y14">
        <v>587.1</v>
      </c>
      <c r="Z14" s="40" t="s">
        <v>20</v>
      </c>
      <c r="AA14" s="221">
        <v>1342.72</v>
      </c>
      <c r="AB14" s="42"/>
      <c r="AC14" s="42"/>
      <c r="AD14" s="42"/>
      <c r="AE14" s="42"/>
      <c r="AF14" s="42"/>
      <c r="AG14" s="42"/>
      <c r="AH14" s="43"/>
      <c r="AI14" s="43"/>
      <c r="AJ14" s="43"/>
      <c r="AK14" s="43"/>
      <c r="AL14" s="43"/>
      <c r="AM14" s="43"/>
    </row>
    <row r="15" spans="1:40">
      <c r="A15" t="s">
        <v>70</v>
      </c>
      <c r="B15" t="s">
        <v>70</v>
      </c>
      <c r="C15" s="40" t="s">
        <v>21</v>
      </c>
      <c r="D15" s="104">
        <v>0.01</v>
      </c>
      <c r="E15" s="42"/>
      <c r="F15" s="42"/>
      <c r="G15" s="42"/>
      <c r="H15" s="42"/>
      <c r="I15" s="42"/>
      <c r="J15" s="42"/>
      <c r="K15" s="43"/>
      <c r="L15" s="43"/>
      <c r="M15" s="43"/>
      <c r="N15" s="43"/>
      <c r="O15" s="43"/>
      <c r="P15" s="43"/>
      <c r="Y15">
        <v>5.0000000000000001E-3</v>
      </c>
      <c r="Z15" s="40" t="s">
        <v>21</v>
      </c>
      <c r="AA15" s="221">
        <v>0.01</v>
      </c>
      <c r="AB15" s="42"/>
      <c r="AC15" s="42"/>
      <c r="AD15" s="42"/>
      <c r="AE15" s="42"/>
      <c r="AF15" s="42"/>
      <c r="AG15" s="42"/>
      <c r="AH15" s="43"/>
      <c r="AI15" s="43"/>
      <c r="AJ15" s="43"/>
      <c r="AK15" s="43"/>
      <c r="AL15" s="43"/>
      <c r="AM15" s="43"/>
    </row>
    <row r="16" spans="1:40">
      <c r="A16" t="s">
        <v>73</v>
      </c>
      <c r="B16" t="s">
        <v>89</v>
      </c>
      <c r="C16" s="40" t="s">
        <v>20</v>
      </c>
      <c r="D16" s="104">
        <v>1700.12</v>
      </c>
      <c r="E16" s="42">
        <f>E8*$G$3</f>
        <v>33.903100000000002</v>
      </c>
      <c r="F16" s="42">
        <f t="shared" ref="F16:P17" si="0">F8*$G$3</f>
        <v>19.373200000000001</v>
      </c>
      <c r="G16" s="42">
        <f t="shared" si="0"/>
        <v>43.589700000000001</v>
      </c>
      <c r="H16" s="42">
        <f t="shared" si="0"/>
        <v>38.746400000000001</v>
      </c>
      <c r="I16" s="42">
        <f t="shared" si="0"/>
        <v>29.059800000000003</v>
      </c>
      <c r="J16" s="42">
        <f t="shared" si="0"/>
        <v>33.903100000000002</v>
      </c>
      <c r="K16" s="42">
        <f t="shared" si="0"/>
        <v>43.589700000000001</v>
      </c>
      <c r="L16" s="42">
        <f t="shared" si="0"/>
        <v>24.2165</v>
      </c>
      <c r="M16" s="42">
        <f t="shared" si="0"/>
        <v>38.746400000000001</v>
      </c>
      <c r="N16" s="42">
        <f t="shared" si="0"/>
        <v>43.589700000000001</v>
      </c>
      <c r="O16" s="42">
        <f t="shared" si="0"/>
        <v>33.903100000000002</v>
      </c>
      <c r="P16" s="42">
        <f t="shared" si="0"/>
        <v>29.059800000000003</v>
      </c>
      <c r="Q16" s="39">
        <f>SUM(E16:P16)</f>
        <v>411.68049999999999</v>
      </c>
      <c r="T16" s="67"/>
      <c r="Y16">
        <v>770</v>
      </c>
      <c r="Z16" s="40" t="s">
        <v>20</v>
      </c>
      <c r="AA16" s="221">
        <v>1700.12</v>
      </c>
      <c r="AB16" s="42">
        <f>AB8*$AD$3</f>
        <v>36.610728000000002</v>
      </c>
      <c r="AC16" s="42">
        <f t="shared" ref="AC16:AM16" si="1">AC8*$AD$3</f>
        <v>27.458046000000003</v>
      </c>
      <c r="AD16" s="42">
        <f t="shared" si="1"/>
        <v>18.305364000000001</v>
      </c>
      <c r="AE16" s="42">
        <f t="shared" si="1"/>
        <v>18.305364000000001</v>
      </c>
      <c r="AF16" s="42">
        <f t="shared" si="1"/>
        <v>27.458046000000003</v>
      </c>
      <c r="AG16" s="42">
        <f t="shared" si="1"/>
        <v>18.305364000000001</v>
      </c>
      <c r="AH16" s="42">
        <f t="shared" si="1"/>
        <v>32.034387000000002</v>
      </c>
      <c r="AI16" s="42">
        <f t="shared" si="1"/>
        <v>36.610728000000002</v>
      </c>
      <c r="AJ16" s="42">
        <f t="shared" si="1"/>
        <v>27.458046000000003</v>
      </c>
      <c r="AK16" s="42">
        <f t="shared" si="1"/>
        <v>27.458046000000003</v>
      </c>
      <c r="AL16" s="42">
        <f t="shared" si="1"/>
        <v>18.305364000000001</v>
      </c>
      <c r="AM16" s="42">
        <f t="shared" si="1"/>
        <v>27.458046000000003</v>
      </c>
      <c r="AN16" s="39">
        <f>SUM(AB16:AM16)</f>
        <v>315.76752900000002</v>
      </c>
    </row>
    <row r="17" spans="1:41">
      <c r="A17" t="s">
        <v>70</v>
      </c>
      <c r="B17" t="s">
        <v>70</v>
      </c>
      <c r="C17" s="40" t="s">
        <v>21</v>
      </c>
      <c r="D17" s="105">
        <v>7.0000000000000001E-3</v>
      </c>
      <c r="E17" s="42">
        <f>E9*$G$3</f>
        <v>863114.8064</v>
      </c>
      <c r="F17" s="42">
        <f t="shared" si="0"/>
        <v>184670.1857</v>
      </c>
      <c r="G17" s="42">
        <f t="shared" si="0"/>
        <v>929351.77720000001</v>
      </c>
      <c r="H17" s="42">
        <f t="shared" si="0"/>
        <v>986416.9216</v>
      </c>
      <c r="I17" s="42">
        <f t="shared" si="0"/>
        <v>277005.27854999999</v>
      </c>
      <c r="J17" s="42">
        <f t="shared" si="0"/>
        <v>722829.16004444449</v>
      </c>
      <c r="K17" s="42">
        <f t="shared" si="0"/>
        <v>415507.91782500001</v>
      </c>
      <c r="L17" s="42">
        <f t="shared" si="0"/>
        <v>516306.54288888891</v>
      </c>
      <c r="M17" s="42">
        <f t="shared" si="0"/>
        <v>369340.3714</v>
      </c>
      <c r="N17" s="42">
        <f t="shared" si="0"/>
        <v>929351.77720000001</v>
      </c>
      <c r="O17" s="42">
        <f t="shared" si="0"/>
        <v>323172.824975</v>
      </c>
      <c r="P17" s="42">
        <f t="shared" si="0"/>
        <v>619567.85146666667</v>
      </c>
      <c r="Q17" s="39">
        <f>SUM(E17:P17)</f>
        <v>7136635.4152500005</v>
      </c>
      <c r="T17" s="39"/>
      <c r="Y17">
        <v>4.0000000000000001E-3</v>
      </c>
      <c r="Z17" s="40" t="s">
        <v>21</v>
      </c>
      <c r="AA17" s="221">
        <v>7.0000000000000001E-3</v>
      </c>
      <c r="AB17" s="42">
        <f>AB9*$AD$3</f>
        <v>487851.67962300003</v>
      </c>
      <c r="AC17" s="42">
        <f t="shared" ref="AC17:AM17" si="2">AC9*$AD$3</f>
        <v>174491.30598900001</v>
      </c>
      <c r="AD17" s="42">
        <f t="shared" si="2"/>
        <v>878126.61644400004</v>
      </c>
      <c r="AE17" s="42">
        <f t="shared" si="2"/>
        <v>932049.64244700002</v>
      </c>
      <c r="AF17" s="42">
        <f t="shared" si="2"/>
        <v>261739.24715400001</v>
      </c>
      <c r="AG17" s="42">
        <f t="shared" si="2"/>
        <v>682991.43620400003</v>
      </c>
      <c r="AH17" s="42">
        <f t="shared" si="2"/>
        <v>392608.87073100003</v>
      </c>
      <c r="AI17" s="42">
        <f t="shared" si="2"/>
        <v>487851.67962300003</v>
      </c>
      <c r="AJ17" s="42">
        <f t="shared" si="2"/>
        <v>348982.61197800003</v>
      </c>
      <c r="AK17" s="42">
        <f t="shared" si="2"/>
        <v>878126.61644400004</v>
      </c>
      <c r="AL17" s="42">
        <f t="shared" si="2"/>
        <v>305360.92956600001</v>
      </c>
      <c r="AM17" s="42">
        <f t="shared" si="2"/>
        <v>585419.26974300004</v>
      </c>
      <c r="AN17" s="39">
        <f>SUM(AB17:AM17)</f>
        <v>6415599.9059460005</v>
      </c>
    </row>
    <row r="18" spans="1:41">
      <c r="A18" t="s">
        <v>74</v>
      </c>
      <c r="B18" t="s">
        <v>90</v>
      </c>
      <c r="C18" s="40" t="s">
        <v>20</v>
      </c>
      <c r="D18" s="104">
        <v>1921.86</v>
      </c>
      <c r="E18" s="42"/>
      <c r="F18" s="42"/>
      <c r="G18" s="42"/>
      <c r="H18" s="42"/>
      <c r="I18" s="42"/>
      <c r="J18" s="42"/>
      <c r="K18" s="43"/>
      <c r="L18" s="43"/>
      <c r="M18" s="43"/>
      <c r="N18" s="43"/>
      <c r="O18" s="43"/>
      <c r="P18" s="43"/>
      <c r="Y18">
        <v>1220</v>
      </c>
      <c r="Z18" s="40" t="s">
        <v>20</v>
      </c>
      <c r="AA18" s="221">
        <v>1921.86</v>
      </c>
      <c r="AB18" s="42"/>
      <c r="AC18" s="42"/>
      <c r="AD18" s="42"/>
      <c r="AE18" s="42"/>
      <c r="AF18" s="42"/>
      <c r="AG18" s="42"/>
      <c r="AH18" s="43"/>
      <c r="AI18" s="43"/>
      <c r="AJ18" s="43"/>
      <c r="AK18" s="43"/>
      <c r="AL18" s="43"/>
      <c r="AM18" s="43"/>
    </row>
    <row r="19" spans="1:41">
      <c r="A19" t="s">
        <v>70</v>
      </c>
      <c r="B19" t="s">
        <v>70</v>
      </c>
      <c r="C19" s="40" t="s">
        <v>21</v>
      </c>
      <c r="D19" s="105">
        <v>5.0000000000000001E-3</v>
      </c>
      <c r="E19" s="42"/>
      <c r="F19" s="42"/>
      <c r="G19" s="42"/>
      <c r="H19" s="42"/>
      <c r="I19" s="42"/>
      <c r="J19" s="42"/>
      <c r="K19" s="43"/>
      <c r="L19" s="43"/>
      <c r="M19" s="43"/>
      <c r="N19" s="43"/>
      <c r="O19" s="43"/>
      <c r="P19" s="43"/>
      <c r="Y19">
        <v>4.0000000000000001E-3</v>
      </c>
      <c r="Z19" s="40" t="s">
        <v>21</v>
      </c>
      <c r="AA19" s="221">
        <v>5.0000000000000001E-3</v>
      </c>
      <c r="AB19" s="42"/>
      <c r="AC19" s="42"/>
      <c r="AD19" s="42"/>
      <c r="AE19" s="42"/>
      <c r="AF19" s="42"/>
      <c r="AG19" s="42"/>
      <c r="AH19" s="43"/>
      <c r="AI19" s="43"/>
      <c r="AJ19" s="43"/>
      <c r="AK19" s="43"/>
      <c r="AL19" s="43"/>
      <c r="AM19" s="43"/>
    </row>
    <row r="20" spans="1:41">
      <c r="A20" t="s">
        <v>75</v>
      </c>
      <c r="B20" t="s">
        <v>91</v>
      </c>
      <c r="C20" s="40" t="s">
        <v>20</v>
      </c>
      <c r="D20" s="104">
        <v>2000.72</v>
      </c>
      <c r="E20" s="42"/>
      <c r="F20" s="42"/>
      <c r="G20" s="42"/>
      <c r="H20" s="42"/>
      <c r="I20" s="42"/>
      <c r="J20" s="42"/>
      <c r="K20" s="43"/>
      <c r="L20" s="43"/>
      <c r="M20" s="43"/>
      <c r="N20" s="43"/>
      <c r="O20" s="43"/>
      <c r="P20" s="43"/>
      <c r="Y20">
        <v>1220</v>
      </c>
      <c r="Z20" s="40" t="s">
        <v>20</v>
      </c>
      <c r="AA20" s="221">
        <v>2000.72</v>
      </c>
      <c r="AB20" s="42"/>
      <c r="AC20" s="42"/>
      <c r="AD20" s="42"/>
      <c r="AE20" s="42"/>
      <c r="AF20" s="42"/>
      <c r="AG20" s="42"/>
      <c r="AH20" s="43"/>
      <c r="AI20" s="43"/>
      <c r="AJ20" s="43"/>
      <c r="AK20" s="43"/>
      <c r="AL20" s="43"/>
      <c r="AM20" s="43"/>
    </row>
    <row r="21" spans="1:41">
      <c r="A21" t="s">
        <v>70</v>
      </c>
      <c r="B21" t="s">
        <v>70</v>
      </c>
      <c r="C21" s="40" t="s">
        <v>21</v>
      </c>
      <c r="D21" s="104">
        <v>5.0000000000000001E-3</v>
      </c>
      <c r="E21" s="42"/>
      <c r="F21" s="42"/>
      <c r="G21" s="42"/>
      <c r="H21" s="42"/>
      <c r="I21" s="42"/>
      <c r="J21" s="42"/>
      <c r="K21" s="43"/>
      <c r="L21" s="43"/>
      <c r="M21" s="43"/>
      <c r="N21" s="43"/>
      <c r="O21" s="43"/>
      <c r="P21" s="43"/>
      <c r="Y21">
        <v>4.0000000000000001E-3</v>
      </c>
      <c r="Z21" s="40" t="s">
        <v>21</v>
      </c>
      <c r="AA21" s="221">
        <v>5.0000000000000001E-3</v>
      </c>
      <c r="AB21" s="42"/>
      <c r="AC21" s="42"/>
      <c r="AD21" s="42"/>
      <c r="AE21" s="42"/>
      <c r="AF21" s="42"/>
      <c r="AG21" s="42"/>
      <c r="AH21" s="43"/>
      <c r="AI21" s="43"/>
      <c r="AJ21" s="43"/>
      <c r="AK21" s="43"/>
      <c r="AL21" s="43"/>
      <c r="AM21" s="43"/>
    </row>
    <row r="22" spans="1:41">
      <c r="A22" t="s">
        <v>76</v>
      </c>
      <c r="B22" t="s">
        <v>92</v>
      </c>
      <c r="C22" s="40" t="s">
        <v>20</v>
      </c>
      <c r="D22" s="104">
        <v>2129.14</v>
      </c>
      <c r="E22" s="42"/>
      <c r="F22" s="42"/>
      <c r="G22" s="42"/>
      <c r="H22" s="42"/>
      <c r="I22" s="42"/>
      <c r="J22" s="42"/>
      <c r="K22" s="43"/>
      <c r="L22" s="43"/>
      <c r="M22" s="43"/>
      <c r="N22" s="43"/>
      <c r="O22" s="43"/>
      <c r="P22" s="43"/>
      <c r="Y22">
        <v>1300</v>
      </c>
      <c r="Z22" s="40" t="s">
        <v>20</v>
      </c>
      <c r="AA22" s="221">
        <v>2129.14</v>
      </c>
      <c r="AB22" s="42"/>
      <c r="AC22" s="42"/>
      <c r="AD22" s="42"/>
      <c r="AE22" s="42"/>
      <c r="AF22" s="42"/>
      <c r="AG22" s="42"/>
      <c r="AH22" s="43"/>
      <c r="AI22" s="43"/>
      <c r="AJ22" s="43"/>
      <c r="AK22" s="43"/>
      <c r="AL22" s="43"/>
      <c r="AM22" s="43"/>
    </row>
    <row r="23" spans="1:41">
      <c r="A23" t="s">
        <v>70</v>
      </c>
      <c r="B23" t="s">
        <v>70</v>
      </c>
      <c r="C23" s="40" t="s">
        <v>21</v>
      </c>
      <c r="D23" s="104">
        <v>2E-3</v>
      </c>
      <c r="E23" s="42"/>
      <c r="F23" s="42"/>
      <c r="G23" s="42"/>
      <c r="H23" s="42"/>
      <c r="I23" s="42"/>
      <c r="J23" s="42"/>
      <c r="K23" s="43"/>
      <c r="L23" s="43"/>
      <c r="M23" s="43"/>
      <c r="N23" s="43"/>
      <c r="O23" s="43"/>
      <c r="P23" s="43"/>
      <c r="Y23">
        <v>2E-3</v>
      </c>
      <c r="Z23" s="40" t="s">
        <v>21</v>
      </c>
      <c r="AA23" s="221">
        <v>2E-3</v>
      </c>
      <c r="AB23" s="42"/>
      <c r="AC23" s="42"/>
      <c r="AD23" s="42"/>
      <c r="AE23" s="42"/>
      <c r="AF23" s="42"/>
      <c r="AG23" s="42"/>
      <c r="AH23" s="43"/>
      <c r="AI23" s="43"/>
      <c r="AJ23" s="43"/>
      <c r="AK23" s="43"/>
      <c r="AL23" s="43"/>
      <c r="AM23" s="43"/>
    </row>
    <row r="24" spans="1:41">
      <c r="A24" t="s">
        <v>77</v>
      </c>
      <c r="B24" t="s">
        <v>93</v>
      </c>
      <c r="C24" s="40" t="s">
        <v>20</v>
      </c>
      <c r="D24" s="104">
        <v>2751.2</v>
      </c>
      <c r="E24" s="42"/>
      <c r="F24" s="42"/>
      <c r="G24" s="42"/>
      <c r="H24" s="42"/>
      <c r="I24" s="42"/>
      <c r="J24" s="42"/>
      <c r="K24" s="43"/>
      <c r="L24" s="43"/>
      <c r="M24" s="43"/>
      <c r="N24" s="43"/>
      <c r="O24" s="43"/>
      <c r="P24" s="43"/>
      <c r="Y24">
        <v>1700</v>
      </c>
      <c r="Z24" s="40" t="s">
        <v>20</v>
      </c>
      <c r="AA24" s="221">
        <v>2751.2</v>
      </c>
      <c r="AB24" s="42"/>
      <c r="AC24" s="42"/>
      <c r="AD24" s="42"/>
      <c r="AE24" s="42"/>
      <c r="AF24" s="42"/>
      <c r="AG24" s="42"/>
      <c r="AH24" s="43"/>
      <c r="AI24" s="43"/>
      <c r="AJ24" s="43"/>
      <c r="AK24" s="43"/>
      <c r="AL24" s="43"/>
      <c r="AM24" s="43"/>
    </row>
    <row r="25" spans="1:41">
      <c r="A25" t="s">
        <v>70</v>
      </c>
      <c r="B25" t="s">
        <v>70</v>
      </c>
      <c r="C25" s="40" t="s">
        <v>21</v>
      </c>
      <c r="D25" s="41">
        <v>2E-3</v>
      </c>
      <c r="E25" s="42"/>
      <c r="F25" s="42"/>
      <c r="G25" s="42"/>
      <c r="H25" s="42"/>
      <c r="I25" s="42"/>
      <c r="J25" s="42"/>
      <c r="K25" s="43"/>
      <c r="L25" s="43"/>
      <c r="M25" s="43"/>
      <c r="N25" s="43"/>
      <c r="O25" s="43"/>
      <c r="P25" s="43"/>
      <c r="Y25">
        <v>2E-3</v>
      </c>
      <c r="Z25" s="40" t="s">
        <v>21</v>
      </c>
      <c r="AA25" s="221">
        <v>2E-3</v>
      </c>
      <c r="AB25" s="42"/>
      <c r="AC25" s="42"/>
      <c r="AD25" s="42"/>
      <c r="AE25" s="42"/>
      <c r="AF25" s="42"/>
      <c r="AG25" s="42"/>
      <c r="AH25" s="43"/>
      <c r="AI25" s="43"/>
      <c r="AJ25" s="43"/>
      <c r="AK25" s="43"/>
      <c r="AL25" s="43"/>
      <c r="AM25" s="43"/>
    </row>
    <row r="26" spans="1:41">
      <c r="A26" t="s">
        <v>70</v>
      </c>
      <c r="B26" t="s">
        <v>70</v>
      </c>
      <c r="E26" s="29">
        <f>E16*$D$16*$E$2</f>
        <v>974104818.48679996</v>
      </c>
      <c r="F26" s="29">
        <f t="shared" ref="F26:P26" si="3">F16*$D$16*$E$2</f>
        <v>556631324.84959996</v>
      </c>
      <c r="G26" s="29">
        <f t="shared" si="3"/>
        <v>1252420480.9115999</v>
      </c>
      <c r="H26" s="29">
        <f t="shared" si="3"/>
        <v>1113262649.6991999</v>
      </c>
      <c r="I26" s="29">
        <f t="shared" si="3"/>
        <v>834946987.2744</v>
      </c>
      <c r="J26" s="29">
        <f t="shared" si="3"/>
        <v>974104818.48679996</v>
      </c>
      <c r="K26" s="29">
        <f t="shared" si="3"/>
        <v>1252420480.9115999</v>
      </c>
      <c r="L26" s="29">
        <f t="shared" si="3"/>
        <v>695789156.06200004</v>
      </c>
      <c r="M26" s="29">
        <f t="shared" si="3"/>
        <v>1113262649.6991999</v>
      </c>
      <c r="N26" s="29">
        <f t="shared" si="3"/>
        <v>1252420480.9115999</v>
      </c>
      <c r="O26" s="29">
        <f t="shared" si="3"/>
        <v>974104818.48679996</v>
      </c>
      <c r="P26" s="29">
        <f t="shared" si="3"/>
        <v>834946987.2744</v>
      </c>
      <c r="Q26" s="39">
        <f>SUM(E26:P26)</f>
        <v>11828415653.054001</v>
      </c>
      <c r="AB26" s="29">
        <f>AB16*$D$16*$E$2</f>
        <v>1051900461.996384</v>
      </c>
      <c r="AC26" s="29">
        <f t="shared" ref="AC26:AM26" si="4">AC16*$D$16*$E$2</f>
        <v>788925346.49728799</v>
      </c>
      <c r="AD26" s="29">
        <f t="shared" si="4"/>
        <v>525950230.99819201</v>
      </c>
      <c r="AE26" s="29">
        <f t="shared" si="4"/>
        <v>525950230.99819201</v>
      </c>
      <c r="AF26" s="29">
        <f t="shared" si="4"/>
        <v>788925346.49728799</v>
      </c>
      <c r="AG26" s="29">
        <f t="shared" si="4"/>
        <v>525950230.99819201</v>
      </c>
      <c r="AH26" s="29">
        <f t="shared" si="4"/>
        <v>920412904.24683607</v>
      </c>
      <c r="AI26" s="29">
        <f t="shared" si="4"/>
        <v>1051900461.996384</v>
      </c>
      <c r="AJ26" s="29">
        <f t="shared" si="4"/>
        <v>788925346.49728799</v>
      </c>
      <c r="AK26" s="29">
        <f t="shared" si="4"/>
        <v>788925346.49728799</v>
      </c>
      <c r="AL26" s="29">
        <f t="shared" si="4"/>
        <v>525950230.99819201</v>
      </c>
      <c r="AM26" s="29">
        <f t="shared" si="4"/>
        <v>788925346.49728799</v>
      </c>
      <c r="AN26" s="39">
        <f>SUM(AB26:AM26)</f>
        <v>9072641484.718811</v>
      </c>
      <c r="AO26" s="86">
        <v>11531109934.807644</v>
      </c>
    </row>
    <row r="27" spans="1:41">
      <c r="A27" t="s">
        <v>70</v>
      </c>
      <c r="B27" t="s">
        <v>70</v>
      </c>
      <c r="E27" s="29">
        <f>E17*$D$17*$E$2</f>
        <v>102106481.59712</v>
      </c>
      <c r="F27" s="29">
        <f t="shared" ref="F27:P27" si="5">F17*$D$17*$E$2</f>
        <v>21846482.968310002</v>
      </c>
      <c r="G27" s="29">
        <f t="shared" si="5"/>
        <v>109942315.24276</v>
      </c>
      <c r="H27" s="29">
        <f t="shared" si="5"/>
        <v>116693121.82528</v>
      </c>
      <c r="I27" s="29">
        <f t="shared" si="5"/>
        <v>32769724.452464998</v>
      </c>
      <c r="J27" s="29">
        <f t="shared" si="5"/>
        <v>85510689.633257791</v>
      </c>
      <c r="K27" s="29">
        <f t="shared" si="5"/>
        <v>49154586.678697504</v>
      </c>
      <c r="L27" s="29">
        <f t="shared" si="5"/>
        <v>61079064.023755558</v>
      </c>
      <c r="M27" s="29">
        <f t="shared" si="5"/>
        <v>43692965.936620004</v>
      </c>
      <c r="N27" s="29">
        <f t="shared" si="5"/>
        <v>109942315.24276</v>
      </c>
      <c r="O27" s="29">
        <f t="shared" si="5"/>
        <v>38231345.194542497</v>
      </c>
      <c r="P27" s="29">
        <f t="shared" si="5"/>
        <v>73294876.828506678</v>
      </c>
      <c r="Q27" s="39">
        <f>SUM(E27:P27)</f>
        <v>844263969.62407506</v>
      </c>
      <c r="AB27" s="29">
        <f>AB17*$D$17*$E$2</f>
        <v>57712853.699400902</v>
      </c>
      <c r="AC27" s="29">
        <f t="shared" ref="AC27:AM27" si="6">AC17*$D$17*$E$2</f>
        <v>20642321.498498701</v>
      </c>
      <c r="AD27" s="29">
        <f t="shared" si="6"/>
        <v>103882378.72532521</v>
      </c>
      <c r="AE27" s="29">
        <f t="shared" si="6"/>
        <v>110261472.70148011</v>
      </c>
      <c r="AF27" s="29">
        <f t="shared" si="6"/>
        <v>30963752.9383182</v>
      </c>
      <c r="AG27" s="29">
        <f t="shared" si="6"/>
        <v>80797886.90293321</v>
      </c>
      <c r="AH27" s="29">
        <f t="shared" si="6"/>
        <v>46445629.407477304</v>
      </c>
      <c r="AI27" s="29">
        <f t="shared" si="6"/>
        <v>57712853.699400902</v>
      </c>
      <c r="AJ27" s="29">
        <f t="shared" si="6"/>
        <v>41284642.996997401</v>
      </c>
      <c r="AK27" s="29">
        <f t="shared" si="6"/>
        <v>103882378.72532521</v>
      </c>
      <c r="AL27" s="29">
        <f t="shared" si="6"/>
        <v>36124197.967657797</v>
      </c>
      <c r="AM27" s="29">
        <f t="shared" si="6"/>
        <v>69255099.610596895</v>
      </c>
      <c r="AN27" s="39">
        <f>SUM(AB27:AM27)</f>
        <v>758965468.87341189</v>
      </c>
      <c r="AO27" s="86">
        <v>775986191.85537171</v>
      </c>
    </row>
    <row r="28" spans="1:41">
      <c r="A28" t="s">
        <v>70</v>
      </c>
      <c r="B28" t="s">
        <v>70</v>
      </c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6"/>
      <c r="O28" s="46"/>
      <c r="P28" s="46"/>
      <c r="Q28" s="44"/>
      <c r="R28" s="44"/>
      <c r="Z28" s="44"/>
      <c r="AA28" s="44"/>
      <c r="AB28" s="45"/>
      <c r="AC28" s="45"/>
      <c r="AD28" s="45"/>
      <c r="AE28" s="45"/>
      <c r="AF28" s="45"/>
      <c r="AG28" s="45"/>
      <c r="AH28" s="46"/>
      <c r="AI28" s="46"/>
      <c r="AJ28" s="46"/>
      <c r="AK28" s="46"/>
      <c r="AL28" s="46"/>
      <c r="AM28" s="46"/>
      <c r="AN28" s="44"/>
    </row>
    <row r="29" spans="1:41">
      <c r="A29" t="s">
        <v>70</v>
      </c>
      <c r="B29" t="s">
        <v>70</v>
      </c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6"/>
      <c r="O29" s="46"/>
      <c r="P29" s="46"/>
      <c r="Q29" s="44"/>
      <c r="R29" s="44"/>
      <c r="Z29" s="44"/>
      <c r="AA29" s="44"/>
      <c r="AB29" s="45"/>
      <c r="AC29" s="45"/>
      <c r="AD29" s="45"/>
      <c r="AE29" s="45"/>
      <c r="AF29" s="45"/>
      <c r="AG29" s="45"/>
      <c r="AH29" s="46"/>
      <c r="AI29" s="46"/>
      <c r="AJ29" s="46"/>
      <c r="AK29" s="46"/>
      <c r="AL29" s="46"/>
      <c r="AM29" s="46"/>
      <c r="AN29" s="44"/>
    </row>
    <row r="30" spans="1:41">
      <c r="A30" t="s">
        <v>70</v>
      </c>
      <c r="B30" t="s">
        <v>70</v>
      </c>
      <c r="C30" t="s">
        <v>56</v>
      </c>
      <c r="E30" s="99">
        <f>'PANDU IKPP'!C13</f>
        <v>0</v>
      </c>
      <c r="F30" s="99">
        <f>'PANDU IKPP'!D13</f>
        <v>0</v>
      </c>
      <c r="G30" s="99">
        <f>'PANDU IKPP'!E13</f>
        <v>0</v>
      </c>
      <c r="H30" s="99">
        <f>'PANDU IKPP'!F13</f>
        <v>0</v>
      </c>
      <c r="I30" s="99">
        <f>'PANDU IKPP'!G13</f>
        <v>0</v>
      </c>
      <c r="J30" s="99">
        <f>'PANDU IKPP'!H13</f>
        <v>0</v>
      </c>
      <c r="K30" s="98">
        <f>'PANDU IKPP'!I13</f>
        <v>0</v>
      </c>
      <c r="L30" s="98">
        <f>'PANDU IKPP'!J13</f>
        <v>0</v>
      </c>
      <c r="M30" s="98">
        <f>'PANDU IKPP'!K13</f>
        <v>0</v>
      </c>
      <c r="N30" s="98">
        <f>'PANDU IKPP'!L13</f>
        <v>0</v>
      </c>
      <c r="O30" s="98">
        <f>'PANDU IKPP'!M13</f>
        <v>0</v>
      </c>
      <c r="P30" s="98">
        <f>'PANDU IKPP'!N13</f>
        <v>0</v>
      </c>
      <c r="Q30" s="39">
        <f>SUM(E30:P30)</f>
        <v>0</v>
      </c>
      <c r="R30" t="e">
        <f>Q31/Q30</f>
        <v>#DIV/0!</v>
      </c>
      <c r="Z30" t="s">
        <v>56</v>
      </c>
      <c r="AB30" s="29">
        <f>'PANDU IKPP'!W13</f>
        <v>0</v>
      </c>
      <c r="AC30" s="29">
        <f>'PANDU IKPP'!X13</f>
        <v>0</v>
      </c>
      <c r="AD30" s="29">
        <f>'PANDU IKPP'!Y13</f>
        <v>0</v>
      </c>
      <c r="AE30" s="29">
        <f>'PANDU IKPP'!Z13</f>
        <v>0</v>
      </c>
      <c r="AF30" s="29">
        <f>'PANDU IKPP'!AA13</f>
        <v>0</v>
      </c>
      <c r="AG30" s="29">
        <f>'PANDU IKPP'!AB13</f>
        <v>0</v>
      </c>
      <c r="AH30" s="29">
        <f>'PANDU IKPP'!AC13</f>
        <v>0</v>
      </c>
      <c r="AI30" s="29">
        <f>'PANDU IKPP'!AD13</f>
        <v>0</v>
      </c>
      <c r="AJ30" s="29">
        <f>'PANDU IKPP'!AE13</f>
        <v>0</v>
      </c>
      <c r="AK30" s="29">
        <f>'PANDU IKPP'!AF13</f>
        <v>0</v>
      </c>
      <c r="AL30" s="29">
        <f>'PANDU IKPP'!AG13</f>
        <v>0</v>
      </c>
      <c r="AM30" s="29">
        <f>'PANDU IKPP'!AH13</f>
        <v>0</v>
      </c>
      <c r="AN30" s="39">
        <f>SUM(AB30:AM30)</f>
        <v>0</v>
      </c>
    </row>
    <row r="31" spans="1:41">
      <c r="A31" t="s">
        <v>70</v>
      </c>
      <c r="B31" t="s">
        <v>70</v>
      </c>
      <c r="E31" s="99">
        <f>'PANDU IKPP'!C14</f>
        <v>0</v>
      </c>
      <c r="F31" s="99">
        <f>'PANDU IKPP'!D14</f>
        <v>0</v>
      </c>
      <c r="G31" s="99">
        <f>'PANDU IKPP'!E14</f>
        <v>0</v>
      </c>
      <c r="H31" s="99">
        <f>'PANDU IKPP'!F14</f>
        <v>0</v>
      </c>
      <c r="I31" s="99">
        <f>'PANDU IKPP'!G14</f>
        <v>0</v>
      </c>
      <c r="J31" s="99">
        <f>'PANDU IKPP'!H14</f>
        <v>0</v>
      </c>
      <c r="K31" s="98">
        <f>'PANDU IKPP'!I14</f>
        <v>0</v>
      </c>
      <c r="L31" s="98">
        <f>'PANDU IKPP'!J14</f>
        <v>0</v>
      </c>
      <c r="M31" s="98">
        <f>'PANDU IKPP'!K14</f>
        <v>0</v>
      </c>
      <c r="N31" s="98">
        <f>'PANDU IKPP'!L14</f>
        <v>0</v>
      </c>
      <c r="O31" s="98">
        <f>'PANDU IKPP'!M14</f>
        <v>0</v>
      </c>
      <c r="P31" s="98">
        <f>'PANDU IKPP'!N14</f>
        <v>0</v>
      </c>
      <c r="Q31" s="39">
        <f>SUM(E31:P31)</f>
        <v>0</v>
      </c>
      <c r="AB31" s="29">
        <f>'PANDU IKPP'!W14</f>
        <v>0</v>
      </c>
      <c r="AC31" s="29">
        <f>'PANDU IKPP'!X14</f>
        <v>0</v>
      </c>
      <c r="AD31" s="29">
        <f>'PANDU IKPP'!Y14</f>
        <v>0</v>
      </c>
      <c r="AE31" s="29">
        <f>'PANDU IKPP'!Z14</f>
        <v>0</v>
      </c>
      <c r="AF31" s="29">
        <f>'PANDU IKPP'!AA14</f>
        <v>0</v>
      </c>
      <c r="AG31" s="29">
        <f>'PANDU IKPP'!AB14</f>
        <v>0</v>
      </c>
      <c r="AH31" s="29">
        <f>'PANDU IKPP'!AC14</f>
        <v>0</v>
      </c>
      <c r="AI31" s="29">
        <f>'PANDU IKPP'!AD14</f>
        <v>0</v>
      </c>
      <c r="AJ31" s="29">
        <f>'PANDU IKPP'!AE14</f>
        <v>0</v>
      </c>
      <c r="AK31" s="29">
        <f>'PANDU IKPP'!AF14</f>
        <v>0</v>
      </c>
      <c r="AL31" s="29">
        <f>'PANDU IKPP'!AG14</f>
        <v>0</v>
      </c>
      <c r="AM31" s="29">
        <f>'PANDU IKPP'!AH14</f>
        <v>0</v>
      </c>
      <c r="AN31" s="39">
        <f>SUM(AB31:AM31)</f>
        <v>0</v>
      </c>
    </row>
    <row r="32" spans="1:41">
      <c r="A32" t="s">
        <v>69</v>
      </c>
      <c r="B32" t="s">
        <v>86</v>
      </c>
      <c r="C32" s="40" t="s">
        <v>20</v>
      </c>
      <c r="D32" s="104">
        <v>389.33</v>
      </c>
      <c r="E32" s="42"/>
      <c r="F32" s="42"/>
      <c r="G32" s="42"/>
      <c r="H32" s="42"/>
      <c r="I32" s="42"/>
      <c r="J32" s="42"/>
      <c r="K32" s="43"/>
      <c r="L32" s="43"/>
      <c r="M32" s="43"/>
      <c r="N32" s="43"/>
      <c r="O32" s="43"/>
      <c r="P32" s="43"/>
      <c r="Z32" s="40" t="s">
        <v>20</v>
      </c>
      <c r="AA32" s="41">
        <v>389</v>
      </c>
      <c r="AB32" s="42"/>
      <c r="AC32" s="42"/>
      <c r="AD32" s="42"/>
      <c r="AE32" s="42"/>
      <c r="AF32" s="42"/>
      <c r="AG32" s="42"/>
      <c r="AH32" s="43"/>
      <c r="AI32" s="43"/>
      <c r="AJ32" s="43"/>
      <c r="AK32" s="43"/>
      <c r="AL32" s="43"/>
      <c r="AM32" s="43"/>
    </row>
    <row r="33" spans="1:43">
      <c r="A33" t="s">
        <v>70</v>
      </c>
      <c r="B33" t="s">
        <v>70</v>
      </c>
      <c r="C33" s="40" t="s">
        <v>21</v>
      </c>
      <c r="D33" s="104">
        <v>0.01</v>
      </c>
      <c r="E33" s="42"/>
      <c r="F33" s="42"/>
      <c r="G33" s="42"/>
      <c r="H33" s="42"/>
      <c r="I33" s="42"/>
      <c r="J33" s="42"/>
      <c r="K33" s="43"/>
      <c r="L33" s="43"/>
      <c r="M33" s="43"/>
      <c r="N33" s="43"/>
      <c r="O33" s="43"/>
      <c r="P33" s="43"/>
      <c r="Z33" s="40" t="s">
        <v>21</v>
      </c>
      <c r="AA33" s="41">
        <v>0.01</v>
      </c>
      <c r="AB33" s="42"/>
      <c r="AC33" s="42"/>
      <c r="AD33" s="42"/>
      <c r="AE33" s="42"/>
      <c r="AF33" s="42"/>
      <c r="AG33" s="42"/>
      <c r="AH33" s="43"/>
      <c r="AI33" s="43"/>
      <c r="AJ33" s="43"/>
      <c r="AK33" s="43"/>
      <c r="AL33" s="43"/>
      <c r="AM33" s="43"/>
    </row>
    <row r="34" spans="1:43">
      <c r="A34" t="s">
        <v>71</v>
      </c>
      <c r="B34" t="s">
        <v>87</v>
      </c>
      <c r="C34" s="40" t="s">
        <v>20</v>
      </c>
      <c r="D34" s="104">
        <v>859.52</v>
      </c>
      <c r="E34" s="42">
        <f>E30*$G$3</f>
        <v>0</v>
      </c>
      <c r="F34" s="42">
        <f t="shared" ref="F34:P35" si="7">F30*$G$3</f>
        <v>0</v>
      </c>
      <c r="G34" s="42">
        <f t="shared" si="7"/>
        <v>0</v>
      </c>
      <c r="H34" s="42">
        <f t="shared" si="7"/>
        <v>0</v>
      </c>
      <c r="I34" s="42">
        <f t="shared" si="7"/>
        <v>0</v>
      </c>
      <c r="J34" s="42">
        <f t="shared" si="7"/>
        <v>0</v>
      </c>
      <c r="K34" s="42">
        <f t="shared" si="7"/>
        <v>0</v>
      </c>
      <c r="L34" s="42">
        <f t="shared" si="7"/>
        <v>0</v>
      </c>
      <c r="M34" s="42">
        <f t="shared" si="7"/>
        <v>0</v>
      </c>
      <c r="N34" s="42">
        <f t="shared" si="7"/>
        <v>0</v>
      </c>
      <c r="O34" s="42">
        <f t="shared" si="7"/>
        <v>0</v>
      </c>
      <c r="P34" s="42">
        <f t="shared" si="7"/>
        <v>0</v>
      </c>
      <c r="Q34" s="39">
        <f>SUM(E34:P34)</f>
        <v>0</v>
      </c>
      <c r="T34" s="67"/>
      <c r="Z34" s="40" t="s">
        <v>20</v>
      </c>
      <c r="AA34" s="41">
        <v>859</v>
      </c>
      <c r="AB34" s="42">
        <f>AB$30*$AD$3</f>
        <v>0</v>
      </c>
      <c r="AC34" s="42">
        <f t="shared" ref="AC34:AM34" si="8">AC$30*$AD$3</f>
        <v>0</v>
      </c>
      <c r="AD34" s="42">
        <f t="shared" si="8"/>
        <v>0</v>
      </c>
      <c r="AE34" s="42">
        <f t="shared" si="8"/>
        <v>0</v>
      </c>
      <c r="AF34" s="42">
        <f t="shared" si="8"/>
        <v>0</v>
      </c>
      <c r="AG34" s="42">
        <f t="shared" si="8"/>
        <v>0</v>
      </c>
      <c r="AH34" s="42">
        <f t="shared" si="8"/>
        <v>0</v>
      </c>
      <c r="AI34" s="42">
        <f t="shared" si="8"/>
        <v>0</v>
      </c>
      <c r="AJ34" s="42">
        <f t="shared" si="8"/>
        <v>0</v>
      </c>
      <c r="AK34" s="42">
        <f t="shared" si="8"/>
        <v>0</v>
      </c>
      <c r="AL34" s="42">
        <f t="shared" si="8"/>
        <v>0</v>
      </c>
      <c r="AM34" s="42">
        <f t="shared" si="8"/>
        <v>0</v>
      </c>
      <c r="AN34" s="39">
        <f>SUM(AB34:AM34)</f>
        <v>0</v>
      </c>
    </row>
    <row r="35" spans="1:43">
      <c r="A35" t="s">
        <v>70</v>
      </c>
      <c r="B35" t="s">
        <v>70</v>
      </c>
      <c r="C35" s="40" t="s">
        <v>21</v>
      </c>
      <c r="D35" s="104">
        <v>0.01</v>
      </c>
      <c r="E35" s="42">
        <f>E31*$G$3</f>
        <v>0</v>
      </c>
      <c r="F35" s="42">
        <f t="shared" si="7"/>
        <v>0</v>
      </c>
      <c r="G35" s="42">
        <f t="shared" si="7"/>
        <v>0</v>
      </c>
      <c r="H35" s="42">
        <f t="shared" si="7"/>
        <v>0</v>
      </c>
      <c r="I35" s="42">
        <f t="shared" si="7"/>
        <v>0</v>
      </c>
      <c r="J35" s="42">
        <f t="shared" si="7"/>
        <v>0</v>
      </c>
      <c r="K35" s="42">
        <f t="shared" si="7"/>
        <v>0</v>
      </c>
      <c r="L35" s="42">
        <f t="shared" si="7"/>
        <v>0</v>
      </c>
      <c r="M35" s="42">
        <f>M31*$G$3</f>
        <v>0</v>
      </c>
      <c r="N35" s="42">
        <f t="shared" si="7"/>
        <v>0</v>
      </c>
      <c r="O35" s="42">
        <f t="shared" si="7"/>
        <v>0</v>
      </c>
      <c r="P35" s="42">
        <f t="shared" si="7"/>
        <v>0</v>
      </c>
      <c r="Q35" s="39">
        <f>SUM(E35:P35)</f>
        <v>0</v>
      </c>
      <c r="T35" s="39"/>
      <c r="Z35" s="40" t="s">
        <v>21</v>
      </c>
      <c r="AA35" s="41">
        <v>0.01</v>
      </c>
      <c r="AB35" s="42">
        <f>AB$31*$AD$3</f>
        <v>0</v>
      </c>
      <c r="AC35" s="42">
        <f t="shared" ref="AC35:AM35" si="9">AC$31*$AD$3</f>
        <v>0</v>
      </c>
      <c r="AD35" s="42">
        <f t="shared" si="9"/>
        <v>0</v>
      </c>
      <c r="AE35" s="42">
        <f t="shared" si="9"/>
        <v>0</v>
      </c>
      <c r="AF35" s="42">
        <f t="shared" si="9"/>
        <v>0</v>
      </c>
      <c r="AG35" s="42">
        <f t="shared" si="9"/>
        <v>0</v>
      </c>
      <c r="AH35" s="42">
        <f t="shared" si="9"/>
        <v>0</v>
      </c>
      <c r="AI35" s="42">
        <f t="shared" si="9"/>
        <v>0</v>
      </c>
      <c r="AJ35" s="42">
        <f t="shared" si="9"/>
        <v>0</v>
      </c>
      <c r="AK35" s="42">
        <f t="shared" si="9"/>
        <v>0</v>
      </c>
      <c r="AL35" s="42">
        <f t="shared" si="9"/>
        <v>0</v>
      </c>
      <c r="AM35" s="42">
        <f t="shared" si="9"/>
        <v>0</v>
      </c>
      <c r="AN35" s="39">
        <f>SUM(AB35:AM35)</f>
        <v>0</v>
      </c>
    </row>
    <row r="36" spans="1:43">
      <c r="A36" t="s">
        <v>72</v>
      </c>
      <c r="B36" t="s">
        <v>88</v>
      </c>
      <c r="C36" s="40" t="s">
        <v>20</v>
      </c>
      <c r="D36" s="104">
        <v>1342.72</v>
      </c>
      <c r="E36" s="42"/>
      <c r="F36" s="42"/>
      <c r="G36" s="42"/>
      <c r="H36" s="42"/>
      <c r="I36" s="42"/>
      <c r="J36" s="42"/>
      <c r="K36" s="43"/>
      <c r="L36" s="43"/>
      <c r="M36" s="43"/>
      <c r="N36" s="43"/>
      <c r="O36" s="43"/>
      <c r="P36" s="43"/>
      <c r="Z36" s="40" t="s">
        <v>20</v>
      </c>
      <c r="AA36" s="41">
        <v>1342.72</v>
      </c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39"/>
    </row>
    <row r="37" spans="1:43">
      <c r="A37" t="s">
        <v>70</v>
      </c>
      <c r="B37" t="s">
        <v>70</v>
      </c>
      <c r="C37" s="40" t="s">
        <v>21</v>
      </c>
      <c r="D37" s="104">
        <v>0.01</v>
      </c>
      <c r="E37" s="42"/>
      <c r="F37" s="42"/>
      <c r="G37" s="42"/>
      <c r="H37" s="42"/>
      <c r="I37" s="42"/>
      <c r="J37" s="42"/>
      <c r="K37" s="43"/>
      <c r="L37" s="43"/>
      <c r="M37" s="43"/>
      <c r="N37" s="43"/>
      <c r="O37" s="43"/>
      <c r="P37" s="43"/>
      <c r="Z37" s="40" t="s">
        <v>21</v>
      </c>
      <c r="AA37" s="41">
        <v>0.01</v>
      </c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39"/>
    </row>
    <row r="38" spans="1:43">
      <c r="A38" t="s">
        <v>73</v>
      </c>
      <c r="B38" t="s">
        <v>89</v>
      </c>
      <c r="C38" s="40" t="s">
        <v>20</v>
      </c>
      <c r="D38" s="104">
        <v>1700.12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Z38" s="40" t="s">
        <v>20</v>
      </c>
      <c r="AA38" s="41">
        <v>1700.12</v>
      </c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</row>
    <row r="39" spans="1:43">
      <c r="A39" t="s">
        <v>70</v>
      </c>
      <c r="B39" t="s">
        <v>70</v>
      </c>
      <c r="C39" s="40" t="s">
        <v>21</v>
      </c>
      <c r="D39" s="105">
        <v>7.0000000000000001E-3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Z39" s="40" t="s">
        <v>21</v>
      </c>
      <c r="AA39" s="41">
        <v>7.0000000000000001E-3</v>
      </c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</row>
    <row r="40" spans="1:43">
      <c r="A40" t="s">
        <v>74</v>
      </c>
      <c r="B40" t="s">
        <v>90</v>
      </c>
      <c r="C40" s="40" t="s">
        <v>20</v>
      </c>
      <c r="D40" s="104">
        <v>1921.86</v>
      </c>
      <c r="E40" s="42"/>
      <c r="F40" s="42"/>
      <c r="G40" s="42"/>
      <c r="H40" s="42"/>
      <c r="I40" s="42"/>
      <c r="J40" s="42"/>
      <c r="K40" s="43"/>
      <c r="L40" s="43"/>
      <c r="M40" s="43"/>
      <c r="N40" s="43"/>
      <c r="O40" s="43"/>
      <c r="P40" s="43"/>
      <c r="Z40" s="40" t="s">
        <v>20</v>
      </c>
      <c r="AA40" s="41">
        <v>1921.86</v>
      </c>
      <c r="AB40" s="42"/>
      <c r="AC40" s="42"/>
      <c r="AD40" s="42"/>
      <c r="AE40" s="42"/>
      <c r="AF40" s="42"/>
      <c r="AG40" s="42"/>
      <c r="AH40" s="43"/>
      <c r="AI40" s="43"/>
      <c r="AJ40" s="43"/>
      <c r="AK40" s="43"/>
      <c r="AL40" s="43"/>
      <c r="AM40" s="43"/>
    </row>
    <row r="41" spans="1:43">
      <c r="A41" t="s">
        <v>70</v>
      </c>
      <c r="B41" t="s">
        <v>70</v>
      </c>
      <c r="C41" s="40" t="s">
        <v>21</v>
      </c>
      <c r="D41" s="105">
        <v>5.0000000000000001E-3</v>
      </c>
      <c r="E41" s="42"/>
      <c r="F41" s="42"/>
      <c r="G41" s="42"/>
      <c r="H41" s="42"/>
      <c r="I41" s="42"/>
      <c r="J41" s="42"/>
      <c r="K41" s="43"/>
      <c r="L41" s="43"/>
      <c r="M41" s="43"/>
      <c r="N41" s="43"/>
      <c r="O41" s="43"/>
      <c r="P41" s="43"/>
      <c r="Z41" s="40" t="s">
        <v>21</v>
      </c>
      <c r="AA41" s="41">
        <v>5.0000000000000001E-3</v>
      </c>
      <c r="AB41" s="42"/>
      <c r="AC41" s="42"/>
      <c r="AD41" s="42"/>
      <c r="AE41" s="42"/>
      <c r="AF41" s="42"/>
      <c r="AG41" s="42"/>
      <c r="AH41" s="43"/>
      <c r="AI41" s="43"/>
      <c r="AJ41" s="43"/>
      <c r="AK41" s="43"/>
      <c r="AL41" s="43"/>
      <c r="AM41" s="43"/>
    </row>
    <row r="42" spans="1:43">
      <c r="A42" t="s">
        <v>75</v>
      </c>
      <c r="B42" t="s">
        <v>91</v>
      </c>
      <c r="C42" s="40" t="s">
        <v>20</v>
      </c>
      <c r="D42" s="104">
        <v>2000.72</v>
      </c>
      <c r="E42" s="42"/>
      <c r="F42" s="42"/>
      <c r="G42" s="42"/>
      <c r="H42" s="42"/>
      <c r="I42" s="42"/>
      <c r="J42" s="42"/>
      <c r="K42" s="43"/>
      <c r="L42" s="43"/>
      <c r="M42" s="43"/>
      <c r="N42" s="43"/>
      <c r="O42" s="43"/>
      <c r="P42" s="43"/>
      <c r="Z42" s="40" t="s">
        <v>20</v>
      </c>
      <c r="AA42" s="41">
        <v>2000.72</v>
      </c>
      <c r="AB42" s="42"/>
      <c r="AC42" s="42"/>
      <c r="AD42" s="42"/>
      <c r="AE42" s="42"/>
      <c r="AF42" s="42"/>
      <c r="AG42" s="42"/>
      <c r="AH42" s="43"/>
      <c r="AI42" s="43"/>
      <c r="AJ42" s="43"/>
      <c r="AK42" s="43"/>
      <c r="AL42" s="43"/>
      <c r="AM42" s="43"/>
    </row>
    <row r="43" spans="1:43">
      <c r="A43" t="s">
        <v>70</v>
      </c>
      <c r="B43" t="s">
        <v>70</v>
      </c>
      <c r="C43" s="40" t="s">
        <v>21</v>
      </c>
      <c r="D43" s="104">
        <v>5.0000000000000001E-3</v>
      </c>
      <c r="E43" s="42"/>
      <c r="F43" s="42"/>
      <c r="G43" s="42"/>
      <c r="H43" s="42"/>
      <c r="I43" s="42"/>
      <c r="J43" s="42"/>
      <c r="K43" s="43"/>
      <c r="L43" s="43"/>
      <c r="M43" s="43"/>
      <c r="N43" s="43"/>
      <c r="O43" s="43"/>
      <c r="P43" s="43"/>
      <c r="Z43" s="40" t="s">
        <v>21</v>
      </c>
      <c r="AA43" s="41">
        <v>5.0000000000000001E-3</v>
      </c>
      <c r="AB43" s="42"/>
      <c r="AC43" s="42"/>
      <c r="AD43" s="42"/>
      <c r="AE43" s="42"/>
      <c r="AF43" s="42"/>
      <c r="AG43" s="42"/>
      <c r="AH43" s="43"/>
      <c r="AI43" s="43"/>
      <c r="AJ43" s="43"/>
      <c r="AK43" s="43"/>
      <c r="AL43" s="43"/>
      <c r="AM43" s="43"/>
    </row>
    <row r="44" spans="1:43">
      <c r="A44" t="s">
        <v>76</v>
      </c>
      <c r="B44" t="s">
        <v>92</v>
      </c>
      <c r="C44" s="40" t="s">
        <v>20</v>
      </c>
      <c r="D44" s="104">
        <v>2129.14</v>
      </c>
      <c r="E44" s="42"/>
      <c r="F44" s="42"/>
      <c r="G44" s="42"/>
      <c r="H44" s="42"/>
      <c r="I44" s="42"/>
      <c r="J44" s="42"/>
      <c r="K44" s="43"/>
      <c r="L44" s="43"/>
      <c r="M44" s="43"/>
      <c r="N44" s="43"/>
      <c r="O44" s="43"/>
      <c r="P44" s="43"/>
      <c r="Z44" s="40" t="s">
        <v>20</v>
      </c>
      <c r="AA44" s="41">
        <v>2129.14</v>
      </c>
      <c r="AB44" s="42"/>
      <c r="AC44" s="42"/>
      <c r="AD44" s="42"/>
      <c r="AE44" s="42"/>
      <c r="AF44" s="42"/>
      <c r="AG44" s="42"/>
      <c r="AH44" s="43"/>
      <c r="AI44" s="43"/>
      <c r="AJ44" s="43"/>
      <c r="AK44" s="43"/>
      <c r="AL44" s="43"/>
      <c r="AM44" s="43"/>
    </row>
    <row r="45" spans="1:43">
      <c r="A45" t="s">
        <v>70</v>
      </c>
      <c r="B45" t="s">
        <v>70</v>
      </c>
      <c r="C45" s="40" t="s">
        <v>21</v>
      </c>
      <c r="D45" s="104">
        <v>2E-3</v>
      </c>
      <c r="E45" s="42"/>
      <c r="F45" s="42"/>
      <c r="G45" s="42"/>
      <c r="H45" s="42"/>
      <c r="I45" s="42"/>
      <c r="J45" s="42"/>
      <c r="K45" s="43"/>
      <c r="L45" s="43"/>
      <c r="M45" s="43"/>
      <c r="N45" s="43"/>
      <c r="O45" s="43"/>
      <c r="P45" s="43"/>
      <c r="Z45" s="40" t="s">
        <v>21</v>
      </c>
      <c r="AA45" s="41">
        <v>2E-3</v>
      </c>
      <c r="AB45" s="42"/>
      <c r="AC45" s="42"/>
      <c r="AD45" s="42"/>
      <c r="AE45" s="42"/>
      <c r="AF45" s="42"/>
      <c r="AG45" s="42"/>
      <c r="AH45" s="43"/>
      <c r="AI45" s="43"/>
      <c r="AJ45" s="43"/>
      <c r="AK45" s="43"/>
      <c r="AL45" s="43"/>
      <c r="AM45" s="43"/>
    </row>
    <row r="46" spans="1:43">
      <c r="A46" t="s">
        <v>77</v>
      </c>
      <c r="B46" t="s">
        <v>93</v>
      </c>
      <c r="C46" s="40" t="s">
        <v>20</v>
      </c>
      <c r="D46" s="104">
        <v>2751.2</v>
      </c>
      <c r="E46" s="42"/>
      <c r="F46" s="42"/>
      <c r="G46" s="42"/>
      <c r="H46" s="42"/>
      <c r="I46" s="42"/>
      <c r="J46" s="42"/>
      <c r="K46" s="43"/>
      <c r="L46" s="43"/>
      <c r="M46" s="43"/>
      <c r="N46" s="43"/>
      <c r="O46" s="43"/>
      <c r="P46" s="43"/>
      <c r="Z46" s="40" t="s">
        <v>20</v>
      </c>
      <c r="AA46" s="41">
        <v>2751.2</v>
      </c>
      <c r="AB46" s="42"/>
      <c r="AC46" s="42"/>
      <c r="AD46" s="42"/>
      <c r="AE46" s="42"/>
      <c r="AF46" s="42"/>
      <c r="AG46" s="42"/>
      <c r="AH46" s="43"/>
      <c r="AI46" s="43"/>
      <c r="AJ46" s="43"/>
      <c r="AK46" s="43"/>
      <c r="AL46" s="43"/>
      <c r="AM46" s="43"/>
    </row>
    <row r="47" spans="1:43">
      <c r="A47" t="s">
        <v>70</v>
      </c>
      <c r="B47" t="s">
        <v>70</v>
      </c>
      <c r="C47" s="40" t="s">
        <v>21</v>
      </c>
      <c r="D47" s="41">
        <v>2E-3</v>
      </c>
      <c r="E47" s="42"/>
      <c r="F47" s="42"/>
      <c r="G47" s="42"/>
      <c r="H47" s="42"/>
      <c r="I47" s="42"/>
      <c r="J47" s="42"/>
      <c r="K47" s="43"/>
      <c r="L47" s="43"/>
      <c r="M47" s="43"/>
      <c r="N47" s="43"/>
      <c r="O47" s="43"/>
      <c r="P47" s="43"/>
      <c r="Z47" s="40" t="s">
        <v>21</v>
      </c>
      <c r="AA47" s="41">
        <v>2E-3</v>
      </c>
      <c r="AB47" s="42"/>
      <c r="AC47" s="42"/>
      <c r="AD47" s="42"/>
      <c r="AE47" s="42"/>
      <c r="AF47" s="42"/>
      <c r="AG47" s="42"/>
      <c r="AH47" s="43"/>
      <c r="AI47" s="43"/>
      <c r="AJ47" s="43"/>
      <c r="AK47" s="43"/>
      <c r="AL47" s="43"/>
      <c r="AM47" s="43"/>
    </row>
    <row r="48" spans="1:43">
      <c r="A48" t="s">
        <v>70</v>
      </c>
      <c r="B48" t="s">
        <v>70</v>
      </c>
      <c r="E48" s="29">
        <f>E34*$D$34*$E$2</f>
        <v>0</v>
      </c>
      <c r="F48" s="29">
        <f t="shared" ref="F48:P48" si="10">F34*$D$34*$E$2</f>
        <v>0</v>
      </c>
      <c r="G48" s="29">
        <f t="shared" si="10"/>
        <v>0</v>
      </c>
      <c r="H48" s="29">
        <f t="shared" si="10"/>
        <v>0</v>
      </c>
      <c r="I48" s="29">
        <f t="shared" si="10"/>
        <v>0</v>
      </c>
      <c r="J48" s="29">
        <f t="shared" si="10"/>
        <v>0</v>
      </c>
      <c r="K48" s="29">
        <f t="shared" si="10"/>
        <v>0</v>
      </c>
      <c r="L48" s="29">
        <f t="shared" si="10"/>
        <v>0</v>
      </c>
      <c r="M48" s="29">
        <f t="shared" si="10"/>
        <v>0</v>
      </c>
      <c r="N48" s="29">
        <f t="shared" si="10"/>
        <v>0</v>
      </c>
      <c r="O48" s="29">
        <f t="shared" si="10"/>
        <v>0</v>
      </c>
      <c r="P48" s="29">
        <f t="shared" si="10"/>
        <v>0</v>
      </c>
      <c r="Q48" s="39">
        <f>SUM(E48:P48)</f>
        <v>0</v>
      </c>
      <c r="AB48" s="29">
        <f>AB34*$AA$34*$E$2</f>
        <v>0</v>
      </c>
      <c r="AC48" s="29">
        <f t="shared" ref="AC48:AM48" si="11">AC34*$AA$34*$E$2</f>
        <v>0</v>
      </c>
      <c r="AD48" s="29">
        <f t="shared" si="11"/>
        <v>0</v>
      </c>
      <c r="AE48" s="29">
        <f t="shared" si="11"/>
        <v>0</v>
      </c>
      <c r="AF48" s="29">
        <f t="shared" si="11"/>
        <v>0</v>
      </c>
      <c r="AG48" s="29">
        <f t="shared" si="11"/>
        <v>0</v>
      </c>
      <c r="AH48" s="29">
        <f t="shared" si="11"/>
        <v>0</v>
      </c>
      <c r="AI48" s="29">
        <f t="shared" si="11"/>
        <v>0</v>
      </c>
      <c r="AJ48" s="29">
        <f t="shared" si="11"/>
        <v>0</v>
      </c>
      <c r="AK48" s="29">
        <f t="shared" si="11"/>
        <v>0</v>
      </c>
      <c r="AL48" s="29">
        <f t="shared" si="11"/>
        <v>0</v>
      </c>
      <c r="AM48" s="29">
        <f t="shared" si="11"/>
        <v>0</v>
      </c>
      <c r="AN48" s="39">
        <f>SUM(AB48:AM48)</f>
        <v>0</v>
      </c>
      <c r="AP48">
        <v>5686424083.8782101</v>
      </c>
      <c r="AQ48" s="54">
        <f>AN48/AP48</f>
        <v>0</v>
      </c>
    </row>
    <row r="49" spans="1:43">
      <c r="A49" t="s">
        <v>70</v>
      </c>
      <c r="B49" t="s">
        <v>70</v>
      </c>
      <c r="E49" s="29">
        <f>E35*$D$35*$E$2</f>
        <v>0</v>
      </c>
      <c r="F49" s="29">
        <f t="shared" ref="F49:P49" si="12">F35*$D$35*$E$2</f>
        <v>0</v>
      </c>
      <c r="G49" s="29">
        <f t="shared" si="12"/>
        <v>0</v>
      </c>
      <c r="H49" s="29">
        <f t="shared" si="12"/>
        <v>0</v>
      </c>
      <c r="I49" s="29">
        <f t="shared" si="12"/>
        <v>0</v>
      </c>
      <c r="J49" s="29">
        <f t="shared" si="12"/>
        <v>0</v>
      </c>
      <c r="K49" s="29">
        <f t="shared" si="12"/>
        <v>0</v>
      </c>
      <c r="L49" s="29">
        <f t="shared" si="12"/>
        <v>0</v>
      </c>
      <c r="M49" s="29">
        <f t="shared" si="12"/>
        <v>0</v>
      </c>
      <c r="N49" s="29">
        <f t="shared" si="12"/>
        <v>0</v>
      </c>
      <c r="O49" s="29">
        <f t="shared" si="12"/>
        <v>0</v>
      </c>
      <c r="P49" s="29">
        <f t="shared" si="12"/>
        <v>0</v>
      </c>
      <c r="Q49" s="39">
        <f>SUM(E49:P49)</f>
        <v>0</v>
      </c>
      <c r="AB49" s="29">
        <f>AB35*$AA$35*$E$2</f>
        <v>0</v>
      </c>
      <c r="AC49" s="29">
        <f t="shared" ref="AC49:AM49" si="13">AC35*$AA$35*$E$2</f>
        <v>0</v>
      </c>
      <c r="AD49" s="29">
        <f t="shared" si="13"/>
        <v>0</v>
      </c>
      <c r="AE49" s="29">
        <f t="shared" si="13"/>
        <v>0</v>
      </c>
      <c r="AF49" s="29">
        <f t="shared" si="13"/>
        <v>0</v>
      </c>
      <c r="AG49" s="29">
        <f t="shared" si="13"/>
        <v>0</v>
      </c>
      <c r="AH49" s="29">
        <f t="shared" si="13"/>
        <v>0</v>
      </c>
      <c r="AI49" s="29">
        <f t="shared" si="13"/>
        <v>0</v>
      </c>
      <c r="AJ49" s="29">
        <f t="shared" si="13"/>
        <v>0</v>
      </c>
      <c r="AK49" s="29">
        <f t="shared" si="13"/>
        <v>0</v>
      </c>
      <c r="AL49" s="29">
        <f t="shared" si="13"/>
        <v>0</v>
      </c>
      <c r="AM49" s="29">
        <f t="shared" si="13"/>
        <v>0</v>
      </c>
      <c r="AN49" s="39">
        <f>SUM(AB49:AM49)</f>
        <v>0</v>
      </c>
      <c r="AP49">
        <v>476975938.79825771</v>
      </c>
      <c r="AQ49" s="54">
        <f>AN49/AP49</f>
        <v>0</v>
      </c>
    </row>
    <row r="50" spans="1:43">
      <c r="A50" t="s">
        <v>70</v>
      </c>
      <c r="B50" t="s">
        <v>70</v>
      </c>
      <c r="C50" s="47"/>
      <c r="D50" s="47"/>
      <c r="E50" s="45"/>
      <c r="F50" s="45"/>
      <c r="G50" s="45"/>
      <c r="H50" s="45"/>
      <c r="I50" s="45"/>
      <c r="J50" s="45"/>
      <c r="K50" s="46"/>
      <c r="L50" s="46"/>
      <c r="M50" s="46"/>
      <c r="N50" s="46"/>
      <c r="O50" s="46"/>
      <c r="P50" s="46"/>
      <c r="Q50" s="44"/>
      <c r="R50" s="44"/>
      <c r="Z50" s="47"/>
      <c r="AA50" s="47"/>
      <c r="AB50" s="45"/>
      <c r="AC50" s="45"/>
      <c r="AD50" s="45"/>
      <c r="AE50" s="45"/>
      <c r="AF50" s="45"/>
      <c r="AG50" s="45"/>
      <c r="AH50" s="46"/>
      <c r="AI50" s="46"/>
      <c r="AJ50" s="46"/>
      <c r="AK50" s="46"/>
      <c r="AL50" s="46"/>
      <c r="AM50" s="46"/>
      <c r="AN50" s="44"/>
    </row>
    <row r="51" spans="1:43">
      <c r="A51" t="s">
        <v>70</v>
      </c>
      <c r="B51" t="s">
        <v>70</v>
      </c>
      <c r="C51" s="44"/>
      <c r="D51" s="44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8">
        <f>SUM(E51:P51)</f>
        <v>0</v>
      </c>
      <c r="R51" s="44"/>
      <c r="Z51" s="44"/>
      <c r="AA51" s="44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8">
        <f>SUM(AB51:AM51)</f>
        <v>0</v>
      </c>
    </row>
    <row r="52" spans="1:43">
      <c r="A52" t="s">
        <v>70</v>
      </c>
      <c r="B52" t="s">
        <v>70</v>
      </c>
      <c r="C52" t="s">
        <v>57</v>
      </c>
      <c r="E52" s="99">
        <f>'PANDU IKPP'!C19</f>
        <v>0</v>
      </c>
      <c r="F52" s="99">
        <f>'PANDU IKPP'!D19</f>
        <v>3</v>
      </c>
      <c r="G52" s="99">
        <f>'PANDU IKPP'!E19</f>
        <v>2</v>
      </c>
      <c r="H52" s="99">
        <f>'PANDU IKPP'!F19</f>
        <v>3</v>
      </c>
      <c r="I52" s="99">
        <f>'PANDU IKPP'!G19</f>
        <v>3</v>
      </c>
      <c r="J52" s="99">
        <f>'PANDU IKPP'!H19</f>
        <v>4</v>
      </c>
      <c r="K52" s="98">
        <f>'PANDU IKPP'!I19</f>
        <v>2</v>
      </c>
      <c r="L52" s="98">
        <f>'PANDU IKPP'!J19</f>
        <v>3</v>
      </c>
      <c r="M52" s="98">
        <f>'PANDU IKPP'!K19</f>
        <v>2</v>
      </c>
      <c r="N52" s="98">
        <f>'PANDU IKPP'!L19</f>
        <v>4</v>
      </c>
      <c r="O52" s="98">
        <f>'PANDU IKPP'!M19</f>
        <v>3</v>
      </c>
      <c r="P52" s="98">
        <f>'PANDU IKPP'!N19</f>
        <v>3</v>
      </c>
      <c r="Q52" s="39">
        <f>SUM(E52:P52)</f>
        <v>32</v>
      </c>
      <c r="R52">
        <f>Q53/Q52</f>
        <v>12474.833333333332</v>
      </c>
      <c r="Z52" t="s">
        <v>57</v>
      </c>
      <c r="AB52" s="29">
        <f>'PANDU IKPP'!W19</f>
        <v>6</v>
      </c>
      <c r="AC52" s="29">
        <f>'PANDU IKPP'!X19</f>
        <v>5</v>
      </c>
      <c r="AD52" s="29">
        <f>'PANDU IKPP'!Y19</f>
        <v>2</v>
      </c>
      <c r="AE52" s="29">
        <f>'PANDU IKPP'!Z19</f>
        <v>4</v>
      </c>
      <c r="AF52" s="29">
        <f>'PANDU IKPP'!AA19</f>
        <v>1</v>
      </c>
      <c r="AG52" s="29">
        <f>'PANDU IKPP'!AB19</f>
        <v>3</v>
      </c>
      <c r="AH52" s="29">
        <f>'PANDU IKPP'!AC19</f>
        <v>4</v>
      </c>
      <c r="AI52" s="29">
        <f>'PANDU IKPP'!AD19</f>
        <v>6</v>
      </c>
      <c r="AJ52" s="29">
        <f>'PANDU IKPP'!AE19</f>
        <v>5</v>
      </c>
      <c r="AK52" s="29">
        <f>'PANDU IKPP'!AF19</f>
        <v>6</v>
      </c>
      <c r="AL52" s="29">
        <f>'PANDU IKPP'!AG19</f>
        <v>4</v>
      </c>
      <c r="AM52" s="29">
        <f>'PANDU IKPP'!AH19</f>
        <v>5</v>
      </c>
      <c r="AN52" s="39">
        <f>SUM(AB52:AM52)</f>
        <v>51</v>
      </c>
    </row>
    <row r="53" spans="1:43">
      <c r="A53" t="s">
        <v>70</v>
      </c>
      <c r="B53" t="s">
        <v>70</v>
      </c>
      <c r="E53" s="99">
        <f>'PANDU IKPP'!C20</f>
        <v>0</v>
      </c>
      <c r="F53" s="99">
        <f>'PANDU IKPP'!D20</f>
        <v>57001</v>
      </c>
      <c r="G53" s="99">
        <f>'PANDU IKPP'!E20</f>
        <v>3198</v>
      </c>
      <c r="H53" s="99">
        <f>'PANDU IKPP'!F20</f>
        <v>57001</v>
      </c>
      <c r="I53" s="99">
        <f>'PANDU IKPP'!G20</f>
        <v>4797</v>
      </c>
      <c r="J53" s="99">
        <f>'PANDU IKPP'!H20</f>
        <v>76001.333333333328</v>
      </c>
      <c r="K53" s="98">
        <f>'PANDU IKPP'!I20</f>
        <v>3198</v>
      </c>
      <c r="L53" s="98">
        <f>'PANDU IKPP'!J20</f>
        <v>57001</v>
      </c>
      <c r="M53" s="98">
        <f>'PANDU IKPP'!K20</f>
        <v>3198</v>
      </c>
      <c r="N53" s="98">
        <f>'PANDU IKPP'!L20</f>
        <v>76001.333333333328</v>
      </c>
      <c r="O53" s="98">
        <f>'PANDU IKPP'!M20</f>
        <v>4797</v>
      </c>
      <c r="P53" s="98">
        <f>'PANDU IKPP'!N20</f>
        <v>57001</v>
      </c>
      <c r="Q53" s="39">
        <f>SUM(E53:P53)</f>
        <v>399194.66666666663</v>
      </c>
      <c r="AB53" s="29">
        <f>'PANDU IKPP'!W20</f>
        <v>76002</v>
      </c>
      <c r="AC53" s="29">
        <f>'PANDU IKPP'!X20</f>
        <v>57001</v>
      </c>
      <c r="AD53" s="29">
        <f>'PANDU IKPP'!Y20</f>
        <v>3198</v>
      </c>
      <c r="AE53" s="29">
        <f>'PANDU IKPP'!Z20</f>
        <v>57001</v>
      </c>
      <c r="AF53" s="29">
        <f>'PANDU IKPP'!AA20</f>
        <v>4797</v>
      </c>
      <c r="AG53" s="29">
        <f>'PANDU IKPP'!AB20</f>
        <v>76002</v>
      </c>
      <c r="AH53" s="29">
        <f>'PANDU IKPP'!AC20</f>
        <v>3198</v>
      </c>
      <c r="AI53" s="29">
        <f>'PANDU IKPP'!AD20</f>
        <v>57001</v>
      </c>
      <c r="AJ53" s="29">
        <f>'PANDU IKPP'!AE20</f>
        <v>3198</v>
      </c>
      <c r="AK53" s="29">
        <f>'PANDU IKPP'!AF20</f>
        <v>76002</v>
      </c>
      <c r="AL53" s="29">
        <f>'PANDU IKPP'!AG20</f>
        <v>4797</v>
      </c>
      <c r="AM53" s="29">
        <f>'PANDU IKPP'!AH20</f>
        <v>57001</v>
      </c>
      <c r="AN53" s="39">
        <f>SUM(AB53:AM53)</f>
        <v>475198</v>
      </c>
    </row>
    <row r="54" spans="1:43">
      <c r="A54" t="s">
        <v>69</v>
      </c>
      <c r="B54" t="s">
        <v>86</v>
      </c>
      <c r="C54" s="40" t="s">
        <v>20</v>
      </c>
      <c r="D54" s="104">
        <v>389.33</v>
      </c>
      <c r="E54" s="42"/>
      <c r="F54" s="42"/>
      <c r="G54" s="42"/>
      <c r="H54" s="42"/>
      <c r="I54" s="42"/>
      <c r="J54" s="42"/>
      <c r="K54" s="43"/>
      <c r="L54" s="43"/>
      <c r="M54" s="43"/>
      <c r="N54" s="43"/>
      <c r="O54" s="43"/>
      <c r="P54" s="43"/>
      <c r="Z54" s="40" t="s">
        <v>20</v>
      </c>
      <c r="AA54" s="41">
        <v>389</v>
      </c>
      <c r="AB54" s="42"/>
      <c r="AC54" s="42"/>
      <c r="AD54" s="42"/>
      <c r="AE54" s="42"/>
      <c r="AF54" s="42"/>
      <c r="AG54" s="42"/>
      <c r="AH54" s="43"/>
      <c r="AI54" s="43"/>
      <c r="AJ54" s="43"/>
      <c r="AK54" s="43"/>
      <c r="AL54" s="43"/>
      <c r="AM54" s="43"/>
    </row>
    <row r="55" spans="1:43">
      <c r="A55" t="s">
        <v>70</v>
      </c>
      <c r="B55" t="s">
        <v>70</v>
      </c>
      <c r="C55" s="40" t="s">
        <v>21</v>
      </c>
      <c r="D55" s="104">
        <v>0.01</v>
      </c>
      <c r="E55" s="42"/>
      <c r="F55" s="42"/>
      <c r="G55" s="42"/>
      <c r="H55" s="42"/>
      <c r="I55" s="42"/>
      <c r="J55" s="42"/>
      <c r="K55" s="43"/>
      <c r="L55" s="43"/>
      <c r="M55" s="43"/>
      <c r="N55" s="43"/>
      <c r="O55" s="43"/>
      <c r="P55" s="43"/>
      <c r="Z55" s="40" t="s">
        <v>21</v>
      </c>
      <c r="AA55" s="41">
        <v>0.01</v>
      </c>
      <c r="AB55" s="42"/>
      <c r="AC55" s="42"/>
      <c r="AD55" s="42"/>
      <c r="AE55" s="42"/>
      <c r="AF55" s="42"/>
      <c r="AG55" s="42"/>
      <c r="AH55" s="43"/>
      <c r="AI55" s="43"/>
      <c r="AJ55" s="43"/>
      <c r="AK55" s="43"/>
      <c r="AL55" s="43"/>
      <c r="AM55" s="43"/>
    </row>
    <row r="56" spans="1:43">
      <c r="A56" t="s">
        <v>71</v>
      </c>
      <c r="B56" t="s">
        <v>87</v>
      </c>
      <c r="C56" s="40" t="s">
        <v>20</v>
      </c>
      <c r="D56" s="104">
        <v>859.52</v>
      </c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Z56" s="40" t="s">
        <v>20</v>
      </c>
      <c r="AA56" s="41">
        <v>859</v>
      </c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</row>
    <row r="57" spans="1:43">
      <c r="A57" t="s">
        <v>70</v>
      </c>
      <c r="B57" t="s">
        <v>70</v>
      </c>
      <c r="C57" s="40" t="s">
        <v>21</v>
      </c>
      <c r="D57" s="104">
        <v>0.01</v>
      </c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Z57" s="40" t="s">
        <v>21</v>
      </c>
      <c r="AA57" s="41">
        <v>0.01</v>
      </c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</row>
    <row r="58" spans="1:43">
      <c r="A58" t="s">
        <v>72</v>
      </c>
      <c r="B58" t="s">
        <v>88</v>
      </c>
      <c r="C58" s="40" t="s">
        <v>20</v>
      </c>
      <c r="D58" s="104">
        <v>1342.72</v>
      </c>
      <c r="E58" s="42"/>
      <c r="F58" s="42"/>
      <c r="G58" s="42"/>
      <c r="H58" s="42"/>
      <c r="I58" s="42"/>
      <c r="J58" s="42"/>
      <c r="K58" s="43"/>
      <c r="L58" s="43"/>
      <c r="M58" s="43"/>
      <c r="N58" s="43"/>
      <c r="O58" s="43"/>
      <c r="P58" s="43"/>
      <c r="Z58" s="40" t="s">
        <v>20</v>
      </c>
      <c r="AA58" s="41">
        <v>1342.72</v>
      </c>
      <c r="AB58" s="42"/>
      <c r="AC58" s="42"/>
      <c r="AD58" s="42"/>
      <c r="AE58" s="42"/>
      <c r="AF58" s="42"/>
      <c r="AG58" s="42"/>
      <c r="AH58" s="43"/>
      <c r="AI58" s="43"/>
      <c r="AJ58" s="43"/>
      <c r="AK58" s="43"/>
      <c r="AL58" s="43"/>
      <c r="AM58" s="43"/>
    </row>
    <row r="59" spans="1:43">
      <c r="A59" t="s">
        <v>70</v>
      </c>
      <c r="B59" t="s">
        <v>70</v>
      </c>
      <c r="C59" s="40" t="s">
        <v>21</v>
      </c>
      <c r="D59" s="104">
        <v>0.01</v>
      </c>
      <c r="E59" s="42"/>
      <c r="F59" s="42"/>
      <c r="G59" s="42"/>
      <c r="H59" s="42"/>
      <c r="I59" s="42"/>
      <c r="J59" s="42"/>
      <c r="K59" s="43"/>
      <c r="L59" s="43"/>
      <c r="M59" s="43"/>
      <c r="N59" s="43"/>
      <c r="O59" s="43"/>
      <c r="P59" s="43"/>
      <c r="Z59" s="40" t="s">
        <v>21</v>
      </c>
      <c r="AA59" s="41">
        <v>0.01</v>
      </c>
      <c r="AB59" s="42"/>
      <c r="AC59" s="42"/>
      <c r="AD59" s="42"/>
      <c r="AE59" s="42"/>
      <c r="AF59" s="42"/>
      <c r="AG59" s="42"/>
      <c r="AH59" s="43"/>
      <c r="AI59" s="43"/>
      <c r="AJ59" s="43"/>
      <c r="AK59" s="43"/>
      <c r="AL59" s="43"/>
      <c r="AM59" s="43"/>
    </row>
    <row r="60" spans="1:43">
      <c r="A60" t="s">
        <v>73</v>
      </c>
      <c r="B60" t="s">
        <v>89</v>
      </c>
      <c r="C60" s="40" t="s">
        <v>20</v>
      </c>
      <c r="D60" s="104">
        <v>1700.12</v>
      </c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Z60" s="40" t="s">
        <v>20</v>
      </c>
      <c r="AA60" s="41">
        <v>1700.12</v>
      </c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</row>
    <row r="61" spans="1:43">
      <c r="A61" t="s">
        <v>70</v>
      </c>
      <c r="B61" t="s">
        <v>70</v>
      </c>
      <c r="C61" s="40" t="s">
        <v>21</v>
      </c>
      <c r="D61" s="105">
        <v>7.0000000000000001E-3</v>
      </c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Z61" s="40" t="s">
        <v>21</v>
      </c>
      <c r="AA61" s="41">
        <v>7.0000000000000001E-3</v>
      </c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</row>
    <row r="62" spans="1:43">
      <c r="A62" t="s">
        <v>74</v>
      </c>
      <c r="B62" t="s">
        <v>90</v>
      </c>
      <c r="C62" s="40" t="s">
        <v>20</v>
      </c>
      <c r="D62" s="104">
        <v>1921.86</v>
      </c>
      <c r="E62" s="42"/>
      <c r="F62" s="42"/>
      <c r="G62" s="42"/>
      <c r="H62" s="42"/>
      <c r="I62" s="42"/>
      <c r="J62" s="42"/>
      <c r="K62" s="43"/>
      <c r="L62" s="43"/>
      <c r="M62" s="43"/>
      <c r="N62" s="43"/>
      <c r="O62" s="43"/>
      <c r="P62" s="43"/>
      <c r="Z62" s="40" t="s">
        <v>20</v>
      </c>
      <c r="AA62" s="41">
        <v>1921.86</v>
      </c>
      <c r="AB62" s="42"/>
      <c r="AC62" s="42"/>
      <c r="AD62" s="42"/>
      <c r="AE62" s="42"/>
      <c r="AF62" s="42"/>
      <c r="AG62" s="42"/>
      <c r="AH62" s="43"/>
      <c r="AI62" s="43"/>
      <c r="AJ62" s="43"/>
      <c r="AK62" s="43"/>
      <c r="AL62" s="43"/>
      <c r="AM62" s="43"/>
    </row>
    <row r="63" spans="1:43">
      <c r="A63" t="s">
        <v>70</v>
      </c>
      <c r="B63" t="s">
        <v>70</v>
      </c>
      <c r="C63" s="40" t="s">
        <v>21</v>
      </c>
      <c r="D63" s="105">
        <v>5.0000000000000001E-3</v>
      </c>
      <c r="E63" s="42"/>
      <c r="F63" s="42"/>
      <c r="G63" s="42"/>
      <c r="H63" s="42"/>
      <c r="I63" s="42"/>
      <c r="J63" s="42"/>
      <c r="K63" s="43"/>
      <c r="L63" s="43"/>
      <c r="M63" s="43"/>
      <c r="N63" s="43"/>
      <c r="O63" s="43"/>
      <c r="P63" s="43"/>
      <c r="Z63" s="40" t="s">
        <v>21</v>
      </c>
      <c r="AA63" s="41">
        <v>5.0000000000000001E-3</v>
      </c>
      <c r="AB63" s="42"/>
      <c r="AC63" s="42"/>
      <c r="AD63" s="42"/>
      <c r="AE63" s="42"/>
      <c r="AF63" s="42"/>
      <c r="AG63" s="42"/>
      <c r="AH63" s="43"/>
      <c r="AI63" s="43"/>
      <c r="AJ63" s="43"/>
      <c r="AK63" s="43"/>
      <c r="AL63" s="43"/>
      <c r="AM63" s="43"/>
    </row>
    <row r="64" spans="1:43">
      <c r="A64" t="s">
        <v>75</v>
      </c>
      <c r="B64" t="s">
        <v>91</v>
      </c>
      <c r="C64" s="40" t="s">
        <v>20</v>
      </c>
      <c r="D64" s="104">
        <v>2000.72</v>
      </c>
      <c r="E64" s="42">
        <f>E52*$G$3</f>
        <v>0</v>
      </c>
      <c r="F64" s="42">
        <f t="shared" ref="F64:P65" si="14">F52*$G$3</f>
        <v>14.529900000000001</v>
      </c>
      <c r="G64" s="42">
        <f t="shared" si="14"/>
        <v>9.6866000000000003</v>
      </c>
      <c r="H64" s="42">
        <f t="shared" si="14"/>
        <v>14.529900000000001</v>
      </c>
      <c r="I64" s="42">
        <f t="shared" si="14"/>
        <v>14.529900000000001</v>
      </c>
      <c r="J64" s="42">
        <f t="shared" si="14"/>
        <v>19.373200000000001</v>
      </c>
      <c r="K64" s="42">
        <f t="shared" si="14"/>
        <v>9.6866000000000003</v>
      </c>
      <c r="L64" s="42">
        <f t="shared" si="14"/>
        <v>14.529900000000001</v>
      </c>
      <c r="M64" s="42">
        <f t="shared" si="14"/>
        <v>9.6866000000000003</v>
      </c>
      <c r="N64" s="42">
        <f t="shared" si="14"/>
        <v>19.373200000000001</v>
      </c>
      <c r="O64" s="42">
        <f t="shared" si="14"/>
        <v>14.529900000000001</v>
      </c>
      <c r="P64" s="42">
        <f t="shared" si="14"/>
        <v>14.529900000000001</v>
      </c>
      <c r="Q64" s="39">
        <f>SUM(E64:P64)</f>
        <v>154.98560000000001</v>
      </c>
      <c r="T64" s="67"/>
      <c r="Z64" s="40" t="s">
        <v>20</v>
      </c>
      <c r="AA64" s="41">
        <v>2000.72</v>
      </c>
      <c r="AB64" s="42">
        <f>AB52*$AD$3</f>
        <v>27.458046000000003</v>
      </c>
      <c r="AC64" s="42">
        <f t="shared" ref="AC64:AM64" si="15">AC52*$AD$3</f>
        <v>22.881705</v>
      </c>
      <c r="AD64" s="42">
        <f t="shared" si="15"/>
        <v>9.1526820000000004</v>
      </c>
      <c r="AE64" s="42">
        <f t="shared" si="15"/>
        <v>18.305364000000001</v>
      </c>
      <c r="AF64" s="42">
        <f t="shared" si="15"/>
        <v>4.5763410000000002</v>
      </c>
      <c r="AG64" s="42">
        <f t="shared" si="15"/>
        <v>13.729023000000002</v>
      </c>
      <c r="AH64" s="42">
        <f t="shared" si="15"/>
        <v>18.305364000000001</v>
      </c>
      <c r="AI64" s="42">
        <f t="shared" si="15"/>
        <v>27.458046000000003</v>
      </c>
      <c r="AJ64" s="42">
        <f t="shared" si="15"/>
        <v>22.881705</v>
      </c>
      <c r="AK64" s="42">
        <f t="shared" si="15"/>
        <v>27.458046000000003</v>
      </c>
      <c r="AL64" s="42">
        <f t="shared" si="15"/>
        <v>18.305364000000001</v>
      </c>
      <c r="AM64" s="42">
        <f t="shared" si="15"/>
        <v>22.881705</v>
      </c>
      <c r="AN64" s="39">
        <f>SUM(AB64:AM64)</f>
        <v>233.39339100000001</v>
      </c>
    </row>
    <row r="65" spans="1:43">
      <c r="A65" t="s">
        <v>70</v>
      </c>
      <c r="B65" t="s">
        <v>70</v>
      </c>
      <c r="C65" s="40" t="s">
        <v>21</v>
      </c>
      <c r="D65" s="104">
        <v>5.0000000000000001E-3</v>
      </c>
      <c r="E65" s="42">
        <f>E53*$G$3</f>
        <v>0</v>
      </c>
      <c r="F65" s="42">
        <f t="shared" si="14"/>
        <v>276072.94329999998</v>
      </c>
      <c r="G65" s="42">
        <f t="shared" si="14"/>
        <v>15488.8734</v>
      </c>
      <c r="H65" s="42">
        <f t="shared" si="14"/>
        <v>276072.94329999998</v>
      </c>
      <c r="I65" s="42">
        <f t="shared" si="14"/>
        <v>23233.310100000002</v>
      </c>
      <c r="J65" s="42">
        <f t="shared" si="14"/>
        <v>368097.25773333333</v>
      </c>
      <c r="K65" s="42">
        <f t="shared" si="14"/>
        <v>15488.8734</v>
      </c>
      <c r="L65" s="42">
        <f t="shared" si="14"/>
        <v>276072.94329999998</v>
      </c>
      <c r="M65" s="42">
        <f t="shared" si="14"/>
        <v>15488.8734</v>
      </c>
      <c r="N65" s="42">
        <f t="shared" si="14"/>
        <v>368097.25773333333</v>
      </c>
      <c r="O65" s="42">
        <f t="shared" si="14"/>
        <v>23233.310100000002</v>
      </c>
      <c r="P65" s="42">
        <f t="shared" si="14"/>
        <v>276072.94329999998</v>
      </c>
      <c r="Q65" s="39">
        <f>SUM(E65:P65)</f>
        <v>1933419.5290666665</v>
      </c>
      <c r="T65" s="39"/>
      <c r="Z65" s="40" t="s">
        <v>21</v>
      </c>
      <c r="AA65" s="41">
        <v>5.0000000000000001E-3</v>
      </c>
      <c r="AB65" s="42">
        <f>AB53*$AD$3</f>
        <v>347811.06868200004</v>
      </c>
      <c r="AC65" s="42">
        <f t="shared" ref="AC65:AM65" si="16">AC53*$AD$3</f>
        <v>260856.01334100001</v>
      </c>
      <c r="AD65" s="42">
        <f t="shared" si="16"/>
        <v>14635.138518000002</v>
      </c>
      <c r="AE65" s="42">
        <f t="shared" si="16"/>
        <v>260856.01334100001</v>
      </c>
      <c r="AF65" s="42">
        <f t="shared" si="16"/>
        <v>21952.707777</v>
      </c>
      <c r="AG65" s="42">
        <f t="shared" si="16"/>
        <v>347811.06868200004</v>
      </c>
      <c r="AH65" s="42">
        <f t="shared" si="16"/>
        <v>14635.138518000002</v>
      </c>
      <c r="AI65" s="42">
        <f t="shared" si="16"/>
        <v>260856.01334100001</v>
      </c>
      <c r="AJ65" s="42">
        <f t="shared" si="16"/>
        <v>14635.138518000002</v>
      </c>
      <c r="AK65" s="42">
        <f t="shared" si="16"/>
        <v>347811.06868200004</v>
      </c>
      <c r="AL65" s="42">
        <f t="shared" si="16"/>
        <v>21952.707777</v>
      </c>
      <c r="AM65" s="42">
        <f t="shared" si="16"/>
        <v>260856.01334100001</v>
      </c>
      <c r="AN65" s="39">
        <f>SUM(AB65:AM65)</f>
        <v>2174668.0905180005</v>
      </c>
    </row>
    <row r="66" spans="1:43">
      <c r="A66" t="s">
        <v>76</v>
      </c>
      <c r="B66" t="s">
        <v>92</v>
      </c>
      <c r="C66" s="40" t="s">
        <v>20</v>
      </c>
      <c r="D66" s="104">
        <v>2129.14</v>
      </c>
      <c r="E66" s="42"/>
      <c r="F66" s="42"/>
      <c r="G66" s="42"/>
      <c r="H66" s="42"/>
      <c r="I66" s="42"/>
      <c r="J66" s="42"/>
      <c r="K66" s="43"/>
      <c r="L66" s="43"/>
      <c r="M66" s="43"/>
      <c r="N66" s="43"/>
      <c r="O66" s="43"/>
      <c r="P66" s="43"/>
      <c r="Z66" s="40" t="s">
        <v>20</v>
      </c>
      <c r="AA66" s="41">
        <v>2129.14</v>
      </c>
      <c r="AB66" s="42"/>
      <c r="AC66" s="42"/>
      <c r="AD66" s="42"/>
      <c r="AE66" s="42"/>
      <c r="AF66" s="42"/>
      <c r="AG66" s="42"/>
      <c r="AH66" s="43"/>
      <c r="AI66" s="43"/>
      <c r="AJ66" s="43"/>
      <c r="AK66" s="43"/>
      <c r="AL66" s="43"/>
      <c r="AM66" s="43"/>
    </row>
    <row r="67" spans="1:43">
      <c r="A67" t="s">
        <v>70</v>
      </c>
      <c r="B67" t="s">
        <v>70</v>
      </c>
      <c r="C67" s="40" t="s">
        <v>21</v>
      </c>
      <c r="D67" s="104">
        <v>2E-3</v>
      </c>
      <c r="E67" s="42"/>
      <c r="F67" s="42"/>
      <c r="G67" s="42"/>
      <c r="H67" s="42"/>
      <c r="I67" s="42"/>
      <c r="J67" s="42"/>
      <c r="K67" s="43"/>
      <c r="L67" s="43"/>
      <c r="M67" s="43"/>
      <c r="N67" s="43"/>
      <c r="O67" s="43"/>
      <c r="P67" s="43"/>
      <c r="Z67" s="40" t="s">
        <v>21</v>
      </c>
      <c r="AA67" s="41">
        <v>2E-3</v>
      </c>
      <c r="AB67" s="42"/>
      <c r="AC67" s="42"/>
      <c r="AD67" s="42"/>
      <c r="AE67" s="42"/>
      <c r="AF67" s="42"/>
      <c r="AG67" s="42"/>
      <c r="AH67" s="43"/>
      <c r="AI67" s="43"/>
      <c r="AJ67" s="43"/>
      <c r="AK67" s="43"/>
      <c r="AL67" s="43"/>
      <c r="AM67" s="43"/>
    </row>
    <row r="68" spans="1:43">
      <c r="A68" t="s">
        <v>77</v>
      </c>
      <c r="B68" t="s">
        <v>93</v>
      </c>
      <c r="C68" s="40" t="s">
        <v>20</v>
      </c>
      <c r="D68" s="104">
        <v>2751.2</v>
      </c>
      <c r="E68" s="42"/>
      <c r="F68" s="42"/>
      <c r="G68" s="42"/>
      <c r="H68" s="42"/>
      <c r="I68" s="42"/>
      <c r="J68" s="42"/>
      <c r="K68" s="43"/>
      <c r="L68" s="43"/>
      <c r="M68" s="43"/>
      <c r="N68" s="43"/>
      <c r="O68" s="43"/>
      <c r="P68" s="43"/>
      <c r="Z68" s="40" t="s">
        <v>20</v>
      </c>
      <c r="AA68" s="41">
        <v>2751.2</v>
      </c>
      <c r="AB68" s="42"/>
      <c r="AC68" s="42"/>
      <c r="AD68" s="42"/>
      <c r="AE68" s="42"/>
      <c r="AF68" s="42"/>
      <c r="AG68" s="42"/>
      <c r="AH68" s="43"/>
      <c r="AI68" s="43"/>
      <c r="AJ68" s="43"/>
      <c r="AK68" s="43"/>
      <c r="AL68" s="43"/>
      <c r="AM68" s="43"/>
    </row>
    <row r="69" spans="1:43">
      <c r="A69" t="s">
        <v>70</v>
      </c>
      <c r="B69" t="s">
        <v>70</v>
      </c>
      <c r="C69" s="40" t="s">
        <v>21</v>
      </c>
      <c r="D69" s="41">
        <v>2E-3</v>
      </c>
      <c r="E69" s="42"/>
      <c r="F69" s="42"/>
      <c r="G69" s="42"/>
      <c r="H69" s="42"/>
      <c r="I69" s="42"/>
      <c r="J69" s="42"/>
      <c r="K69" s="43"/>
      <c r="L69" s="43"/>
      <c r="M69" s="43"/>
      <c r="N69" s="43"/>
      <c r="O69" s="43"/>
      <c r="P69" s="43"/>
      <c r="Z69" s="40" t="s">
        <v>21</v>
      </c>
      <c r="AA69" s="41">
        <v>2E-3</v>
      </c>
      <c r="AB69" s="42"/>
      <c r="AC69" s="42"/>
      <c r="AD69" s="42"/>
      <c r="AE69" s="42"/>
      <c r="AF69" s="42"/>
      <c r="AG69" s="42"/>
      <c r="AH69" s="43"/>
      <c r="AI69" s="43"/>
      <c r="AJ69" s="43"/>
      <c r="AK69" s="43"/>
      <c r="AL69" s="43"/>
      <c r="AM69" s="43"/>
    </row>
    <row r="70" spans="1:43">
      <c r="A70" t="s">
        <v>70</v>
      </c>
      <c r="B70" t="s">
        <v>70</v>
      </c>
      <c r="E70" s="29">
        <f>E64*$D$64*$E$2</f>
        <v>0</v>
      </c>
      <c r="F70" s="29">
        <f t="shared" ref="F70:P70" si="17">F64*$D$64*$E$2</f>
        <v>491287419.82320005</v>
      </c>
      <c r="G70" s="29">
        <f t="shared" si="17"/>
        <v>327524946.54880005</v>
      </c>
      <c r="H70" s="29">
        <f t="shared" si="17"/>
        <v>491287419.82320005</v>
      </c>
      <c r="I70" s="29">
        <f t="shared" si="17"/>
        <v>491287419.82320005</v>
      </c>
      <c r="J70" s="29">
        <f t="shared" si="17"/>
        <v>655049893.0976001</v>
      </c>
      <c r="K70" s="29">
        <f t="shared" si="17"/>
        <v>327524946.54880005</v>
      </c>
      <c r="L70" s="29">
        <f t="shared" si="17"/>
        <v>491287419.82320005</v>
      </c>
      <c r="M70" s="29">
        <f t="shared" si="17"/>
        <v>327524946.54880005</v>
      </c>
      <c r="N70" s="29">
        <f t="shared" si="17"/>
        <v>655049893.0976001</v>
      </c>
      <c r="O70" s="29">
        <f t="shared" si="17"/>
        <v>491287419.82320005</v>
      </c>
      <c r="P70" s="29">
        <f t="shared" si="17"/>
        <v>491287419.82320005</v>
      </c>
      <c r="Q70" s="39">
        <f>SUM(E70:P70)</f>
        <v>5240399144.7808008</v>
      </c>
      <c r="AB70" s="29">
        <f>AB64*$D$64*$E$2</f>
        <v>928416064.3037281</v>
      </c>
      <c r="AC70" s="29">
        <f t="shared" ref="AC70:AM70" si="18">AC64*$D$64*$E$2</f>
        <v>773680053.58643997</v>
      </c>
      <c r="AD70" s="29">
        <f t="shared" si="18"/>
        <v>309472021.43457597</v>
      </c>
      <c r="AE70" s="29">
        <f t="shared" si="18"/>
        <v>618944042.86915195</v>
      </c>
      <c r="AF70" s="29">
        <f t="shared" si="18"/>
        <v>154736010.71728799</v>
      </c>
      <c r="AG70" s="29">
        <f t="shared" si="18"/>
        <v>464208032.15186405</v>
      </c>
      <c r="AH70" s="29">
        <f t="shared" si="18"/>
        <v>618944042.86915195</v>
      </c>
      <c r="AI70" s="29">
        <f t="shared" si="18"/>
        <v>928416064.3037281</v>
      </c>
      <c r="AJ70" s="29">
        <f t="shared" si="18"/>
        <v>773680053.58643997</v>
      </c>
      <c r="AK70" s="29">
        <f t="shared" si="18"/>
        <v>928416064.3037281</v>
      </c>
      <c r="AL70" s="29">
        <f t="shared" si="18"/>
        <v>618944042.86915195</v>
      </c>
      <c r="AM70" s="29">
        <f t="shared" si="18"/>
        <v>773680053.58643997</v>
      </c>
      <c r="AN70" s="39">
        <f>SUM(AB70:AM70)</f>
        <v>7891536546.5816889</v>
      </c>
      <c r="AP70" s="81">
        <v>11280820041.581953</v>
      </c>
      <c r="AQ70" s="54">
        <f>AN70/AP70</f>
        <v>0.69955344713353196</v>
      </c>
    </row>
    <row r="71" spans="1:43">
      <c r="A71" t="s">
        <v>70</v>
      </c>
      <c r="B71" t="s">
        <v>70</v>
      </c>
      <c r="E71" s="29">
        <f>E65*$D$65*$E$2</f>
        <v>0</v>
      </c>
      <c r="F71" s="29">
        <f t="shared" ref="F71:P71" si="19">F65*$D$65*$E$2</f>
        <v>23328163.70885</v>
      </c>
      <c r="G71" s="29">
        <f t="shared" si="19"/>
        <v>1308809.8023000001</v>
      </c>
      <c r="H71" s="29">
        <f t="shared" si="19"/>
        <v>23328163.70885</v>
      </c>
      <c r="I71" s="29">
        <f t="shared" si="19"/>
        <v>1963214.7034500001</v>
      </c>
      <c r="J71" s="29">
        <f t="shared" si="19"/>
        <v>31104218.278466668</v>
      </c>
      <c r="K71" s="29">
        <f t="shared" si="19"/>
        <v>1308809.8023000001</v>
      </c>
      <c r="L71" s="29">
        <f t="shared" si="19"/>
        <v>23328163.70885</v>
      </c>
      <c r="M71" s="29">
        <f t="shared" si="19"/>
        <v>1308809.8023000001</v>
      </c>
      <c r="N71" s="29">
        <f t="shared" si="19"/>
        <v>31104218.278466668</v>
      </c>
      <c r="O71" s="29">
        <f t="shared" si="19"/>
        <v>1963214.7034500001</v>
      </c>
      <c r="P71" s="29">
        <f t="shared" si="19"/>
        <v>23328163.70885</v>
      </c>
      <c r="Q71" s="39">
        <f>SUM(E71:P71)</f>
        <v>163373950.20613334</v>
      </c>
      <c r="AB71" s="29">
        <f>AB65*$D$65*$E$2</f>
        <v>29390035.303629003</v>
      </c>
      <c r="AC71" s="29">
        <f t="shared" ref="AC71:AM71" si="20">AC65*$D$65*$E$2</f>
        <v>22042333.127314501</v>
      </c>
      <c r="AD71" s="29">
        <f t="shared" si="20"/>
        <v>1236669.2047710002</v>
      </c>
      <c r="AE71" s="29">
        <f t="shared" si="20"/>
        <v>22042333.127314501</v>
      </c>
      <c r="AF71" s="29">
        <f t="shared" si="20"/>
        <v>1855003.8071564999</v>
      </c>
      <c r="AG71" s="29">
        <f t="shared" si="20"/>
        <v>29390035.303629003</v>
      </c>
      <c r="AH71" s="29">
        <f t="shared" si="20"/>
        <v>1236669.2047710002</v>
      </c>
      <c r="AI71" s="29">
        <f t="shared" si="20"/>
        <v>22042333.127314501</v>
      </c>
      <c r="AJ71" s="29">
        <f t="shared" si="20"/>
        <v>1236669.2047710002</v>
      </c>
      <c r="AK71" s="29">
        <f t="shared" si="20"/>
        <v>29390035.303629003</v>
      </c>
      <c r="AL71" s="29">
        <f t="shared" si="20"/>
        <v>1855003.8071564999</v>
      </c>
      <c r="AM71" s="29">
        <f t="shared" si="20"/>
        <v>22042333.127314501</v>
      </c>
      <c r="AN71" s="39">
        <f>SUM(AB71:AM71)</f>
        <v>183759453.64877102</v>
      </c>
      <c r="AP71" s="81">
        <v>1062112138.9958476</v>
      </c>
      <c r="AQ71" s="54">
        <f>AN71/AP71</f>
        <v>0.17301323175018288</v>
      </c>
    </row>
    <row r="72" spans="1:43">
      <c r="A72" t="s">
        <v>70</v>
      </c>
      <c r="B72" t="s">
        <v>70</v>
      </c>
      <c r="C72" s="47"/>
      <c r="D72" s="47"/>
      <c r="E72" s="45"/>
      <c r="F72" s="45"/>
      <c r="G72" s="45"/>
      <c r="H72" s="45"/>
      <c r="I72" s="45"/>
      <c r="J72" s="45"/>
      <c r="K72" s="46"/>
      <c r="L72" s="46"/>
      <c r="M72" s="46"/>
      <c r="N72" s="46"/>
      <c r="O72" s="46"/>
      <c r="P72" s="46"/>
      <c r="Q72" s="44"/>
      <c r="R72" s="44"/>
      <c r="Z72" t="s">
        <v>68</v>
      </c>
      <c r="AB72" s="29">
        <f>(E72*USULAN!$N$2)+E72</f>
        <v>0</v>
      </c>
      <c r="AC72" s="29">
        <f>(F72*USULAN!$N$2)+F72</f>
        <v>0</v>
      </c>
      <c r="AD72" s="29">
        <f>(G72*USULAN!$N$2)+G72</f>
        <v>0</v>
      </c>
      <c r="AE72" s="29">
        <f>(H72*USULAN!$N$2)+H72</f>
        <v>0</v>
      </c>
      <c r="AF72" s="29">
        <f>(I72*USULAN!$N$2)+I72</f>
        <v>0</v>
      </c>
      <c r="AG72" s="29">
        <f>(J72*USULAN!$N$2)+J72</f>
        <v>0</v>
      </c>
      <c r="AH72" s="29">
        <f>(K72*USULAN!$N$2)+K72</f>
        <v>0</v>
      </c>
      <c r="AI72" s="29">
        <f>(L72*USULAN!$N$2)+L72</f>
        <v>0</v>
      </c>
      <c r="AJ72" s="29">
        <f>(M72*USULAN!$N$2)+M72</f>
        <v>0</v>
      </c>
      <c r="AK72" s="29">
        <f>(N72*USULAN!$N$2)+N72</f>
        <v>0</v>
      </c>
      <c r="AL72" s="29">
        <f>(O72*USULAN!$N$2)+O72</f>
        <v>0</v>
      </c>
      <c r="AM72" s="29">
        <f>(P72*USULAN!$N$2)+P72</f>
        <v>0</v>
      </c>
      <c r="AN72" s="44"/>
    </row>
    <row r="73" spans="1:43">
      <c r="A73" t="s">
        <v>70</v>
      </c>
      <c r="B73" t="s">
        <v>70</v>
      </c>
      <c r="C73" s="44"/>
      <c r="D73" s="44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8">
        <f>SUM(E73:P73)</f>
        <v>0</v>
      </c>
      <c r="R73" s="44"/>
      <c r="AB73" s="29">
        <f>(E73*USULAN!$N$2)+E73</f>
        <v>0</v>
      </c>
      <c r="AC73" s="29">
        <f>(F73*USULAN!$N$2)+F73</f>
        <v>0</v>
      </c>
      <c r="AD73" s="29">
        <f>(G73*USULAN!$N$2)+G73</f>
        <v>0</v>
      </c>
      <c r="AE73" s="29">
        <f>(H73*USULAN!$N$2)+H73</f>
        <v>0</v>
      </c>
      <c r="AF73" s="29">
        <f>(I73*USULAN!$N$2)+I73</f>
        <v>0</v>
      </c>
      <c r="AG73" s="29">
        <f>(J73*USULAN!$N$2)+J73</f>
        <v>0</v>
      </c>
      <c r="AH73" s="29">
        <f>(K73*USULAN!$N$2)+K73</f>
        <v>0</v>
      </c>
      <c r="AI73" s="29">
        <f>(L73*USULAN!$N$2)+L73</f>
        <v>0</v>
      </c>
      <c r="AJ73" s="29">
        <f>(M73*USULAN!$N$2)+M73</f>
        <v>0</v>
      </c>
      <c r="AK73" s="29">
        <f>(N73*USULAN!$N$2)+N73</f>
        <v>0</v>
      </c>
      <c r="AL73" s="29">
        <f>(O73*USULAN!$N$2)+O73</f>
        <v>0</v>
      </c>
      <c r="AM73" s="29">
        <f>(P73*USULAN!$N$2)+P73</f>
        <v>0</v>
      </c>
      <c r="AN73" s="48">
        <f>SUM(AB73:AM73)</f>
        <v>0</v>
      </c>
    </row>
    <row r="74" spans="1:43">
      <c r="A74" t="s">
        <v>70</v>
      </c>
      <c r="B74" t="s">
        <v>70</v>
      </c>
      <c r="C74" t="s">
        <v>68</v>
      </c>
      <c r="E74" s="99">
        <f>'PANDU IKPP'!C25</f>
        <v>0</v>
      </c>
      <c r="F74" s="99">
        <f>'PANDU IKPP'!D25</f>
        <v>0</v>
      </c>
      <c r="G74" s="99">
        <f>'PANDU IKPP'!E25</f>
        <v>0</v>
      </c>
      <c r="H74" s="99">
        <f>'PANDU IKPP'!F25</f>
        <v>0</v>
      </c>
      <c r="I74" s="99">
        <f>'PANDU IKPP'!G25</f>
        <v>0</v>
      </c>
      <c r="J74" s="99">
        <f>'PANDU IKPP'!H25</f>
        <v>0</v>
      </c>
      <c r="K74" s="98">
        <f>'PANDU IKPP'!I25</f>
        <v>0</v>
      </c>
      <c r="L74" s="98">
        <f>'PANDU IKPP'!J25</f>
        <v>0</v>
      </c>
      <c r="M74" s="98">
        <f>'PANDU IKPP'!K25</f>
        <v>0</v>
      </c>
      <c r="N74" s="98">
        <f>'PANDU IKPP'!L25</f>
        <v>0</v>
      </c>
      <c r="O74" s="98">
        <f>'PANDU IKPP'!M25</f>
        <v>0</v>
      </c>
      <c r="P74" s="98">
        <f>'PANDU IKPP'!N25</f>
        <v>0</v>
      </c>
      <c r="Q74" s="39">
        <f>SUM(E74:P74)</f>
        <v>0</v>
      </c>
      <c r="R74" s="44"/>
      <c r="Z74" s="40" t="s">
        <v>20</v>
      </c>
      <c r="AA74" s="41">
        <v>389</v>
      </c>
      <c r="AB74" s="42"/>
      <c r="AC74" s="42"/>
      <c r="AD74" s="42"/>
      <c r="AE74" s="42"/>
      <c r="AF74" s="42"/>
      <c r="AG74" s="42"/>
      <c r="AH74" s="43"/>
      <c r="AI74" s="43"/>
      <c r="AJ74" s="43"/>
      <c r="AK74" s="43"/>
      <c r="AL74" s="43"/>
      <c r="AM74" s="43"/>
      <c r="AN74" s="48"/>
    </row>
    <row r="75" spans="1:43">
      <c r="A75" t="s">
        <v>70</v>
      </c>
      <c r="B75" t="s">
        <v>70</v>
      </c>
      <c r="E75" s="99">
        <f>'PANDU IKPP'!C26</f>
        <v>0</v>
      </c>
      <c r="F75" s="99">
        <f>'PANDU IKPP'!D26</f>
        <v>0</v>
      </c>
      <c r="G75" s="99">
        <f>'PANDU IKPP'!E26</f>
        <v>0</v>
      </c>
      <c r="H75" s="99">
        <f>'PANDU IKPP'!F26</f>
        <v>0</v>
      </c>
      <c r="I75" s="99">
        <f>'PANDU IKPP'!G26</f>
        <v>0</v>
      </c>
      <c r="J75" s="99">
        <f>'PANDU IKPP'!H26</f>
        <v>0</v>
      </c>
      <c r="K75" s="98">
        <f>'PANDU IKPP'!I26</f>
        <v>0</v>
      </c>
      <c r="L75" s="98">
        <f>'PANDU IKPP'!J26</f>
        <v>0</v>
      </c>
      <c r="M75" s="98">
        <f>'PANDU IKPP'!K26</f>
        <v>0</v>
      </c>
      <c r="N75" s="98">
        <f>'PANDU IKPP'!L26</f>
        <v>0</v>
      </c>
      <c r="O75" s="98">
        <f>'PANDU IKPP'!M26</f>
        <v>0</v>
      </c>
      <c r="P75" s="98">
        <f>'PANDU IKPP'!N26</f>
        <v>0</v>
      </c>
      <c r="Q75" s="39">
        <f>SUM(E75:P75)</f>
        <v>0</v>
      </c>
      <c r="R75" s="44"/>
      <c r="Z75" s="40" t="s">
        <v>21</v>
      </c>
      <c r="AA75" s="41">
        <v>0.01</v>
      </c>
      <c r="AB75" s="42"/>
      <c r="AC75" s="42"/>
      <c r="AD75" s="42"/>
      <c r="AE75" s="42"/>
      <c r="AF75" s="42"/>
      <c r="AG75" s="42"/>
      <c r="AH75" s="43"/>
      <c r="AI75" s="43"/>
      <c r="AJ75" s="43"/>
      <c r="AK75" s="43"/>
      <c r="AL75" s="43"/>
      <c r="AM75" s="43"/>
      <c r="AN75" s="48"/>
    </row>
    <row r="76" spans="1:43">
      <c r="A76" t="s">
        <v>69</v>
      </c>
      <c r="B76" t="s">
        <v>86</v>
      </c>
      <c r="C76" s="40" t="s">
        <v>20</v>
      </c>
      <c r="D76" s="104">
        <v>389.33</v>
      </c>
      <c r="E76" s="42">
        <f>E74*$G$3</f>
        <v>0</v>
      </c>
      <c r="F76" s="42">
        <f t="shared" ref="F76:P76" si="21">F74*$G$3</f>
        <v>0</v>
      </c>
      <c r="G76" s="42">
        <f t="shared" si="21"/>
        <v>0</v>
      </c>
      <c r="H76" s="42">
        <f t="shared" si="21"/>
        <v>0</v>
      </c>
      <c r="I76" s="42">
        <f t="shared" si="21"/>
        <v>0</v>
      </c>
      <c r="J76" s="42">
        <f t="shared" si="21"/>
        <v>0</v>
      </c>
      <c r="K76" s="42">
        <f t="shared" si="21"/>
        <v>0</v>
      </c>
      <c r="L76" s="42">
        <f t="shared" si="21"/>
        <v>0</v>
      </c>
      <c r="M76" s="42">
        <f t="shared" si="21"/>
        <v>0</v>
      </c>
      <c r="N76" s="42">
        <f t="shared" si="21"/>
        <v>0</v>
      </c>
      <c r="O76" s="42">
        <f t="shared" si="21"/>
        <v>0</v>
      </c>
      <c r="P76" s="42">
        <f t="shared" si="21"/>
        <v>0</v>
      </c>
      <c r="Q76" s="39">
        <f>SUM(E76:P76)</f>
        <v>0</v>
      </c>
      <c r="R76" s="44"/>
      <c r="Z76" s="40" t="s">
        <v>20</v>
      </c>
      <c r="AA76" s="41">
        <v>859</v>
      </c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8"/>
    </row>
    <row r="77" spans="1:43">
      <c r="A77" t="s">
        <v>70</v>
      </c>
      <c r="B77" t="s">
        <v>70</v>
      </c>
      <c r="C77" s="40" t="s">
        <v>21</v>
      </c>
      <c r="D77" s="104">
        <v>0.01</v>
      </c>
      <c r="E77" s="42">
        <f>E75*$G$3</f>
        <v>0</v>
      </c>
      <c r="F77" s="42">
        <f t="shared" ref="F77:P77" si="22">F75*$G$3</f>
        <v>0</v>
      </c>
      <c r="G77" s="42">
        <f t="shared" si="22"/>
        <v>0</v>
      </c>
      <c r="H77" s="42">
        <f t="shared" si="22"/>
        <v>0</v>
      </c>
      <c r="I77" s="42">
        <f t="shared" si="22"/>
        <v>0</v>
      </c>
      <c r="J77" s="42">
        <f t="shared" si="22"/>
        <v>0</v>
      </c>
      <c r="K77" s="42">
        <f t="shared" si="22"/>
        <v>0</v>
      </c>
      <c r="L77" s="42">
        <f t="shared" si="22"/>
        <v>0</v>
      </c>
      <c r="M77" s="42">
        <f t="shared" si="22"/>
        <v>0</v>
      </c>
      <c r="N77" s="42">
        <f t="shared" si="22"/>
        <v>0</v>
      </c>
      <c r="O77" s="42">
        <f t="shared" si="22"/>
        <v>0</v>
      </c>
      <c r="P77" s="42">
        <f t="shared" si="22"/>
        <v>0</v>
      </c>
      <c r="Q77" s="39">
        <f>SUM(E77:P77)</f>
        <v>0</v>
      </c>
      <c r="R77" s="44"/>
      <c r="Z77" s="40" t="s">
        <v>21</v>
      </c>
      <c r="AA77" s="41">
        <v>0.01</v>
      </c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8"/>
    </row>
    <row r="78" spans="1:43">
      <c r="A78" t="s">
        <v>71</v>
      </c>
      <c r="B78" t="s">
        <v>87</v>
      </c>
      <c r="C78" s="40" t="s">
        <v>20</v>
      </c>
      <c r="D78" s="104">
        <v>859.52</v>
      </c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R78" s="44"/>
      <c r="Z78" s="40" t="s">
        <v>20</v>
      </c>
      <c r="AA78" s="41">
        <v>1342.72</v>
      </c>
      <c r="AB78" s="42"/>
      <c r="AC78" s="42"/>
      <c r="AD78" s="42"/>
      <c r="AE78" s="42"/>
      <c r="AF78" s="42"/>
      <c r="AG78" s="42"/>
      <c r="AH78" s="43"/>
      <c r="AI78" s="43"/>
      <c r="AJ78" s="43"/>
      <c r="AK78" s="43"/>
      <c r="AL78" s="43"/>
      <c r="AM78" s="43"/>
      <c r="AN78" s="48"/>
    </row>
    <row r="79" spans="1:43">
      <c r="A79" t="s">
        <v>70</v>
      </c>
      <c r="B79" t="s">
        <v>70</v>
      </c>
      <c r="C79" s="40" t="s">
        <v>21</v>
      </c>
      <c r="D79" s="104">
        <v>0.01</v>
      </c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R79" s="44"/>
      <c r="Z79" s="40" t="s">
        <v>21</v>
      </c>
      <c r="AA79" s="41">
        <v>0.01</v>
      </c>
      <c r="AB79" s="42"/>
      <c r="AC79" s="42"/>
      <c r="AD79" s="42"/>
      <c r="AE79" s="42"/>
      <c r="AF79" s="42"/>
      <c r="AG79" s="42"/>
      <c r="AH79" s="43"/>
      <c r="AI79" s="43"/>
      <c r="AJ79" s="43"/>
      <c r="AK79" s="43"/>
      <c r="AL79" s="43"/>
      <c r="AM79" s="43"/>
      <c r="AN79" s="48"/>
    </row>
    <row r="80" spans="1:43">
      <c r="A80" t="s">
        <v>72</v>
      </c>
      <c r="B80" t="s">
        <v>88</v>
      </c>
      <c r="C80" s="40" t="s">
        <v>20</v>
      </c>
      <c r="D80" s="104">
        <v>1342.72</v>
      </c>
      <c r="E80" s="42"/>
      <c r="F80" s="42"/>
      <c r="G80" s="42"/>
      <c r="H80" s="42"/>
      <c r="I80" s="42"/>
      <c r="J80" s="42"/>
      <c r="K80" s="43"/>
      <c r="L80" s="43"/>
      <c r="M80" s="43"/>
      <c r="N80" s="43"/>
      <c r="O80" s="43"/>
      <c r="P80" s="43"/>
      <c r="R80" s="44"/>
      <c r="Z80" s="40" t="s">
        <v>20</v>
      </c>
      <c r="AA80" s="41">
        <v>1700.12</v>
      </c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8"/>
    </row>
    <row r="81" spans="1:40">
      <c r="A81" t="s">
        <v>70</v>
      </c>
      <c r="B81" t="s">
        <v>70</v>
      </c>
      <c r="C81" s="40" t="s">
        <v>21</v>
      </c>
      <c r="D81" s="104">
        <v>0.01</v>
      </c>
      <c r="E81" s="42"/>
      <c r="F81" s="42"/>
      <c r="G81" s="42"/>
      <c r="H81" s="42"/>
      <c r="I81" s="42"/>
      <c r="J81" s="42"/>
      <c r="K81" s="43"/>
      <c r="L81" s="43"/>
      <c r="M81" s="43"/>
      <c r="N81" s="43"/>
      <c r="O81" s="43"/>
      <c r="P81" s="43"/>
      <c r="R81" s="44"/>
      <c r="Z81" s="40" t="s">
        <v>21</v>
      </c>
      <c r="AA81" s="41">
        <v>7.0000000000000001E-3</v>
      </c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8"/>
    </row>
    <row r="82" spans="1:40">
      <c r="A82" t="s">
        <v>73</v>
      </c>
      <c r="B82" t="s">
        <v>89</v>
      </c>
      <c r="C82" s="40" t="s">
        <v>20</v>
      </c>
      <c r="D82" s="104">
        <v>1700.12</v>
      </c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R82" s="44"/>
      <c r="Z82" s="40" t="s">
        <v>20</v>
      </c>
      <c r="AA82" s="41">
        <v>1921.86</v>
      </c>
      <c r="AB82" s="42"/>
      <c r="AC82" s="42"/>
      <c r="AD82" s="42"/>
      <c r="AE82" s="42"/>
      <c r="AF82" s="42"/>
      <c r="AG82" s="42"/>
      <c r="AH82" s="43"/>
      <c r="AI82" s="43"/>
      <c r="AJ82" s="43"/>
      <c r="AK82" s="43"/>
      <c r="AL82" s="43"/>
      <c r="AM82" s="43"/>
      <c r="AN82" s="48"/>
    </row>
    <row r="83" spans="1:40">
      <c r="A83" t="s">
        <v>70</v>
      </c>
      <c r="B83" t="s">
        <v>70</v>
      </c>
      <c r="C83" s="40" t="s">
        <v>21</v>
      </c>
      <c r="D83" s="105">
        <v>7.0000000000000001E-3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R83" s="44"/>
      <c r="Z83" s="40" t="s">
        <v>21</v>
      </c>
      <c r="AA83" s="41">
        <v>5.0000000000000001E-3</v>
      </c>
      <c r="AB83" s="42"/>
      <c r="AC83" s="42"/>
      <c r="AD83" s="42"/>
      <c r="AE83" s="42"/>
      <c r="AF83" s="42"/>
      <c r="AG83" s="42"/>
      <c r="AH83" s="43"/>
      <c r="AI83" s="43"/>
      <c r="AJ83" s="43"/>
      <c r="AK83" s="43"/>
      <c r="AL83" s="43"/>
      <c r="AM83" s="43"/>
      <c r="AN83" s="48"/>
    </row>
    <row r="84" spans="1:40">
      <c r="A84" t="s">
        <v>74</v>
      </c>
      <c r="B84" t="s">
        <v>90</v>
      </c>
      <c r="C84" s="40" t="s">
        <v>20</v>
      </c>
      <c r="D84" s="104">
        <v>1921.86</v>
      </c>
      <c r="E84" s="42"/>
      <c r="F84" s="42"/>
      <c r="G84" s="42"/>
      <c r="H84" s="42"/>
      <c r="I84" s="42"/>
      <c r="J84" s="42"/>
      <c r="K84" s="43"/>
      <c r="L84" s="43"/>
      <c r="M84" s="43"/>
      <c r="N84" s="43"/>
      <c r="O84" s="43"/>
      <c r="P84" s="43"/>
      <c r="R84" s="44"/>
      <c r="Z84" s="40" t="s">
        <v>20</v>
      </c>
      <c r="AA84" s="41">
        <v>2000.72</v>
      </c>
      <c r="AB84" s="42">
        <f>AB72*$G$3</f>
        <v>0</v>
      </c>
      <c r="AC84" s="42">
        <f t="shared" ref="AC84:AM84" si="23">AC72*$G$3</f>
        <v>0</v>
      </c>
      <c r="AD84" s="42">
        <f t="shared" si="23"/>
        <v>0</v>
      </c>
      <c r="AE84" s="42">
        <f t="shared" si="23"/>
        <v>0</v>
      </c>
      <c r="AF84" s="42">
        <f t="shared" si="23"/>
        <v>0</v>
      </c>
      <c r="AG84" s="42">
        <f t="shared" si="23"/>
        <v>0</v>
      </c>
      <c r="AH84" s="42">
        <f t="shared" si="23"/>
        <v>0</v>
      </c>
      <c r="AI84" s="42">
        <f t="shared" si="23"/>
        <v>0</v>
      </c>
      <c r="AJ84" s="42">
        <f t="shared" si="23"/>
        <v>0</v>
      </c>
      <c r="AK84" s="42">
        <f t="shared" si="23"/>
        <v>0</v>
      </c>
      <c r="AL84" s="42">
        <f t="shared" si="23"/>
        <v>0</v>
      </c>
      <c r="AM84" s="42">
        <f t="shared" si="23"/>
        <v>0</v>
      </c>
      <c r="AN84" s="48"/>
    </row>
    <row r="85" spans="1:40">
      <c r="A85" t="s">
        <v>70</v>
      </c>
      <c r="B85" t="s">
        <v>70</v>
      </c>
      <c r="C85" s="40" t="s">
        <v>21</v>
      </c>
      <c r="D85" s="105">
        <v>5.0000000000000001E-3</v>
      </c>
      <c r="E85" s="42"/>
      <c r="F85" s="42"/>
      <c r="G85" s="42"/>
      <c r="H85" s="42"/>
      <c r="I85" s="42"/>
      <c r="J85" s="42"/>
      <c r="K85" s="43"/>
      <c r="L85" s="43"/>
      <c r="M85" s="43"/>
      <c r="N85" s="43"/>
      <c r="O85" s="43"/>
      <c r="P85" s="43"/>
      <c r="R85" s="44"/>
      <c r="Z85" s="40" t="s">
        <v>21</v>
      </c>
      <c r="AA85" s="41">
        <v>5.0000000000000001E-3</v>
      </c>
      <c r="AB85" s="42">
        <f>AB73*$G$3</f>
        <v>0</v>
      </c>
      <c r="AC85" s="42">
        <f t="shared" ref="AC85:AM85" si="24">AC73*$G$3</f>
        <v>0</v>
      </c>
      <c r="AD85" s="42">
        <f t="shared" si="24"/>
        <v>0</v>
      </c>
      <c r="AE85" s="42">
        <f t="shared" si="24"/>
        <v>0</v>
      </c>
      <c r="AF85" s="42">
        <f t="shared" si="24"/>
        <v>0</v>
      </c>
      <c r="AG85" s="42">
        <f t="shared" si="24"/>
        <v>0</v>
      </c>
      <c r="AH85" s="42">
        <f t="shared" si="24"/>
        <v>0</v>
      </c>
      <c r="AI85" s="42">
        <f t="shared" si="24"/>
        <v>0</v>
      </c>
      <c r="AJ85" s="42">
        <f t="shared" si="24"/>
        <v>0</v>
      </c>
      <c r="AK85" s="42">
        <f t="shared" si="24"/>
        <v>0</v>
      </c>
      <c r="AL85" s="42">
        <f t="shared" si="24"/>
        <v>0</v>
      </c>
      <c r="AM85" s="42">
        <f t="shared" si="24"/>
        <v>0</v>
      </c>
      <c r="AN85" s="48"/>
    </row>
    <row r="86" spans="1:40">
      <c r="A86" t="s">
        <v>75</v>
      </c>
      <c r="B86" t="s">
        <v>91</v>
      </c>
      <c r="C86" s="40" t="s">
        <v>20</v>
      </c>
      <c r="D86" s="104">
        <v>2000.72</v>
      </c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39"/>
      <c r="R86" s="44"/>
      <c r="Z86" s="40" t="s">
        <v>20</v>
      </c>
      <c r="AA86" s="41">
        <v>2129.14</v>
      </c>
      <c r="AB86" s="42"/>
      <c r="AC86" s="42"/>
      <c r="AD86" s="42"/>
      <c r="AE86" s="42"/>
      <c r="AF86" s="42"/>
      <c r="AG86" s="42"/>
      <c r="AH86" s="43"/>
      <c r="AI86" s="43"/>
      <c r="AJ86" s="43"/>
      <c r="AK86" s="43"/>
      <c r="AL86" s="43"/>
      <c r="AM86" s="43"/>
      <c r="AN86" s="48"/>
    </row>
    <row r="87" spans="1:40">
      <c r="A87" t="s">
        <v>70</v>
      </c>
      <c r="B87" t="s">
        <v>70</v>
      </c>
      <c r="C87" s="40" t="s">
        <v>21</v>
      </c>
      <c r="D87" s="104">
        <v>5.0000000000000001E-3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39"/>
      <c r="R87" s="44"/>
      <c r="Z87" s="40" t="s">
        <v>21</v>
      </c>
      <c r="AA87" s="41">
        <v>2E-3</v>
      </c>
      <c r="AB87" s="42"/>
      <c r="AC87" s="42"/>
      <c r="AD87" s="42"/>
      <c r="AE87" s="42"/>
      <c r="AF87" s="42"/>
      <c r="AG87" s="42"/>
      <c r="AH87" s="43"/>
      <c r="AI87" s="43"/>
      <c r="AJ87" s="43"/>
      <c r="AK87" s="43"/>
      <c r="AL87" s="43"/>
      <c r="AM87" s="43"/>
      <c r="AN87" s="48"/>
    </row>
    <row r="88" spans="1:40">
      <c r="A88" t="s">
        <v>76</v>
      </c>
      <c r="B88" t="s">
        <v>92</v>
      </c>
      <c r="C88" s="40" t="s">
        <v>20</v>
      </c>
      <c r="D88" s="104">
        <v>2129.14</v>
      </c>
      <c r="E88" s="42"/>
      <c r="F88" s="42"/>
      <c r="G88" s="42"/>
      <c r="H88" s="42"/>
      <c r="I88" s="42"/>
      <c r="J88" s="42"/>
      <c r="K88" s="43"/>
      <c r="L88" s="43"/>
      <c r="M88" s="43"/>
      <c r="N88" s="43"/>
      <c r="O88" s="43"/>
      <c r="P88" s="43"/>
      <c r="R88" s="44"/>
      <c r="Z88" s="40" t="s">
        <v>20</v>
      </c>
      <c r="AA88" s="41">
        <v>2751.2</v>
      </c>
      <c r="AB88" s="42"/>
      <c r="AC88" s="42"/>
      <c r="AD88" s="42"/>
      <c r="AE88" s="42"/>
      <c r="AF88" s="42"/>
      <c r="AG88" s="42"/>
      <c r="AH88" s="43"/>
      <c r="AI88" s="43"/>
      <c r="AJ88" s="43"/>
      <c r="AK88" s="43"/>
      <c r="AL88" s="43"/>
      <c r="AM88" s="43"/>
      <c r="AN88" s="48"/>
    </row>
    <row r="89" spans="1:40">
      <c r="A89" t="s">
        <v>70</v>
      </c>
      <c r="B89" t="s">
        <v>70</v>
      </c>
      <c r="C89" s="40" t="s">
        <v>21</v>
      </c>
      <c r="D89" s="104">
        <v>2E-3</v>
      </c>
      <c r="E89" s="42"/>
      <c r="F89" s="42"/>
      <c r="G89" s="42"/>
      <c r="H89" s="42"/>
      <c r="I89" s="42"/>
      <c r="J89" s="42"/>
      <c r="K89" s="43"/>
      <c r="L89" s="43"/>
      <c r="M89" s="43"/>
      <c r="N89" s="43"/>
      <c r="O89" s="43"/>
      <c r="P89" s="43"/>
      <c r="R89" s="44"/>
      <c r="Z89" s="40" t="s">
        <v>21</v>
      </c>
      <c r="AA89" s="41">
        <v>2E-3</v>
      </c>
      <c r="AB89" s="42"/>
      <c r="AC89" s="42"/>
      <c r="AD89" s="42"/>
      <c r="AE89" s="42"/>
      <c r="AF89" s="42"/>
      <c r="AG89" s="42"/>
      <c r="AH89" s="43"/>
      <c r="AI89" s="43"/>
      <c r="AJ89" s="43"/>
      <c r="AK89" s="43"/>
      <c r="AL89" s="43"/>
      <c r="AM89" s="43"/>
      <c r="AN89" s="48"/>
    </row>
    <row r="90" spans="1:40">
      <c r="A90" t="s">
        <v>77</v>
      </c>
      <c r="B90" t="s">
        <v>93</v>
      </c>
      <c r="C90" s="40" t="s">
        <v>20</v>
      </c>
      <c r="D90" s="104">
        <v>2751.2</v>
      </c>
      <c r="E90" s="42"/>
      <c r="F90" s="42"/>
      <c r="G90" s="42"/>
      <c r="H90" s="42"/>
      <c r="I90" s="42"/>
      <c r="J90" s="42"/>
      <c r="K90" s="43"/>
      <c r="L90" s="43"/>
      <c r="M90" s="43"/>
      <c r="N90" s="43"/>
      <c r="O90" s="43"/>
      <c r="P90" s="43"/>
      <c r="R90" s="44"/>
      <c r="AB90" s="29">
        <f>AB84*$D$64*$E$2</f>
        <v>0</v>
      </c>
      <c r="AC90" s="29">
        <f t="shared" ref="AC90:AM90" si="25">AC84*$D$64*$E$2</f>
        <v>0</v>
      </c>
      <c r="AD90" s="29">
        <f t="shared" si="25"/>
        <v>0</v>
      </c>
      <c r="AE90" s="29">
        <f t="shared" si="25"/>
        <v>0</v>
      </c>
      <c r="AF90" s="29">
        <f t="shared" si="25"/>
        <v>0</v>
      </c>
      <c r="AG90" s="29">
        <f t="shared" si="25"/>
        <v>0</v>
      </c>
      <c r="AH90" s="29">
        <f t="shared" si="25"/>
        <v>0</v>
      </c>
      <c r="AI90" s="29">
        <f t="shared" si="25"/>
        <v>0</v>
      </c>
      <c r="AJ90" s="29">
        <f t="shared" si="25"/>
        <v>0</v>
      </c>
      <c r="AK90" s="29">
        <f t="shared" si="25"/>
        <v>0</v>
      </c>
      <c r="AL90" s="29">
        <f t="shared" si="25"/>
        <v>0</v>
      </c>
      <c r="AM90" s="29">
        <f t="shared" si="25"/>
        <v>0</v>
      </c>
      <c r="AN90" s="48"/>
    </row>
    <row r="91" spans="1:40">
      <c r="A91" t="s">
        <v>70</v>
      </c>
      <c r="B91" t="s">
        <v>70</v>
      </c>
      <c r="C91" s="40" t="s">
        <v>21</v>
      </c>
      <c r="D91" s="41">
        <v>2E-3</v>
      </c>
      <c r="E91" s="42"/>
      <c r="F91" s="42"/>
      <c r="G91" s="42"/>
      <c r="H91" s="42"/>
      <c r="I91" s="42"/>
      <c r="J91" s="42"/>
      <c r="K91" s="43"/>
      <c r="L91" s="43"/>
      <c r="M91" s="43"/>
      <c r="N91" s="43"/>
      <c r="O91" s="43"/>
      <c r="P91" s="43"/>
      <c r="R91" s="44"/>
      <c r="AB91" s="29">
        <f>AB85*$D$65*$E$2</f>
        <v>0</v>
      </c>
      <c r="AC91" s="29">
        <f t="shared" ref="AC91:AM91" si="26">AC85*$D$65*$E$2</f>
        <v>0</v>
      </c>
      <c r="AD91" s="29">
        <f t="shared" si="26"/>
        <v>0</v>
      </c>
      <c r="AE91" s="29">
        <f t="shared" si="26"/>
        <v>0</v>
      </c>
      <c r="AF91" s="29">
        <f t="shared" si="26"/>
        <v>0</v>
      </c>
      <c r="AG91" s="29">
        <f t="shared" si="26"/>
        <v>0</v>
      </c>
      <c r="AH91" s="29">
        <f t="shared" si="26"/>
        <v>0</v>
      </c>
      <c r="AI91" s="29">
        <f t="shared" si="26"/>
        <v>0</v>
      </c>
      <c r="AJ91" s="29">
        <f t="shared" si="26"/>
        <v>0</v>
      </c>
      <c r="AK91" s="29">
        <f t="shared" si="26"/>
        <v>0</v>
      </c>
      <c r="AL91" s="29">
        <f t="shared" si="26"/>
        <v>0</v>
      </c>
      <c r="AM91" s="29">
        <f t="shared" si="26"/>
        <v>0</v>
      </c>
      <c r="AN91" s="48"/>
    </row>
    <row r="92" spans="1:40">
      <c r="A92" t="s">
        <v>70</v>
      </c>
      <c r="B92" t="s">
        <v>70</v>
      </c>
      <c r="E92" s="29">
        <f>E76*$D$76*$E$2</f>
        <v>0</v>
      </c>
      <c r="F92" s="29">
        <f t="shared" ref="F92:P92" si="27">F76*$D$76*$E$2</f>
        <v>0</v>
      </c>
      <c r="G92" s="29">
        <f t="shared" si="27"/>
        <v>0</v>
      </c>
      <c r="H92" s="29">
        <f t="shared" si="27"/>
        <v>0</v>
      </c>
      <c r="I92" s="29">
        <f t="shared" si="27"/>
        <v>0</v>
      </c>
      <c r="J92" s="29">
        <f t="shared" si="27"/>
        <v>0</v>
      </c>
      <c r="K92" s="29">
        <f t="shared" si="27"/>
        <v>0</v>
      </c>
      <c r="L92" s="29">
        <f t="shared" si="27"/>
        <v>0</v>
      </c>
      <c r="M92" s="29">
        <f t="shared" si="27"/>
        <v>0</v>
      </c>
      <c r="N92" s="29">
        <f t="shared" si="27"/>
        <v>0</v>
      </c>
      <c r="O92" s="29">
        <f t="shared" si="27"/>
        <v>0</v>
      </c>
      <c r="P92" s="29">
        <f t="shared" si="27"/>
        <v>0</v>
      </c>
      <c r="Q92" s="39">
        <f>SUM(E92:P92)</f>
        <v>0</v>
      </c>
      <c r="R92" s="44"/>
      <c r="Z92" s="44"/>
      <c r="AA92" s="44"/>
      <c r="AB92" s="177"/>
      <c r="AC92" s="177"/>
      <c r="AD92" s="177"/>
      <c r="AE92" s="177"/>
      <c r="AF92" s="177"/>
      <c r="AG92" s="177"/>
      <c r="AH92" s="177"/>
      <c r="AI92" s="177"/>
      <c r="AJ92" s="177"/>
      <c r="AK92" s="177"/>
      <c r="AL92" s="177"/>
      <c r="AM92" s="177"/>
      <c r="AN92" s="48"/>
    </row>
    <row r="93" spans="1:40">
      <c r="A93" t="s">
        <v>70</v>
      </c>
      <c r="B93" t="s">
        <v>70</v>
      </c>
      <c r="E93" s="29">
        <f>E77*$D$77*$E$2</f>
        <v>0</v>
      </c>
      <c r="F93" s="29">
        <f t="shared" ref="F93:P93" si="28">F77*$D$77*$E$2</f>
        <v>0</v>
      </c>
      <c r="G93" s="29">
        <f t="shared" si="28"/>
        <v>0</v>
      </c>
      <c r="H93" s="29">
        <f t="shared" si="28"/>
        <v>0</v>
      </c>
      <c r="I93" s="29">
        <f t="shared" si="28"/>
        <v>0</v>
      </c>
      <c r="J93" s="29">
        <f t="shared" si="28"/>
        <v>0</v>
      </c>
      <c r="K93" s="29">
        <f t="shared" si="28"/>
        <v>0</v>
      </c>
      <c r="L93" s="29">
        <f t="shared" si="28"/>
        <v>0</v>
      </c>
      <c r="M93" s="29">
        <f t="shared" si="28"/>
        <v>0</v>
      </c>
      <c r="N93" s="29">
        <f t="shared" si="28"/>
        <v>0</v>
      </c>
      <c r="O93" s="29">
        <f t="shared" si="28"/>
        <v>0</v>
      </c>
      <c r="P93" s="29">
        <f t="shared" si="28"/>
        <v>0</v>
      </c>
      <c r="Q93" s="39">
        <f>SUM(E93:P93)</f>
        <v>0</v>
      </c>
      <c r="R93" s="44"/>
      <c r="Z93" s="44"/>
      <c r="AA93" s="44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77"/>
      <c r="AM93" s="177"/>
      <c r="AN93" s="48"/>
    </row>
    <row r="94" spans="1:40">
      <c r="A94" t="s">
        <v>70</v>
      </c>
      <c r="B94" t="s">
        <v>70</v>
      </c>
      <c r="C94" s="47"/>
      <c r="D94" s="47"/>
      <c r="E94" s="45"/>
      <c r="F94" s="45"/>
      <c r="G94" s="45"/>
      <c r="H94" s="45"/>
      <c r="I94" s="45"/>
      <c r="J94" s="45"/>
      <c r="K94" s="46"/>
      <c r="L94" s="46"/>
      <c r="M94" s="46"/>
      <c r="N94" s="46"/>
      <c r="O94" s="46"/>
      <c r="P94" s="46"/>
      <c r="Q94" s="44"/>
      <c r="R94" s="44"/>
      <c r="Z94" s="44"/>
      <c r="AA94" s="44"/>
      <c r="AB94" s="177"/>
      <c r="AC94" s="177"/>
      <c r="AD94" s="177"/>
      <c r="AE94" s="177"/>
      <c r="AF94" s="177"/>
      <c r="AG94" s="177"/>
      <c r="AH94" s="177"/>
      <c r="AI94" s="177"/>
      <c r="AJ94" s="177"/>
      <c r="AK94" s="177"/>
      <c r="AL94" s="177"/>
      <c r="AM94" s="177"/>
      <c r="AN94" s="48"/>
    </row>
    <row r="95" spans="1:40">
      <c r="A95" t="s">
        <v>70</v>
      </c>
      <c r="B95" t="s">
        <v>70</v>
      </c>
      <c r="C95" s="44"/>
      <c r="D95" s="44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8">
        <f>SUM(E95:P95)</f>
        <v>0</v>
      </c>
      <c r="R95" s="44"/>
      <c r="Z95" s="44"/>
      <c r="AA95" s="44"/>
      <c r="AB95" s="177"/>
      <c r="AC95" s="177"/>
      <c r="AD95" s="177"/>
      <c r="AE95" s="177"/>
      <c r="AF95" s="177"/>
      <c r="AG95" s="177"/>
      <c r="AH95" s="177"/>
      <c r="AI95" s="177"/>
      <c r="AJ95" s="177"/>
      <c r="AK95" s="177"/>
      <c r="AL95" s="177"/>
      <c r="AM95" s="177"/>
      <c r="AN95" s="48"/>
    </row>
    <row r="96" spans="1:40">
      <c r="C96" s="44"/>
      <c r="D96" s="44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48"/>
      <c r="R96" s="44"/>
      <c r="Z96" s="44"/>
      <c r="AA96" s="44"/>
      <c r="AB96" s="177"/>
      <c r="AC96" s="177"/>
      <c r="AD96" s="177"/>
      <c r="AE96" s="177"/>
      <c r="AF96" s="177"/>
      <c r="AG96" s="177"/>
      <c r="AH96" s="177"/>
      <c r="AI96" s="177"/>
      <c r="AJ96" s="177"/>
      <c r="AK96" s="177"/>
      <c r="AL96" s="177"/>
      <c r="AM96" s="177"/>
      <c r="AN96" s="48"/>
    </row>
    <row r="97" spans="1:40">
      <c r="A97" t="s">
        <v>70</v>
      </c>
      <c r="B97" t="s">
        <v>70</v>
      </c>
      <c r="C97" s="28" t="s">
        <v>58</v>
      </c>
      <c r="D97" s="28"/>
      <c r="E97" s="28" t="s">
        <v>38</v>
      </c>
      <c r="F97" s="28" t="s">
        <v>39</v>
      </c>
      <c r="G97" s="28" t="s">
        <v>40</v>
      </c>
      <c r="H97" s="28" t="s">
        <v>41</v>
      </c>
      <c r="I97" s="28" t="s">
        <v>42</v>
      </c>
      <c r="J97" s="28" t="s">
        <v>43</v>
      </c>
      <c r="K97" s="28" t="s">
        <v>44</v>
      </c>
      <c r="L97" s="28" t="s">
        <v>45</v>
      </c>
      <c r="M97" s="28" t="s">
        <v>46</v>
      </c>
      <c r="N97" s="28" t="s">
        <v>47</v>
      </c>
      <c r="O97" s="28" t="s">
        <v>48</v>
      </c>
      <c r="P97" s="28" t="s">
        <v>49</v>
      </c>
      <c r="Z97" s="28" t="s">
        <v>58</v>
      </c>
      <c r="AA97" s="28"/>
      <c r="AB97" s="28" t="s">
        <v>38</v>
      </c>
      <c r="AC97" s="28" t="s">
        <v>39</v>
      </c>
      <c r="AD97" s="28" t="s">
        <v>40</v>
      </c>
      <c r="AE97" s="28" t="s">
        <v>41</v>
      </c>
      <c r="AF97" s="28" t="s">
        <v>42</v>
      </c>
      <c r="AG97" s="28" t="s">
        <v>43</v>
      </c>
      <c r="AH97" s="28" t="s">
        <v>44</v>
      </c>
      <c r="AI97" s="28" t="s">
        <v>45</v>
      </c>
      <c r="AJ97" s="28" t="s">
        <v>46</v>
      </c>
      <c r="AK97" s="28" t="s">
        <v>47</v>
      </c>
      <c r="AL97" s="28" t="s">
        <v>48</v>
      </c>
      <c r="AM97" s="28" t="s">
        <v>49</v>
      </c>
    </row>
    <row r="98" spans="1:40">
      <c r="A98" t="s">
        <v>70</v>
      </c>
      <c r="B98" t="s">
        <v>70</v>
      </c>
      <c r="C98" t="s">
        <v>51</v>
      </c>
      <c r="E98" s="100">
        <f>'PANDU IKPP'!C34</f>
        <v>2</v>
      </c>
      <c r="F98" s="100">
        <f>'PANDU IKPP'!D34</f>
        <v>5</v>
      </c>
      <c r="G98" s="100">
        <f>'PANDU IKPP'!E34</f>
        <v>6</v>
      </c>
      <c r="H98" s="100">
        <f>'PANDU IKPP'!F34</f>
        <v>5</v>
      </c>
      <c r="I98" s="100">
        <f>'PANDU IKPP'!G34</f>
        <v>4</v>
      </c>
      <c r="J98" s="100">
        <f>'PANDU IKPP'!H34</f>
        <v>6</v>
      </c>
      <c r="K98" s="103">
        <f>'PANDU IKPP'!I34</f>
        <v>3</v>
      </c>
      <c r="L98" s="103">
        <f>'PANDU IKPP'!J34</f>
        <v>5</v>
      </c>
      <c r="M98" s="103">
        <f>'PANDU IKPP'!K34</f>
        <v>4</v>
      </c>
      <c r="N98" s="103">
        <f>'PANDU IKPP'!L34</f>
        <v>6</v>
      </c>
      <c r="O98" s="103">
        <f>'PANDU IKPP'!M34</f>
        <v>5</v>
      </c>
      <c r="P98" s="103">
        <f>'PANDU IKPP'!N34</f>
        <v>4</v>
      </c>
      <c r="Q98" s="39">
        <f>SUM(E98:P98)</f>
        <v>55</v>
      </c>
      <c r="R98">
        <f>Q99/Q98</f>
        <v>4916.6387878787873</v>
      </c>
      <c r="Z98" t="s">
        <v>51</v>
      </c>
      <c r="AB98" s="29">
        <f>'PANDU IKPP'!W34</f>
        <v>2</v>
      </c>
      <c r="AC98" s="29">
        <f>'PANDU IKPP'!X34</f>
        <v>5</v>
      </c>
      <c r="AD98" s="29">
        <f>'PANDU IKPP'!Y34</f>
        <v>6</v>
      </c>
      <c r="AE98" s="29">
        <f>'PANDU IKPP'!Z34</f>
        <v>5</v>
      </c>
      <c r="AF98" s="29">
        <f>'PANDU IKPP'!AA34</f>
        <v>4</v>
      </c>
      <c r="AG98" s="29">
        <f>'PANDU IKPP'!AB34</f>
        <v>6</v>
      </c>
      <c r="AH98" s="29">
        <f>'PANDU IKPP'!AC34</f>
        <v>4</v>
      </c>
      <c r="AI98" s="29">
        <f>'PANDU IKPP'!AD34</f>
        <v>4</v>
      </c>
      <c r="AJ98" s="29">
        <f>'PANDU IKPP'!AE34</f>
        <v>4</v>
      </c>
      <c r="AK98" s="29">
        <f>'PANDU IKPP'!AF34</f>
        <v>4</v>
      </c>
      <c r="AL98" s="29">
        <f>'PANDU IKPP'!AG34</f>
        <v>4</v>
      </c>
      <c r="AM98" s="29">
        <f>'PANDU IKPP'!AH34</f>
        <v>4</v>
      </c>
      <c r="AN98" s="39">
        <f>SUM(AB98:AM98)</f>
        <v>52</v>
      </c>
    </row>
    <row r="99" spans="1:40">
      <c r="A99" t="s">
        <v>70</v>
      </c>
      <c r="B99" t="s">
        <v>70</v>
      </c>
      <c r="E99" s="100">
        <f>'PANDU IKPP'!C35</f>
        <v>5411</v>
      </c>
      <c r="F99" s="100">
        <f>'PANDU IKPP'!D35</f>
        <v>27651</v>
      </c>
      <c r="G99" s="100">
        <f>'PANDU IKPP'!E35</f>
        <v>36616</v>
      </c>
      <c r="H99" s="100">
        <f>'PANDU IKPP'!F35</f>
        <v>13527.5</v>
      </c>
      <c r="I99" s="100">
        <f>'PANDU IKPP'!G35</f>
        <v>22120.799999999999</v>
      </c>
      <c r="J99" s="100">
        <f>'PANDU IKPP'!H35</f>
        <v>36616</v>
      </c>
      <c r="K99" s="103">
        <f>'PANDU IKPP'!I35</f>
        <v>8116.5</v>
      </c>
      <c r="L99" s="103">
        <f>'PANDU IKPP'!J35</f>
        <v>27651</v>
      </c>
      <c r="M99" s="103">
        <f>'PANDU IKPP'!K35</f>
        <v>24410.666666666668</v>
      </c>
      <c r="N99" s="103">
        <f>'PANDU IKPP'!L35</f>
        <v>16233</v>
      </c>
      <c r="O99" s="103">
        <f>'PANDU IKPP'!M35</f>
        <v>27651</v>
      </c>
      <c r="P99" s="103">
        <f>'PANDU IKPP'!N35</f>
        <v>24410.666666666668</v>
      </c>
      <c r="Q99" s="39">
        <f>SUM(E99:P99)</f>
        <v>270415.1333333333</v>
      </c>
      <c r="AB99" s="29">
        <f>'PANDU IKPP'!W35</f>
        <v>5411</v>
      </c>
      <c r="AC99" s="29">
        <f>'PANDU IKPP'!X35</f>
        <v>27651</v>
      </c>
      <c r="AD99" s="29">
        <f>'PANDU IKPP'!Y35</f>
        <v>36616</v>
      </c>
      <c r="AE99" s="29">
        <f>'PANDU IKPP'!Z35</f>
        <v>13528</v>
      </c>
      <c r="AF99" s="29">
        <f>'PANDU IKPP'!AA35</f>
        <v>20988</v>
      </c>
      <c r="AG99" s="29">
        <f>'PANDU IKPP'!AB35</f>
        <v>36616</v>
      </c>
      <c r="AH99" s="29">
        <f>'PANDU IKPP'!AC35</f>
        <v>8117</v>
      </c>
      <c r="AI99" s="29">
        <f>'PANDU IKPP'!AD35</f>
        <v>27651</v>
      </c>
      <c r="AJ99" s="29">
        <f>'PANDU IKPP'!AE35</f>
        <v>24411</v>
      </c>
      <c r="AK99" s="29">
        <f>'PANDU IKPP'!AF35</f>
        <v>16233</v>
      </c>
      <c r="AL99" s="29">
        <f>'PANDU IKPP'!AG35</f>
        <v>27651</v>
      </c>
      <c r="AM99" s="29">
        <f>'PANDU IKPP'!AH35</f>
        <v>24411</v>
      </c>
      <c r="AN99" s="39">
        <f>SUM(AB99:AM99)</f>
        <v>269284</v>
      </c>
    </row>
    <row r="100" spans="1:40">
      <c r="A100" t="s">
        <v>78</v>
      </c>
      <c r="B100" t="s">
        <v>86</v>
      </c>
      <c r="C100" s="40" t="s">
        <v>20</v>
      </c>
      <c r="D100" s="49">
        <v>2102150</v>
      </c>
      <c r="E100" s="35"/>
      <c r="F100" s="35"/>
      <c r="G100" s="35"/>
      <c r="H100" s="35"/>
      <c r="I100" s="35"/>
      <c r="J100" s="35"/>
      <c r="K100" s="30"/>
      <c r="L100" s="30"/>
      <c r="M100" s="30"/>
      <c r="N100" s="30"/>
      <c r="O100" s="30"/>
      <c r="P100" s="30"/>
      <c r="Q100" s="39"/>
      <c r="Z100" s="40" t="s">
        <v>20</v>
      </c>
      <c r="AA100" s="49">
        <v>2102150</v>
      </c>
      <c r="AB100" s="35"/>
      <c r="AC100" s="35"/>
      <c r="AD100" s="35"/>
      <c r="AE100" s="35"/>
      <c r="AF100" s="35"/>
      <c r="AG100" s="35"/>
      <c r="AH100" s="30"/>
      <c r="AI100" s="30"/>
      <c r="AJ100" s="30"/>
      <c r="AK100" s="30"/>
      <c r="AL100" s="30"/>
      <c r="AM100" s="30"/>
      <c r="AN100" s="39"/>
    </row>
    <row r="101" spans="1:40">
      <c r="A101" t="s">
        <v>70</v>
      </c>
      <c r="B101" t="s">
        <v>70</v>
      </c>
      <c r="C101" s="40" t="s">
        <v>21</v>
      </c>
      <c r="D101" s="49">
        <v>7.06</v>
      </c>
      <c r="E101" s="35"/>
      <c r="F101" s="35"/>
      <c r="G101" s="35"/>
      <c r="H101" s="35"/>
      <c r="I101" s="35"/>
      <c r="J101" s="35"/>
      <c r="K101" s="30"/>
      <c r="L101" s="30"/>
      <c r="M101" s="30"/>
      <c r="N101" s="30"/>
      <c r="O101" s="30"/>
      <c r="P101" s="30"/>
      <c r="Q101" s="39"/>
      <c r="Z101" s="40" t="s">
        <v>21</v>
      </c>
      <c r="AA101" s="49">
        <v>7.06</v>
      </c>
      <c r="AB101" s="35"/>
      <c r="AC101" s="35"/>
      <c r="AD101" s="35"/>
      <c r="AE101" s="35"/>
      <c r="AF101" s="35"/>
      <c r="AG101" s="35"/>
      <c r="AH101" s="30"/>
      <c r="AI101" s="30"/>
      <c r="AJ101" s="30"/>
      <c r="AK101" s="30"/>
      <c r="AL101" s="30"/>
      <c r="AM101" s="30"/>
      <c r="AN101" s="39"/>
    </row>
    <row r="102" spans="1:40">
      <c r="A102" t="s">
        <v>79</v>
      </c>
      <c r="B102" t="s">
        <v>87</v>
      </c>
      <c r="C102" s="40" t="s">
        <v>20</v>
      </c>
      <c r="D102" s="49">
        <v>3243950</v>
      </c>
      <c r="E102" s="35">
        <f>E98*$G$3</f>
        <v>9.6866000000000003</v>
      </c>
      <c r="F102" s="35">
        <f t="shared" ref="F102:P103" si="29">F98*$G$3</f>
        <v>24.2165</v>
      </c>
      <c r="G102" s="35">
        <f t="shared" si="29"/>
        <v>29.059800000000003</v>
      </c>
      <c r="H102" s="35">
        <f t="shared" si="29"/>
        <v>24.2165</v>
      </c>
      <c r="I102" s="35">
        <f t="shared" si="29"/>
        <v>19.373200000000001</v>
      </c>
      <c r="J102" s="35">
        <f t="shared" si="29"/>
        <v>29.059800000000003</v>
      </c>
      <c r="K102" s="35">
        <f t="shared" si="29"/>
        <v>14.529900000000001</v>
      </c>
      <c r="L102" s="35">
        <f t="shared" si="29"/>
        <v>24.2165</v>
      </c>
      <c r="M102" s="35">
        <f t="shared" si="29"/>
        <v>19.373200000000001</v>
      </c>
      <c r="N102" s="35">
        <f t="shared" si="29"/>
        <v>29.059800000000003</v>
      </c>
      <c r="O102" s="35">
        <f t="shared" si="29"/>
        <v>24.2165</v>
      </c>
      <c r="P102" s="35">
        <f t="shared" si="29"/>
        <v>19.373200000000001</v>
      </c>
      <c r="Q102" s="39">
        <f>SUM(E102:P102)</f>
        <v>266.38150000000002</v>
      </c>
      <c r="T102" s="67"/>
      <c r="Z102" s="40" t="s">
        <v>20</v>
      </c>
      <c r="AA102" s="49">
        <v>3243950</v>
      </c>
      <c r="AB102" s="35">
        <f>AB98*$AD$3</f>
        <v>9.1526820000000004</v>
      </c>
      <c r="AC102" s="35">
        <f t="shared" ref="AC102:AM102" si="30">AC98*$AD$3</f>
        <v>22.881705</v>
      </c>
      <c r="AD102" s="35">
        <f t="shared" si="30"/>
        <v>27.458046000000003</v>
      </c>
      <c r="AE102" s="35">
        <f t="shared" si="30"/>
        <v>22.881705</v>
      </c>
      <c r="AF102" s="35">
        <f t="shared" si="30"/>
        <v>18.305364000000001</v>
      </c>
      <c r="AG102" s="35">
        <f t="shared" si="30"/>
        <v>27.458046000000003</v>
      </c>
      <c r="AH102" s="35">
        <f t="shared" si="30"/>
        <v>18.305364000000001</v>
      </c>
      <c r="AI102" s="35">
        <f t="shared" si="30"/>
        <v>18.305364000000001</v>
      </c>
      <c r="AJ102" s="35">
        <f t="shared" si="30"/>
        <v>18.305364000000001</v>
      </c>
      <c r="AK102" s="35">
        <f t="shared" si="30"/>
        <v>18.305364000000001</v>
      </c>
      <c r="AL102" s="35">
        <f t="shared" si="30"/>
        <v>18.305364000000001</v>
      </c>
      <c r="AM102" s="35">
        <f t="shared" si="30"/>
        <v>18.305364000000001</v>
      </c>
      <c r="AN102" s="39">
        <f>SUM(AB102:AM102)</f>
        <v>237.96973199999999</v>
      </c>
    </row>
    <row r="103" spans="1:40">
      <c r="A103" t="s">
        <v>70</v>
      </c>
      <c r="B103" t="s">
        <v>70</v>
      </c>
      <c r="C103" s="40" t="s">
        <v>21</v>
      </c>
      <c r="D103" s="49">
        <v>7.06</v>
      </c>
      <c r="E103" s="35">
        <f>E99*$G$3</f>
        <v>26207.096300000001</v>
      </c>
      <c r="F103" s="35">
        <f t="shared" si="29"/>
        <v>133922.0883</v>
      </c>
      <c r="G103" s="35">
        <f t="shared" si="29"/>
        <v>177342.27280000001</v>
      </c>
      <c r="H103" s="35">
        <f t="shared" si="29"/>
        <v>65517.740750000004</v>
      </c>
      <c r="I103" s="35">
        <f t="shared" si="29"/>
        <v>107137.67064</v>
      </c>
      <c r="J103" s="35">
        <f t="shared" si="29"/>
        <v>177342.27280000001</v>
      </c>
      <c r="K103" s="35">
        <f t="shared" si="29"/>
        <v>39310.64445</v>
      </c>
      <c r="L103" s="35">
        <f t="shared" si="29"/>
        <v>133922.0883</v>
      </c>
      <c r="M103" s="35">
        <f t="shared" si="29"/>
        <v>118228.18186666668</v>
      </c>
      <c r="N103" s="35">
        <f t="shared" si="29"/>
        <v>78621.2889</v>
      </c>
      <c r="O103" s="35">
        <f t="shared" si="29"/>
        <v>133922.0883</v>
      </c>
      <c r="P103" s="35">
        <f t="shared" si="29"/>
        <v>118228.18186666668</v>
      </c>
      <c r="Q103" s="39">
        <f>SUM(E103:P103)</f>
        <v>1309701.6152733334</v>
      </c>
      <c r="T103" s="39"/>
      <c r="Z103" s="40" t="s">
        <v>21</v>
      </c>
      <c r="AA103" s="49">
        <v>7.06</v>
      </c>
      <c r="AB103" s="35">
        <f>AB99*$AD$3</f>
        <v>24762.581151000002</v>
      </c>
      <c r="AC103" s="35">
        <f t="shared" ref="AC103:AM103" si="31">AC99*$AD$3</f>
        <v>126540.404991</v>
      </c>
      <c r="AD103" s="35">
        <f t="shared" si="31"/>
        <v>167567.30205600001</v>
      </c>
      <c r="AE103" s="35">
        <f t="shared" si="31"/>
        <v>61908.741048000004</v>
      </c>
      <c r="AF103" s="35">
        <f t="shared" si="31"/>
        <v>96048.244908000008</v>
      </c>
      <c r="AG103" s="35">
        <f t="shared" si="31"/>
        <v>167567.30205600001</v>
      </c>
      <c r="AH103" s="35">
        <f t="shared" si="31"/>
        <v>37146.159897000005</v>
      </c>
      <c r="AI103" s="35">
        <f t="shared" si="31"/>
        <v>126540.404991</v>
      </c>
      <c r="AJ103" s="35">
        <f t="shared" si="31"/>
        <v>111713.06015100001</v>
      </c>
      <c r="AK103" s="35">
        <f t="shared" si="31"/>
        <v>74287.743453000003</v>
      </c>
      <c r="AL103" s="35">
        <f t="shared" si="31"/>
        <v>126540.404991</v>
      </c>
      <c r="AM103" s="35">
        <f t="shared" si="31"/>
        <v>111713.06015100001</v>
      </c>
      <c r="AN103" s="39">
        <f>SUM(AB103:AM103)</f>
        <v>1232335.4098440001</v>
      </c>
    </row>
    <row r="104" spans="1:40">
      <c r="A104" t="s">
        <v>80</v>
      </c>
      <c r="B104" t="s">
        <v>88</v>
      </c>
      <c r="C104" s="40" t="s">
        <v>20</v>
      </c>
      <c r="D104" s="49">
        <v>3898120</v>
      </c>
      <c r="E104" s="35"/>
      <c r="F104" s="35"/>
      <c r="G104" s="35"/>
      <c r="H104" s="35"/>
      <c r="I104" s="35"/>
      <c r="J104" s="35"/>
      <c r="K104" s="30"/>
      <c r="L104" s="30"/>
      <c r="M104" s="30"/>
      <c r="N104" s="30"/>
      <c r="O104" s="30"/>
      <c r="P104" s="30"/>
      <c r="Q104" s="39"/>
      <c r="Z104" s="40" t="s">
        <v>20</v>
      </c>
      <c r="AA104" s="49">
        <v>3898120</v>
      </c>
      <c r="AB104" s="35"/>
      <c r="AC104" s="35"/>
      <c r="AD104" s="35"/>
      <c r="AE104" s="35"/>
      <c r="AF104" s="35"/>
      <c r="AG104" s="35"/>
      <c r="AH104" s="30"/>
      <c r="AI104" s="30"/>
      <c r="AJ104" s="30"/>
      <c r="AK104" s="30"/>
      <c r="AL104" s="30"/>
      <c r="AM104" s="30"/>
      <c r="AN104" s="39"/>
    </row>
    <row r="105" spans="1:40">
      <c r="A105" t="s">
        <v>70</v>
      </c>
      <c r="B105" t="s">
        <v>70</v>
      </c>
      <c r="C105" s="40" t="s">
        <v>21</v>
      </c>
      <c r="D105" s="49">
        <v>7.46</v>
      </c>
      <c r="E105" s="35"/>
      <c r="F105" s="35"/>
      <c r="G105" s="35"/>
      <c r="H105" s="35"/>
      <c r="I105" s="35"/>
      <c r="J105" s="35"/>
      <c r="K105" s="30"/>
      <c r="L105" s="30"/>
      <c r="M105" s="30"/>
      <c r="N105" s="30"/>
      <c r="O105" s="30"/>
      <c r="P105" s="30"/>
      <c r="Q105" s="39"/>
      <c r="Z105" s="40" t="s">
        <v>21</v>
      </c>
      <c r="AA105" s="49">
        <v>7.46</v>
      </c>
      <c r="AB105" s="35"/>
      <c r="AC105" s="35"/>
      <c r="AD105" s="35"/>
      <c r="AE105" s="35"/>
      <c r="AF105" s="35"/>
      <c r="AG105" s="35"/>
      <c r="AH105" s="30"/>
      <c r="AI105" s="30"/>
      <c r="AJ105" s="30"/>
      <c r="AK105" s="30"/>
      <c r="AL105" s="30"/>
      <c r="AM105" s="30"/>
      <c r="AN105" s="39"/>
    </row>
    <row r="106" spans="1:40">
      <c r="A106" t="s">
        <v>81</v>
      </c>
      <c r="B106" t="s">
        <v>89</v>
      </c>
      <c r="C106" s="40" t="s">
        <v>20</v>
      </c>
      <c r="D106" s="49">
        <v>4239050</v>
      </c>
      <c r="E106" s="35"/>
      <c r="F106" s="35"/>
      <c r="G106" s="35"/>
      <c r="H106" s="35"/>
      <c r="I106" s="35"/>
      <c r="J106" s="35"/>
      <c r="K106" s="30"/>
      <c r="L106" s="30"/>
      <c r="M106" s="30"/>
      <c r="N106" s="30"/>
      <c r="O106" s="30"/>
      <c r="P106" s="30"/>
      <c r="Q106" s="39"/>
      <c r="Z106" s="40" t="s">
        <v>20</v>
      </c>
      <c r="AA106" s="49">
        <v>4239050</v>
      </c>
      <c r="AB106" s="35"/>
      <c r="AC106" s="35"/>
      <c r="AD106" s="35"/>
      <c r="AE106" s="35"/>
      <c r="AF106" s="35"/>
      <c r="AG106" s="35"/>
      <c r="AH106" s="30"/>
      <c r="AI106" s="30"/>
      <c r="AJ106" s="30"/>
      <c r="AK106" s="30"/>
      <c r="AL106" s="30"/>
      <c r="AM106" s="30"/>
      <c r="AN106" s="39"/>
    </row>
    <row r="107" spans="1:40">
      <c r="A107" t="s">
        <v>70</v>
      </c>
      <c r="B107" t="s">
        <v>70</v>
      </c>
      <c r="C107" s="40" t="s">
        <v>21</v>
      </c>
      <c r="D107" s="49">
        <v>7.46</v>
      </c>
      <c r="E107" s="35"/>
      <c r="F107" s="35"/>
      <c r="G107" s="35"/>
      <c r="H107" s="35"/>
      <c r="I107" s="35"/>
      <c r="J107" s="35"/>
      <c r="K107" s="30"/>
      <c r="L107" s="30"/>
      <c r="M107" s="30"/>
      <c r="N107" s="30"/>
      <c r="O107" s="30"/>
      <c r="P107" s="30"/>
      <c r="Q107" s="39"/>
      <c r="Z107" s="40" t="s">
        <v>21</v>
      </c>
      <c r="AA107" s="49">
        <v>7.46</v>
      </c>
      <c r="AB107" s="35"/>
      <c r="AC107" s="35"/>
      <c r="AD107" s="35"/>
      <c r="AE107" s="35"/>
      <c r="AF107" s="35"/>
      <c r="AG107" s="35"/>
      <c r="AH107" s="30"/>
      <c r="AI107" s="30"/>
      <c r="AJ107" s="30"/>
      <c r="AK107" s="30"/>
      <c r="AL107" s="30"/>
      <c r="AM107" s="30"/>
      <c r="AN107" s="39"/>
    </row>
    <row r="108" spans="1:40">
      <c r="A108" t="s">
        <v>82</v>
      </c>
      <c r="B108" t="s">
        <v>90</v>
      </c>
      <c r="C108" s="40" t="s">
        <v>20</v>
      </c>
      <c r="D108" s="49">
        <v>4371600</v>
      </c>
      <c r="E108" s="35"/>
      <c r="F108" s="35"/>
      <c r="G108" s="35"/>
      <c r="H108" s="35"/>
      <c r="I108" s="35"/>
      <c r="J108" s="35"/>
      <c r="K108" s="30"/>
      <c r="L108" s="30"/>
      <c r="M108" s="30"/>
      <c r="N108" s="30"/>
      <c r="O108" s="30"/>
      <c r="P108" s="30"/>
      <c r="Q108" s="39"/>
      <c r="Z108" s="40" t="s">
        <v>20</v>
      </c>
      <c r="AA108" s="49">
        <v>4371600</v>
      </c>
      <c r="AB108" s="35"/>
      <c r="AC108" s="35"/>
      <c r="AD108" s="35"/>
      <c r="AE108" s="35"/>
      <c r="AF108" s="35"/>
      <c r="AG108" s="35"/>
      <c r="AH108" s="30"/>
      <c r="AI108" s="30"/>
      <c r="AJ108" s="30"/>
      <c r="AK108" s="30"/>
      <c r="AL108" s="30"/>
      <c r="AM108" s="30"/>
      <c r="AN108" s="39"/>
    </row>
    <row r="109" spans="1:40">
      <c r="A109" t="s">
        <v>70</v>
      </c>
      <c r="B109" t="s">
        <v>70</v>
      </c>
      <c r="C109" s="40" t="s">
        <v>21</v>
      </c>
      <c r="D109" s="49">
        <v>5.97</v>
      </c>
      <c r="E109" s="35"/>
      <c r="F109" s="35"/>
      <c r="G109" s="35"/>
      <c r="H109" s="35"/>
      <c r="I109" s="35"/>
      <c r="J109" s="35"/>
      <c r="K109" s="30"/>
      <c r="L109" s="30"/>
      <c r="M109" s="30"/>
      <c r="N109" s="30"/>
      <c r="O109" s="30"/>
      <c r="P109" s="30"/>
      <c r="Q109" s="39"/>
      <c r="Z109" s="40" t="s">
        <v>21</v>
      </c>
      <c r="AA109" s="49">
        <v>5.97</v>
      </c>
      <c r="AB109" s="35"/>
      <c r="AC109" s="35"/>
      <c r="AD109" s="35"/>
      <c r="AE109" s="35"/>
      <c r="AF109" s="35"/>
      <c r="AG109" s="35"/>
      <c r="AH109" s="30"/>
      <c r="AI109" s="30"/>
      <c r="AJ109" s="30"/>
      <c r="AK109" s="30"/>
      <c r="AL109" s="30"/>
      <c r="AM109" s="30"/>
      <c r="AN109" s="39"/>
    </row>
    <row r="110" spans="1:40">
      <c r="A110" t="s">
        <v>83</v>
      </c>
      <c r="B110" t="s">
        <v>91</v>
      </c>
      <c r="C110" s="40" t="s">
        <v>20</v>
      </c>
      <c r="D110" s="49">
        <v>5120900</v>
      </c>
      <c r="E110" s="35"/>
      <c r="F110" s="35"/>
      <c r="G110" s="35"/>
      <c r="H110" s="35"/>
      <c r="I110" s="35"/>
      <c r="J110" s="35"/>
      <c r="K110" s="30"/>
      <c r="L110" s="30"/>
      <c r="M110" s="30"/>
      <c r="N110" s="30"/>
      <c r="O110" s="30"/>
      <c r="P110" s="30"/>
      <c r="Q110" s="39"/>
      <c r="Z110" s="40" t="s">
        <v>20</v>
      </c>
      <c r="AA110" s="49">
        <v>5120900</v>
      </c>
      <c r="AB110" s="35"/>
      <c r="AC110" s="35"/>
      <c r="AD110" s="35"/>
      <c r="AE110" s="35"/>
      <c r="AF110" s="35"/>
      <c r="AG110" s="35"/>
      <c r="AH110" s="30"/>
      <c r="AI110" s="30"/>
      <c r="AJ110" s="30"/>
      <c r="AK110" s="30"/>
      <c r="AL110" s="30"/>
      <c r="AM110" s="30"/>
      <c r="AN110" s="39"/>
    </row>
    <row r="111" spans="1:40">
      <c r="A111" t="s">
        <v>70</v>
      </c>
      <c r="B111" t="s">
        <v>70</v>
      </c>
      <c r="C111" s="40" t="s">
        <v>21</v>
      </c>
      <c r="D111" s="49">
        <v>5.97</v>
      </c>
      <c r="E111" s="35"/>
      <c r="F111" s="35"/>
      <c r="G111" s="35"/>
      <c r="H111" s="35"/>
      <c r="I111" s="35"/>
      <c r="J111" s="35"/>
      <c r="K111" s="30"/>
      <c r="L111" s="30"/>
      <c r="M111" s="30"/>
      <c r="N111" s="30"/>
      <c r="O111" s="30"/>
      <c r="P111" s="30"/>
      <c r="Q111" s="39"/>
      <c r="Z111" s="40" t="s">
        <v>21</v>
      </c>
      <c r="AA111" s="49">
        <v>5.97</v>
      </c>
      <c r="AB111" s="35"/>
      <c r="AC111" s="35"/>
      <c r="AD111" s="35"/>
      <c r="AE111" s="35"/>
      <c r="AF111" s="35"/>
      <c r="AG111" s="35"/>
      <c r="AH111" s="30"/>
      <c r="AI111" s="30"/>
      <c r="AJ111" s="30"/>
      <c r="AK111" s="30"/>
      <c r="AL111" s="30"/>
      <c r="AM111" s="30"/>
      <c r="AN111" s="39"/>
    </row>
    <row r="112" spans="1:40">
      <c r="A112" t="s">
        <v>84</v>
      </c>
      <c r="B112" t="s">
        <v>92</v>
      </c>
      <c r="C112" s="40" t="s">
        <v>20</v>
      </c>
      <c r="D112" s="49">
        <v>4937500</v>
      </c>
      <c r="E112" s="35"/>
      <c r="F112" s="35"/>
      <c r="G112" s="35"/>
      <c r="H112" s="35"/>
      <c r="I112" s="35"/>
      <c r="J112" s="35"/>
      <c r="K112" s="30"/>
      <c r="L112" s="30"/>
      <c r="M112" s="30"/>
      <c r="N112" s="30"/>
      <c r="O112" s="30"/>
      <c r="P112" s="30"/>
      <c r="Q112" s="39"/>
      <c r="Z112" s="40" t="s">
        <v>20</v>
      </c>
      <c r="AA112" s="49">
        <v>4937500</v>
      </c>
      <c r="AB112" s="35"/>
      <c r="AC112" s="35"/>
      <c r="AD112" s="35"/>
      <c r="AE112" s="35"/>
      <c r="AF112" s="35"/>
      <c r="AG112" s="35"/>
      <c r="AH112" s="30"/>
      <c r="AI112" s="30"/>
      <c r="AJ112" s="30"/>
      <c r="AK112" s="30"/>
      <c r="AL112" s="30"/>
      <c r="AM112" s="30"/>
      <c r="AN112" s="39"/>
    </row>
    <row r="113" spans="1:43">
      <c r="A113" t="s">
        <v>70</v>
      </c>
      <c r="B113" t="s">
        <v>70</v>
      </c>
      <c r="C113" s="40" t="s">
        <v>21</v>
      </c>
      <c r="D113" s="49">
        <v>5.97</v>
      </c>
      <c r="E113" s="35"/>
      <c r="F113" s="35"/>
      <c r="G113" s="35"/>
      <c r="H113" s="35"/>
      <c r="I113" s="35"/>
      <c r="J113" s="35"/>
      <c r="K113" s="30"/>
      <c r="L113" s="30"/>
      <c r="M113" s="30"/>
      <c r="N113" s="30"/>
      <c r="O113" s="30"/>
      <c r="P113" s="30"/>
      <c r="Q113" s="39"/>
      <c r="Z113" s="40" t="s">
        <v>21</v>
      </c>
      <c r="AA113" s="49">
        <v>5.97</v>
      </c>
      <c r="AB113" s="35"/>
      <c r="AC113" s="35"/>
      <c r="AD113" s="35"/>
      <c r="AE113" s="35"/>
      <c r="AF113" s="35"/>
      <c r="AG113" s="35"/>
      <c r="AH113" s="30"/>
      <c r="AI113" s="30"/>
      <c r="AJ113" s="30"/>
      <c r="AK113" s="30"/>
      <c r="AL113" s="30"/>
      <c r="AM113" s="30"/>
      <c r="AN113" s="39"/>
    </row>
    <row r="114" spans="1:43">
      <c r="A114" t="s">
        <v>85</v>
      </c>
      <c r="B114" t="s">
        <v>93</v>
      </c>
      <c r="C114" s="40" t="s">
        <v>20</v>
      </c>
      <c r="D114" s="49">
        <v>6248800</v>
      </c>
      <c r="E114" s="35"/>
      <c r="F114" s="35"/>
      <c r="G114" s="35"/>
      <c r="H114" s="35"/>
      <c r="I114" s="35"/>
      <c r="J114" s="35"/>
      <c r="K114" s="30"/>
      <c r="L114" s="30"/>
      <c r="M114" s="30"/>
      <c r="N114" s="30"/>
      <c r="O114" s="30"/>
      <c r="P114" s="30"/>
      <c r="Q114" s="39"/>
      <c r="Z114" s="40" t="s">
        <v>20</v>
      </c>
      <c r="AA114" s="49">
        <v>6248800</v>
      </c>
      <c r="AB114" s="35"/>
      <c r="AC114" s="35"/>
      <c r="AD114" s="35"/>
      <c r="AE114" s="35"/>
      <c r="AF114" s="35"/>
      <c r="AG114" s="35"/>
      <c r="AH114" s="30"/>
      <c r="AI114" s="30"/>
      <c r="AJ114" s="30"/>
      <c r="AK114" s="30"/>
      <c r="AL114" s="30"/>
      <c r="AM114" s="30"/>
      <c r="AN114" s="39"/>
    </row>
    <row r="115" spans="1:43">
      <c r="A115" t="s">
        <v>70</v>
      </c>
      <c r="B115" t="s">
        <v>70</v>
      </c>
      <c r="C115" s="40" t="s">
        <v>21</v>
      </c>
      <c r="D115" s="49">
        <v>5.97</v>
      </c>
      <c r="E115" s="35"/>
      <c r="F115" s="35"/>
      <c r="G115" s="35"/>
      <c r="H115" s="35"/>
      <c r="I115" s="35"/>
      <c r="J115" s="35"/>
      <c r="K115" s="30"/>
      <c r="L115" s="30"/>
      <c r="M115" s="30"/>
      <c r="N115" s="30"/>
      <c r="O115" s="30"/>
      <c r="P115" s="30"/>
      <c r="Q115" s="39"/>
      <c r="Z115" s="40" t="s">
        <v>21</v>
      </c>
      <c r="AA115" s="49">
        <v>5.97</v>
      </c>
      <c r="AB115" s="35"/>
      <c r="AC115" s="35"/>
      <c r="AD115" s="35"/>
      <c r="AE115" s="35"/>
      <c r="AF115" s="35"/>
      <c r="AG115" s="35"/>
      <c r="AH115" s="30"/>
      <c r="AI115" s="30"/>
      <c r="AJ115" s="30"/>
      <c r="AK115" s="30"/>
      <c r="AL115" s="30"/>
      <c r="AM115" s="30"/>
      <c r="AN115" s="39"/>
    </row>
    <row r="116" spans="1:43">
      <c r="A116" t="s">
        <v>70</v>
      </c>
      <c r="B116" t="s">
        <v>70</v>
      </c>
      <c r="D116" t="s">
        <v>67</v>
      </c>
      <c r="E116" s="35">
        <f>E102*$D$102</f>
        <v>31422846.07</v>
      </c>
      <c r="F116" s="35">
        <f t="shared" ref="F116:P116" si="32">F102*$D$102</f>
        <v>78557115.174999997</v>
      </c>
      <c r="G116" s="35">
        <f t="shared" si="32"/>
        <v>94268538.210000008</v>
      </c>
      <c r="H116" s="35">
        <f t="shared" si="32"/>
        <v>78557115.174999997</v>
      </c>
      <c r="I116" s="35">
        <f t="shared" si="32"/>
        <v>62845692.140000001</v>
      </c>
      <c r="J116" s="35">
        <f t="shared" si="32"/>
        <v>94268538.210000008</v>
      </c>
      <c r="K116" s="35">
        <f t="shared" si="32"/>
        <v>47134269.105000004</v>
      </c>
      <c r="L116" s="35">
        <f t="shared" si="32"/>
        <v>78557115.174999997</v>
      </c>
      <c r="M116" s="35">
        <f t="shared" si="32"/>
        <v>62845692.140000001</v>
      </c>
      <c r="N116" s="35">
        <f t="shared" si="32"/>
        <v>94268538.210000008</v>
      </c>
      <c r="O116" s="35">
        <f t="shared" si="32"/>
        <v>78557115.174999997</v>
      </c>
      <c r="P116" s="35">
        <f t="shared" si="32"/>
        <v>62845692.140000001</v>
      </c>
      <c r="Q116" s="39">
        <f>SUM(E116:P116)</f>
        <v>864128266.92499995</v>
      </c>
      <c r="AA116" t="s">
        <v>67</v>
      </c>
      <c r="AB116" s="35">
        <f>AB102*$D$102</f>
        <v>29690842.773900002</v>
      </c>
      <c r="AC116" s="35">
        <f t="shared" ref="AC116:AM116" si="33">AC102*$D$102</f>
        <v>74227106.934750006</v>
      </c>
      <c r="AD116" s="35">
        <f t="shared" si="33"/>
        <v>89072528.321700007</v>
      </c>
      <c r="AE116" s="35">
        <f t="shared" si="33"/>
        <v>74227106.934750006</v>
      </c>
      <c r="AF116" s="35">
        <f t="shared" si="33"/>
        <v>59381685.547800004</v>
      </c>
      <c r="AG116" s="35">
        <f t="shared" si="33"/>
        <v>89072528.321700007</v>
      </c>
      <c r="AH116" s="35">
        <f t="shared" si="33"/>
        <v>59381685.547800004</v>
      </c>
      <c r="AI116" s="35">
        <f t="shared" si="33"/>
        <v>59381685.547800004</v>
      </c>
      <c r="AJ116" s="35">
        <f t="shared" si="33"/>
        <v>59381685.547800004</v>
      </c>
      <c r="AK116" s="35">
        <f t="shared" si="33"/>
        <v>59381685.547800004</v>
      </c>
      <c r="AL116" s="35">
        <f t="shared" si="33"/>
        <v>59381685.547800004</v>
      </c>
      <c r="AM116" s="35">
        <f t="shared" si="33"/>
        <v>59381685.547800004</v>
      </c>
      <c r="AN116" s="39">
        <f>SUM(AB116:AM116)</f>
        <v>771961912.12140036</v>
      </c>
      <c r="AP116">
        <v>2125769108.6146801</v>
      </c>
      <c r="AQ116" s="54">
        <f>AN116/AP116</f>
        <v>0.36314475969804266</v>
      </c>
    </row>
    <row r="117" spans="1:43">
      <c r="A117" t="s">
        <v>70</v>
      </c>
      <c r="B117" t="s">
        <v>70</v>
      </c>
      <c r="E117" s="35">
        <f>E103*$D$103</f>
        <v>185022.09987800001</v>
      </c>
      <c r="F117" s="35">
        <f t="shared" ref="F117:P117" si="34">F103*$D$103</f>
        <v>945489.94339799997</v>
      </c>
      <c r="G117" s="35">
        <f t="shared" si="34"/>
        <v>1252036.445968</v>
      </c>
      <c r="H117" s="35">
        <f t="shared" si="34"/>
        <v>462555.24969500001</v>
      </c>
      <c r="I117" s="35">
        <f t="shared" si="34"/>
        <v>756391.95471839991</v>
      </c>
      <c r="J117" s="35">
        <f t="shared" si="34"/>
        <v>1252036.445968</v>
      </c>
      <c r="K117" s="35">
        <f t="shared" si="34"/>
        <v>277533.14981699997</v>
      </c>
      <c r="L117" s="35">
        <f t="shared" si="34"/>
        <v>945489.94339799997</v>
      </c>
      <c r="M117" s="35">
        <f t="shared" si="34"/>
        <v>834690.9639786667</v>
      </c>
      <c r="N117" s="35">
        <f t="shared" si="34"/>
        <v>555066.29963399994</v>
      </c>
      <c r="O117" s="35">
        <f t="shared" si="34"/>
        <v>945489.94339799997</v>
      </c>
      <c r="P117" s="35">
        <f t="shared" si="34"/>
        <v>834690.9639786667</v>
      </c>
      <c r="Q117" s="39">
        <f>SUM(E117:P117)</f>
        <v>9246493.4038297348</v>
      </c>
      <c r="AB117" s="35">
        <f>AB103*$D$103</f>
        <v>174823.82292606001</v>
      </c>
      <c r="AC117" s="35">
        <f t="shared" ref="AC117:AM117" si="35">AC103*$D$103</f>
        <v>893375.25923645997</v>
      </c>
      <c r="AD117" s="35">
        <f t="shared" si="35"/>
        <v>1183025.1525153602</v>
      </c>
      <c r="AE117" s="35">
        <f t="shared" si="35"/>
        <v>437075.71179888002</v>
      </c>
      <c r="AF117" s="35">
        <f t="shared" si="35"/>
        <v>678100.60905048007</v>
      </c>
      <c r="AG117" s="35">
        <f t="shared" si="35"/>
        <v>1183025.1525153602</v>
      </c>
      <c r="AH117" s="35">
        <f t="shared" si="35"/>
        <v>262251.88887282001</v>
      </c>
      <c r="AI117" s="35">
        <f t="shared" si="35"/>
        <v>893375.25923645997</v>
      </c>
      <c r="AJ117" s="35">
        <f t="shared" si="35"/>
        <v>788694.20466606005</v>
      </c>
      <c r="AK117" s="35">
        <f t="shared" si="35"/>
        <v>524471.46877817996</v>
      </c>
      <c r="AL117" s="35">
        <f t="shared" si="35"/>
        <v>893375.25923645997</v>
      </c>
      <c r="AM117" s="35">
        <f t="shared" si="35"/>
        <v>788694.20466606005</v>
      </c>
      <c r="AN117" s="39">
        <f>SUM(AB117:AM117)</f>
        <v>8700287.9934986401</v>
      </c>
      <c r="AP117">
        <v>16689838.347886199</v>
      </c>
      <c r="AQ117" s="54">
        <f>AN117/AP117</f>
        <v>0.52129252615562627</v>
      </c>
    </row>
    <row r="118" spans="1:43">
      <c r="A118" t="s">
        <v>70</v>
      </c>
      <c r="B118" t="s">
        <v>70</v>
      </c>
      <c r="C118" s="44"/>
      <c r="D118" s="44"/>
      <c r="E118" s="50"/>
      <c r="F118" s="50"/>
      <c r="G118" s="50"/>
      <c r="H118" s="50"/>
      <c r="I118" s="50"/>
      <c r="J118" s="50"/>
      <c r="K118" s="46"/>
      <c r="L118" s="46"/>
      <c r="M118" s="46"/>
      <c r="N118" s="46"/>
      <c r="O118" s="46"/>
      <c r="P118" s="46"/>
      <c r="Q118" s="48"/>
      <c r="R118" s="44"/>
      <c r="Z118" s="44"/>
      <c r="AA118" s="44"/>
      <c r="AB118" s="50"/>
      <c r="AC118" s="50"/>
      <c r="AD118" s="50"/>
      <c r="AE118" s="50"/>
      <c r="AF118" s="50"/>
      <c r="AG118" s="50"/>
      <c r="AH118" s="46"/>
      <c r="AI118" s="46"/>
      <c r="AJ118" s="46"/>
      <c r="AK118" s="46"/>
      <c r="AL118" s="46"/>
      <c r="AM118" s="46"/>
      <c r="AN118" s="48"/>
    </row>
    <row r="119" spans="1:43">
      <c r="A119" t="s">
        <v>70</v>
      </c>
      <c r="B119" t="s">
        <v>70</v>
      </c>
      <c r="C119" s="44"/>
      <c r="D119" s="44"/>
      <c r="E119" s="50"/>
      <c r="F119" s="50"/>
      <c r="G119" s="50"/>
      <c r="H119" s="50"/>
      <c r="I119" s="50"/>
      <c r="J119" s="50"/>
      <c r="K119" s="46"/>
      <c r="L119" s="46"/>
      <c r="M119" s="46"/>
      <c r="N119" s="46"/>
      <c r="O119" s="46"/>
      <c r="P119" s="46"/>
      <c r="Q119" s="48"/>
      <c r="R119" s="44"/>
      <c r="Z119" s="44"/>
      <c r="AA119" s="44"/>
      <c r="AB119" s="50"/>
      <c r="AC119" s="50"/>
      <c r="AD119" s="50"/>
      <c r="AE119" s="50"/>
      <c r="AF119" s="50"/>
      <c r="AG119" s="50"/>
      <c r="AH119" s="46"/>
      <c r="AI119" s="46"/>
      <c r="AJ119" s="46"/>
      <c r="AK119" s="46"/>
      <c r="AL119" s="46"/>
      <c r="AM119" s="46"/>
      <c r="AN119" s="48"/>
    </row>
    <row r="120" spans="1:43">
      <c r="A120" t="s">
        <v>70</v>
      </c>
      <c r="B120" t="s">
        <v>70</v>
      </c>
      <c r="C120" t="s">
        <v>56</v>
      </c>
      <c r="E120" s="100">
        <f>'PANDU IKPP'!C40</f>
        <v>0</v>
      </c>
      <c r="F120" s="100">
        <f>'PANDU IKPP'!D40</f>
        <v>0</v>
      </c>
      <c r="G120" s="100">
        <f>'PANDU IKPP'!E40</f>
        <v>0</v>
      </c>
      <c r="H120" s="100">
        <f>'PANDU IKPP'!F40</f>
        <v>0</v>
      </c>
      <c r="I120" s="100">
        <f>'PANDU IKPP'!G40</f>
        <v>0</v>
      </c>
      <c r="J120" s="100">
        <f>'PANDU IKPP'!H40</f>
        <v>0</v>
      </c>
      <c r="K120" s="103">
        <f>'PANDU IKPP'!I40</f>
        <v>0</v>
      </c>
      <c r="L120" s="103">
        <f>'PANDU IKPP'!J40</f>
        <v>0</v>
      </c>
      <c r="M120" s="103">
        <f>'PANDU IKPP'!K40</f>
        <v>0</v>
      </c>
      <c r="N120" s="103">
        <f>'PANDU IKPP'!L40</f>
        <v>0</v>
      </c>
      <c r="O120" s="103">
        <f>'PANDU IKPP'!M40</f>
        <v>0</v>
      </c>
      <c r="P120" s="103">
        <f>'PANDU IKPP'!N40</f>
        <v>0</v>
      </c>
      <c r="Q120" s="39">
        <f>SUM(E120:P120)</f>
        <v>0</v>
      </c>
      <c r="R120" t="e">
        <f>Q121/Q120</f>
        <v>#DIV/0!</v>
      </c>
      <c r="Z120" t="s">
        <v>56</v>
      </c>
      <c r="AB120" s="29">
        <f>'PANDU IKPP'!W40</f>
        <v>0</v>
      </c>
      <c r="AC120" s="29">
        <f>'PANDU IKPP'!X40</f>
        <v>0</v>
      </c>
      <c r="AD120" s="29">
        <f>'PANDU IKPP'!Y40</f>
        <v>0</v>
      </c>
      <c r="AE120" s="29">
        <f>'PANDU IKPP'!Z40</f>
        <v>0</v>
      </c>
      <c r="AF120" s="29">
        <f>'PANDU IKPP'!AA40</f>
        <v>4</v>
      </c>
      <c r="AG120" s="29">
        <f>'PANDU IKPP'!AB40</f>
        <v>0</v>
      </c>
      <c r="AH120" s="29">
        <f>'PANDU IKPP'!AC40</f>
        <v>0</v>
      </c>
      <c r="AI120" s="29">
        <f>'PANDU IKPP'!AD40</f>
        <v>0</v>
      </c>
      <c r="AJ120" s="29">
        <f>'PANDU IKPP'!AE40</f>
        <v>0</v>
      </c>
      <c r="AK120" s="29">
        <f>'PANDU IKPP'!AF40</f>
        <v>0</v>
      </c>
      <c r="AL120" s="29">
        <f>'PANDU IKPP'!AG40</f>
        <v>4</v>
      </c>
      <c r="AM120" s="29">
        <f>'PANDU IKPP'!AH40</f>
        <v>0</v>
      </c>
      <c r="AN120" s="39">
        <f>SUM(AB120:AM120)</f>
        <v>8</v>
      </c>
    </row>
    <row r="121" spans="1:43">
      <c r="A121" t="s">
        <v>70</v>
      </c>
      <c r="B121" t="s">
        <v>70</v>
      </c>
      <c r="E121" s="100">
        <f>'PANDU IKPP'!C41</f>
        <v>0</v>
      </c>
      <c r="F121" s="100">
        <f>'PANDU IKPP'!D41</f>
        <v>0</v>
      </c>
      <c r="G121" s="100">
        <f>'PANDU IKPP'!E41</f>
        <v>0</v>
      </c>
      <c r="H121" s="100">
        <f>'PANDU IKPP'!F41</f>
        <v>0</v>
      </c>
      <c r="I121" s="100">
        <f>'PANDU IKPP'!G41</f>
        <v>0</v>
      </c>
      <c r="J121" s="100">
        <f>'PANDU IKPP'!H41</f>
        <v>0</v>
      </c>
      <c r="K121" s="103">
        <f>'PANDU IKPP'!I41</f>
        <v>0</v>
      </c>
      <c r="L121" s="103">
        <f>'PANDU IKPP'!J41</f>
        <v>0</v>
      </c>
      <c r="M121" s="103">
        <f>'PANDU IKPP'!K41</f>
        <v>0</v>
      </c>
      <c r="N121" s="103">
        <f>'PANDU IKPP'!L41</f>
        <v>0</v>
      </c>
      <c r="O121" s="103">
        <f>'PANDU IKPP'!M41</f>
        <v>0</v>
      </c>
      <c r="P121" s="103">
        <f>'PANDU IKPP'!N41</f>
        <v>0</v>
      </c>
      <c r="Q121" s="39">
        <f>SUM(E121:P121)</f>
        <v>0</v>
      </c>
      <c r="AB121" s="29">
        <f>'PANDU IKPP'!W41</f>
        <v>0</v>
      </c>
      <c r="AC121" s="29">
        <f>'PANDU IKPP'!X41</f>
        <v>0</v>
      </c>
      <c r="AD121" s="29">
        <f>'PANDU IKPP'!Y41</f>
        <v>0</v>
      </c>
      <c r="AE121" s="29">
        <f>'PANDU IKPP'!Z41</f>
        <v>0</v>
      </c>
      <c r="AF121" s="29">
        <f>'PANDU IKPP'!AA41</f>
        <v>0</v>
      </c>
      <c r="AG121" s="29">
        <f>'PANDU IKPP'!AB41</f>
        <v>0</v>
      </c>
      <c r="AH121" s="29">
        <f>'PANDU IKPP'!AC41</f>
        <v>0</v>
      </c>
      <c r="AI121" s="29">
        <f>'PANDU IKPP'!AD41</f>
        <v>0</v>
      </c>
      <c r="AJ121" s="29">
        <f>'PANDU IKPP'!AE41</f>
        <v>0</v>
      </c>
      <c r="AK121" s="29">
        <f>'PANDU IKPP'!AF41</f>
        <v>0</v>
      </c>
      <c r="AL121" s="29">
        <f>'PANDU IKPP'!AG41</f>
        <v>0</v>
      </c>
      <c r="AM121" s="29">
        <f>'PANDU IKPP'!AH41</f>
        <v>0</v>
      </c>
      <c r="AN121" s="39">
        <f>SUM(AB121:AM121)</f>
        <v>0</v>
      </c>
    </row>
    <row r="122" spans="1:43">
      <c r="A122" t="s">
        <v>78</v>
      </c>
      <c r="B122" t="s">
        <v>86</v>
      </c>
      <c r="C122" s="40" t="s">
        <v>20</v>
      </c>
      <c r="D122" s="49">
        <v>2102150</v>
      </c>
      <c r="E122" s="35">
        <f>E120*$G$3</f>
        <v>0</v>
      </c>
      <c r="F122" s="35">
        <f t="shared" ref="F122:P123" si="36">F120*$G$3</f>
        <v>0</v>
      </c>
      <c r="G122" s="35">
        <f t="shared" si="36"/>
        <v>0</v>
      </c>
      <c r="H122" s="35">
        <f t="shared" si="36"/>
        <v>0</v>
      </c>
      <c r="I122" s="35">
        <f t="shared" si="36"/>
        <v>0</v>
      </c>
      <c r="J122" s="35">
        <f t="shared" si="36"/>
        <v>0</v>
      </c>
      <c r="K122" s="35">
        <f t="shared" si="36"/>
        <v>0</v>
      </c>
      <c r="L122" s="35">
        <f t="shared" si="36"/>
        <v>0</v>
      </c>
      <c r="M122" s="35">
        <f t="shared" si="36"/>
        <v>0</v>
      </c>
      <c r="N122" s="35">
        <f t="shared" si="36"/>
        <v>0</v>
      </c>
      <c r="O122" s="35">
        <f t="shared" si="36"/>
        <v>0</v>
      </c>
      <c r="P122" s="35">
        <f t="shared" si="36"/>
        <v>0</v>
      </c>
      <c r="Q122" s="39">
        <f>SUM(E122:P122)</f>
        <v>0</v>
      </c>
      <c r="T122" s="67"/>
      <c r="Z122" s="40" t="s">
        <v>20</v>
      </c>
      <c r="AA122" s="49">
        <v>2102150</v>
      </c>
      <c r="AB122" s="35">
        <f>AB120*$AD$3</f>
        <v>0</v>
      </c>
      <c r="AC122" s="35">
        <f t="shared" ref="AC122:AM122" si="37">AC120*$AD$3</f>
        <v>0</v>
      </c>
      <c r="AD122" s="35">
        <f t="shared" si="37"/>
        <v>0</v>
      </c>
      <c r="AE122" s="35">
        <f t="shared" si="37"/>
        <v>0</v>
      </c>
      <c r="AF122" s="35">
        <f t="shared" si="37"/>
        <v>18.305364000000001</v>
      </c>
      <c r="AG122" s="35">
        <f t="shared" si="37"/>
        <v>0</v>
      </c>
      <c r="AH122" s="35">
        <f t="shared" si="37"/>
        <v>0</v>
      </c>
      <c r="AI122" s="35">
        <f t="shared" si="37"/>
        <v>0</v>
      </c>
      <c r="AJ122" s="35">
        <f t="shared" si="37"/>
        <v>0</v>
      </c>
      <c r="AK122" s="35">
        <f t="shared" si="37"/>
        <v>0</v>
      </c>
      <c r="AL122" s="35">
        <f t="shared" si="37"/>
        <v>18.305364000000001</v>
      </c>
      <c r="AM122" s="35">
        <f t="shared" si="37"/>
        <v>0</v>
      </c>
      <c r="AN122" s="39">
        <f>SUM(AB122:AM122)</f>
        <v>36.610728000000002</v>
      </c>
    </row>
    <row r="123" spans="1:43">
      <c r="A123" t="s">
        <v>70</v>
      </c>
      <c r="B123" t="s">
        <v>70</v>
      </c>
      <c r="C123" s="40" t="s">
        <v>21</v>
      </c>
      <c r="D123" s="49">
        <v>7.06</v>
      </c>
      <c r="E123" s="35">
        <f>E121*$G$3</f>
        <v>0</v>
      </c>
      <c r="F123" s="35">
        <f t="shared" si="36"/>
        <v>0</v>
      </c>
      <c r="G123" s="35">
        <f t="shared" si="36"/>
        <v>0</v>
      </c>
      <c r="H123" s="35">
        <f t="shared" si="36"/>
        <v>0</v>
      </c>
      <c r="I123" s="35">
        <f t="shared" si="36"/>
        <v>0</v>
      </c>
      <c r="J123" s="35">
        <f t="shared" si="36"/>
        <v>0</v>
      </c>
      <c r="K123" s="35">
        <f t="shared" si="36"/>
        <v>0</v>
      </c>
      <c r="L123" s="35">
        <f t="shared" si="36"/>
        <v>0</v>
      </c>
      <c r="M123" s="35">
        <f t="shared" si="36"/>
        <v>0</v>
      </c>
      <c r="N123" s="35">
        <f t="shared" si="36"/>
        <v>0</v>
      </c>
      <c r="O123" s="35">
        <f t="shared" si="36"/>
        <v>0</v>
      </c>
      <c r="P123" s="35">
        <f t="shared" si="36"/>
        <v>0</v>
      </c>
      <c r="Q123" s="39">
        <f>SUM(E123:P123)</f>
        <v>0</v>
      </c>
      <c r="T123" s="39"/>
      <c r="Z123" s="40" t="s">
        <v>21</v>
      </c>
      <c r="AA123" s="49">
        <v>7.06</v>
      </c>
      <c r="AB123" s="35">
        <f>AB121*$AD$3</f>
        <v>0</v>
      </c>
      <c r="AC123" s="35">
        <f t="shared" ref="AC123:AM123" si="38">AC121*$AD$3</f>
        <v>0</v>
      </c>
      <c r="AD123" s="35">
        <f t="shared" si="38"/>
        <v>0</v>
      </c>
      <c r="AE123" s="35">
        <f t="shared" si="38"/>
        <v>0</v>
      </c>
      <c r="AF123" s="35">
        <f t="shared" si="38"/>
        <v>0</v>
      </c>
      <c r="AG123" s="35">
        <f t="shared" si="38"/>
        <v>0</v>
      </c>
      <c r="AH123" s="35">
        <f t="shared" si="38"/>
        <v>0</v>
      </c>
      <c r="AI123" s="35">
        <f t="shared" si="38"/>
        <v>0</v>
      </c>
      <c r="AJ123" s="35">
        <f t="shared" si="38"/>
        <v>0</v>
      </c>
      <c r="AK123" s="35">
        <f t="shared" si="38"/>
        <v>0</v>
      </c>
      <c r="AL123" s="35">
        <f t="shared" si="38"/>
        <v>0</v>
      </c>
      <c r="AM123" s="35">
        <f t="shared" si="38"/>
        <v>0</v>
      </c>
      <c r="AN123" s="39">
        <f>SUM(AB123:AM123)</f>
        <v>0</v>
      </c>
    </row>
    <row r="124" spans="1:43">
      <c r="A124" t="s">
        <v>79</v>
      </c>
      <c r="B124" t="s">
        <v>87</v>
      </c>
      <c r="C124" s="40" t="s">
        <v>20</v>
      </c>
      <c r="D124" s="49">
        <v>3243950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9"/>
      <c r="Z124" s="40" t="s">
        <v>20</v>
      </c>
      <c r="AA124" s="49">
        <v>3243950</v>
      </c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9"/>
    </row>
    <row r="125" spans="1:43">
      <c r="A125" t="s">
        <v>70</v>
      </c>
      <c r="B125" t="s">
        <v>70</v>
      </c>
      <c r="C125" s="40" t="s">
        <v>21</v>
      </c>
      <c r="D125" s="49">
        <v>7.06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9"/>
      <c r="Z125" s="40" t="s">
        <v>21</v>
      </c>
      <c r="AA125" s="49">
        <v>7.06</v>
      </c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9"/>
    </row>
    <row r="126" spans="1:43">
      <c r="A126" t="s">
        <v>80</v>
      </c>
      <c r="B126" t="s">
        <v>88</v>
      </c>
      <c r="C126" s="40" t="s">
        <v>20</v>
      </c>
      <c r="D126" s="49">
        <v>3898120</v>
      </c>
      <c r="E126" s="35"/>
      <c r="F126" s="35"/>
      <c r="G126" s="35"/>
      <c r="H126" s="35"/>
      <c r="I126" s="35"/>
      <c r="J126" s="35"/>
      <c r="K126" s="30"/>
      <c r="L126" s="30"/>
      <c r="M126" s="30"/>
      <c r="N126" s="30"/>
      <c r="O126" s="30"/>
      <c r="P126" s="30"/>
      <c r="Q126" s="39"/>
      <c r="Z126" s="40" t="s">
        <v>20</v>
      </c>
      <c r="AA126" s="49">
        <v>3898120</v>
      </c>
      <c r="AB126" s="35"/>
      <c r="AC126" s="35"/>
      <c r="AD126" s="35"/>
      <c r="AE126" s="35"/>
      <c r="AF126" s="35"/>
      <c r="AG126" s="35"/>
      <c r="AH126" s="30"/>
      <c r="AI126" s="30"/>
      <c r="AJ126" s="30"/>
      <c r="AK126" s="30"/>
      <c r="AL126" s="30"/>
      <c r="AM126" s="30"/>
      <c r="AN126" s="39"/>
    </row>
    <row r="127" spans="1:43">
      <c r="A127" t="s">
        <v>70</v>
      </c>
      <c r="B127" t="s">
        <v>70</v>
      </c>
      <c r="C127" s="40" t="s">
        <v>21</v>
      </c>
      <c r="D127" s="49">
        <v>7.46</v>
      </c>
      <c r="E127" s="35"/>
      <c r="F127" s="35"/>
      <c r="G127" s="35"/>
      <c r="H127" s="35"/>
      <c r="I127" s="35"/>
      <c r="J127" s="35"/>
      <c r="K127" s="30"/>
      <c r="L127" s="30"/>
      <c r="M127" s="30"/>
      <c r="N127" s="30"/>
      <c r="O127" s="30"/>
      <c r="P127" s="30"/>
      <c r="Q127" s="39"/>
      <c r="Z127" s="40" t="s">
        <v>21</v>
      </c>
      <c r="AA127" s="49">
        <v>7.46</v>
      </c>
      <c r="AB127" s="35"/>
      <c r="AC127" s="35"/>
      <c r="AD127" s="35"/>
      <c r="AE127" s="35"/>
      <c r="AF127" s="35"/>
      <c r="AG127" s="35"/>
      <c r="AH127" s="30"/>
      <c r="AI127" s="30"/>
      <c r="AJ127" s="30"/>
      <c r="AK127" s="30"/>
      <c r="AL127" s="30"/>
      <c r="AM127" s="30"/>
      <c r="AN127" s="39"/>
    </row>
    <row r="128" spans="1:43">
      <c r="A128" t="s">
        <v>81</v>
      </c>
      <c r="B128" t="s">
        <v>89</v>
      </c>
      <c r="C128" s="40" t="s">
        <v>20</v>
      </c>
      <c r="D128" s="49">
        <v>4239050</v>
      </c>
      <c r="E128" s="35"/>
      <c r="F128" s="35"/>
      <c r="G128" s="35"/>
      <c r="H128" s="35"/>
      <c r="I128" s="35"/>
      <c r="J128" s="35"/>
      <c r="K128" s="30"/>
      <c r="L128" s="30"/>
      <c r="M128" s="30"/>
      <c r="N128" s="30"/>
      <c r="O128" s="30"/>
      <c r="P128" s="30"/>
      <c r="Q128" s="39"/>
      <c r="Z128" s="40" t="s">
        <v>20</v>
      </c>
      <c r="AA128" s="49">
        <v>4239050</v>
      </c>
      <c r="AB128" s="35"/>
      <c r="AC128" s="35"/>
      <c r="AD128" s="35"/>
      <c r="AE128" s="35"/>
      <c r="AF128" s="35"/>
      <c r="AG128" s="35"/>
      <c r="AH128" s="30"/>
      <c r="AI128" s="30"/>
      <c r="AJ128" s="30"/>
      <c r="AK128" s="30"/>
      <c r="AL128" s="30"/>
      <c r="AM128" s="30"/>
      <c r="AN128" s="39"/>
    </row>
    <row r="129" spans="1:43">
      <c r="A129" t="s">
        <v>70</v>
      </c>
      <c r="B129" t="s">
        <v>70</v>
      </c>
      <c r="C129" s="40" t="s">
        <v>21</v>
      </c>
      <c r="D129" s="49">
        <v>7.46</v>
      </c>
      <c r="E129" s="35"/>
      <c r="F129" s="35"/>
      <c r="G129" s="35"/>
      <c r="H129" s="35"/>
      <c r="I129" s="35"/>
      <c r="J129" s="35"/>
      <c r="K129" s="30"/>
      <c r="L129" s="30"/>
      <c r="M129" s="30"/>
      <c r="N129" s="30"/>
      <c r="O129" s="30"/>
      <c r="P129" s="30"/>
      <c r="Q129" s="39"/>
      <c r="Z129" s="40" t="s">
        <v>21</v>
      </c>
      <c r="AA129" s="49">
        <v>7.46</v>
      </c>
      <c r="AB129" s="35"/>
      <c r="AC129" s="35"/>
      <c r="AD129" s="35"/>
      <c r="AE129" s="35"/>
      <c r="AF129" s="35"/>
      <c r="AG129" s="35"/>
      <c r="AH129" s="30"/>
      <c r="AI129" s="30"/>
      <c r="AJ129" s="30"/>
      <c r="AK129" s="30"/>
      <c r="AL129" s="30"/>
      <c r="AM129" s="30"/>
      <c r="AN129" s="39"/>
    </row>
    <row r="130" spans="1:43">
      <c r="A130" t="s">
        <v>82</v>
      </c>
      <c r="B130" t="s">
        <v>90</v>
      </c>
      <c r="C130" s="40" t="s">
        <v>20</v>
      </c>
      <c r="D130" s="49">
        <v>4371600</v>
      </c>
      <c r="E130" s="35"/>
      <c r="F130" s="35"/>
      <c r="G130" s="35"/>
      <c r="H130" s="35"/>
      <c r="I130" s="35"/>
      <c r="J130" s="35"/>
      <c r="K130" s="30"/>
      <c r="L130" s="30"/>
      <c r="M130" s="30"/>
      <c r="N130" s="30"/>
      <c r="O130" s="30"/>
      <c r="P130" s="30"/>
      <c r="Q130" s="39"/>
      <c r="Z130" s="40" t="s">
        <v>20</v>
      </c>
      <c r="AA130" s="49">
        <v>4371600</v>
      </c>
      <c r="AB130" s="35"/>
      <c r="AC130" s="35"/>
      <c r="AD130" s="35"/>
      <c r="AE130" s="35"/>
      <c r="AF130" s="35"/>
      <c r="AG130" s="35"/>
      <c r="AH130" s="30"/>
      <c r="AI130" s="30"/>
      <c r="AJ130" s="30"/>
      <c r="AK130" s="30"/>
      <c r="AL130" s="30"/>
      <c r="AM130" s="30"/>
      <c r="AN130" s="39"/>
    </row>
    <row r="131" spans="1:43">
      <c r="A131" t="s">
        <v>70</v>
      </c>
      <c r="B131" t="s">
        <v>70</v>
      </c>
      <c r="C131" s="40" t="s">
        <v>21</v>
      </c>
      <c r="D131" s="49">
        <v>5.97</v>
      </c>
      <c r="E131" s="35"/>
      <c r="F131" s="35"/>
      <c r="G131" s="35"/>
      <c r="H131" s="35"/>
      <c r="I131" s="35"/>
      <c r="J131" s="35"/>
      <c r="K131" s="30"/>
      <c r="L131" s="30"/>
      <c r="M131" s="30"/>
      <c r="N131" s="30"/>
      <c r="O131" s="30"/>
      <c r="P131" s="30"/>
      <c r="Q131" s="39"/>
      <c r="Z131" s="40" t="s">
        <v>21</v>
      </c>
      <c r="AA131" s="49">
        <v>5.97</v>
      </c>
      <c r="AB131" s="35"/>
      <c r="AC131" s="35"/>
      <c r="AD131" s="35"/>
      <c r="AE131" s="35"/>
      <c r="AF131" s="35"/>
      <c r="AG131" s="35"/>
      <c r="AH131" s="30"/>
      <c r="AI131" s="30"/>
      <c r="AJ131" s="30"/>
      <c r="AK131" s="30"/>
      <c r="AL131" s="30"/>
      <c r="AM131" s="30"/>
      <c r="AN131" s="39"/>
    </row>
    <row r="132" spans="1:43">
      <c r="A132" t="s">
        <v>83</v>
      </c>
      <c r="B132" t="s">
        <v>91</v>
      </c>
      <c r="C132" s="40" t="s">
        <v>20</v>
      </c>
      <c r="D132" s="49">
        <v>5120900</v>
      </c>
      <c r="E132" s="35"/>
      <c r="F132" s="35"/>
      <c r="G132" s="35"/>
      <c r="H132" s="35"/>
      <c r="I132" s="35"/>
      <c r="J132" s="35"/>
      <c r="K132" s="30"/>
      <c r="L132" s="30"/>
      <c r="M132" s="30"/>
      <c r="N132" s="30"/>
      <c r="O132" s="30"/>
      <c r="P132" s="30"/>
      <c r="Q132" s="39"/>
      <c r="Z132" s="40" t="s">
        <v>20</v>
      </c>
      <c r="AA132" s="49">
        <v>5120900</v>
      </c>
      <c r="AB132" s="35"/>
      <c r="AC132" s="35"/>
      <c r="AD132" s="35"/>
      <c r="AE132" s="35"/>
      <c r="AF132" s="35"/>
      <c r="AG132" s="35"/>
      <c r="AH132" s="30"/>
      <c r="AI132" s="30"/>
      <c r="AJ132" s="30"/>
      <c r="AK132" s="30"/>
      <c r="AL132" s="30"/>
      <c r="AM132" s="30"/>
      <c r="AN132" s="39"/>
    </row>
    <row r="133" spans="1:43">
      <c r="A133" t="s">
        <v>70</v>
      </c>
      <c r="B133" t="s">
        <v>70</v>
      </c>
      <c r="C133" s="40" t="s">
        <v>21</v>
      </c>
      <c r="D133" s="49">
        <v>5.97</v>
      </c>
      <c r="E133" s="35"/>
      <c r="F133" s="35"/>
      <c r="G133" s="35"/>
      <c r="H133" s="35"/>
      <c r="I133" s="35"/>
      <c r="J133" s="35"/>
      <c r="K133" s="30"/>
      <c r="L133" s="30"/>
      <c r="M133" s="30"/>
      <c r="N133" s="30"/>
      <c r="O133" s="30"/>
      <c r="P133" s="30"/>
      <c r="Q133" s="39"/>
      <c r="Z133" s="40" t="s">
        <v>21</v>
      </c>
      <c r="AA133" s="49">
        <v>5.97</v>
      </c>
      <c r="AB133" s="35"/>
      <c r="AC133" s="35"/>
      <c r="AD133" s="35"/>
      <c r="AE133" s="35"/>
      <c r="AF133" s="35"/>
      <c r="AG133" s="35"/>
      <c r="AH133" s="30"/>
      <c r="AI133" s="30"/>
      <c r="AJ133" s="30"/>
      <c r="AK133" s="30"/>
      <c r="AL133" s="30"/>
      <c r="AM133" s="30"/>
      <c r="AN133" s="39"/>
    </row>
    <row r="134" spans="1:43">
      <c r="A134" t="s">
        <v>84</v>
      </c>
      <c r="B134" t="s">
        <v>92</v>
      </c>
      <c r="C134" s="40" t="s">
        <v>20</v>
      </c>
      <c r="D134" s="49">
        <v>4937500</v>
      </c>
      <c r="E134" s="35"/>
      <c r="F134" s="35"/>
      <c r="G134" s="35"/>
      <c r="H134" s="35"/>
      <c r="I134" s="35"/>
      <c r="J134" s="35"/>
      <c r="K134" s="30"/>
      <c r="L134" s="30"/>
      <c r="M134" s="30"/>
      <c r="N134" s="30"/>
      <c r="O134" s="30"/>
      <c r="P134" s="30"/>
      <c r="Q134" s="39"/>
      <c r="Z134" s="40" t="s">
        <v>20</v>
      </c>
      <c r="AA134" s="49">
        <v>4937500</v>
      </c>
      <c r="AB134" s="35"/>
      <c r="AC134" s="35"/>
      <c r="AD134" s="35"/>
      <c r="AE134" s="35"/>
      <c r="AF134" s="35"/>
      <c r="AG134" s="35"/>
      <c r="AH134" s="30"/>
      <c r="AI134" s="30"/>
      <c r="AJ134" s="30"/>
      <c r="AK134" s="30"/>
      <c r="AL134" s="30"/>
      <c r="AM134" s="30"/>
      <c r="AN134" s="39"/>
    </row>
    <row r="135" spans="1:43">
      <c r="A135" t="s">
        <v>70</v>
      </c>
      <c r="B135" t="s">
        <v>70</v>
      </c>
      <c r="C135" s="40" t="s">
        <v>21</v>
      </c>
      <c r="D135" s="49">
        <v>5.97</v>
      </c>
      <c r="E135" s="35"/>
      <c r="F135" s="35"/>
      <c r="G135" s="35"/>
      <c r="H135" s="35"/>
      <c r="I135" s="35"/>
      <c r="J135" s="35"/>
      <c r="K135" s="30"/>
      <c r="L135" s="30"/>
      <c r="M135" s="30"/>
      <c r="N135" s="30"/>
      <c r="O135" s="30"/>
      <c r="P135" s="30"/>
      <c r="Q135" s="39"/>
      <c r="Z135" s="40" t="s">
        <v>21</v>
      </c>
      <c r="AA135" s="49">
        <v>5.97</v>
      </c>
      <c r="AB135" s="35"/>
      <c r="AC135" s="35"/>
      <c r="AD135" s="35"/>
      <c r="AE135" s="35"/>
      <c r="AF135" s="35"/>
      <c r="AG135" s="35"/>
      <c r="AH135" s="30"/>
      <c r="AI135" s="30"/>
      <c r="AJ135" s="30"/>
      <c r="AK135" s="30"/>
      <c r="AL135" s="30"/>
      <c r="AM135" s="30"/>
      <c r="AN135" s="39"/>
    </row>
    <row r="136" spans="1:43">
      <c r="A136" t="s">
        <v>85</v>
      </c>
      <c r="B136" t="s">
        <v>93</v>
      </c>
      <c r="C136" s="40" t="s">
        <v>20</v>
      </c>
      <c r="D136" s="49">
        <v>6248800</v>
      </c>
      <c r="E136" s="35"/>
      <c r="F136" s="35"/>
      <c r="G136" s="35"/>
      <c r="H136" s="35"/>
      <c r="I136" s="35"/>
      <c r="J136" s="35"/>
      <c r="K136" s="30"/>
      <c r="L136" s="30"/>
      <c r="M136" s="30"/>
      <c r="N136" s="30"/>
      <c r="O136" s="30"/>
      <c r="P136" s="30"/>
      <c r="Q136" s="39"/>
      <c r="Z136" s="40" t="s">
        <v>20</v>
      </c>
      <c r="AA136" s="49">
        <v>6248800</v>
      </c>
      <c r="AB136" s="35"/>
      <c r="AC136" s="35"/>
      <c r="AD136" s="35"/>
      <c r="AE136" s="35"/>
      <c r="AF136" s="35"/>
      <c r="AG136" s="35"/>
      <c r="AH136" s="30"/>
      <c r="AI136" s="30"/>
      <c r="AJ136" s="30"/>
      <c r="AK136" s="30"/>
      <c r="AL136" s="30"/>
      <c r="AM136" s="30"/>
      <c r="AN136" s="39"/>
    </row>
    <row r="137" spans="1:43">
      <c r="A137" t="s">
        <v>70</v>
      </c>
      <c r="B137" t="s">
        <v>70</v>
      </c>
      <c r="C137" s="40" t="s">
        <v>21</v>
      </c>
      <c r="D137" s="49">
        <v>5.97</v>
      </c>
      <c r="E137" s="35"/>
      <c r="F137" s="35"/>
      <c r="G137" s="35"/>
      <c r="H137" s="35"/>
      <c r="I137" s="35"/>
      <c r="J137" s="35"/>
      <c r="K137" s="30"/>
      <c r="L137" s="30"/>
      <c r="M137" s="30"/>
      <c r="N137" s="30"/>
      <c r="O137" s="30"/>
      <c r="P137" s="30"/>
      <c r="Q137" s="39"/>
      <c r="Z137" s="40" t="s">
        <v>21</v>
      </c>
      <c r="AA137" s="49">
        <v>5.97</v>
      </c>
      <c r="AB137" s="35"/>
      <c r="AC137" s="35"/>
      <c r="AD137" s="35"/>
      <c r="AE137" s="35"/>
      <c r="AF137" s="35"/>
      <c r="AG137" s="35"/>
      <c r="AH137" s="30"/>
      <c r="AI137" s="30"/>
      <c r="AJ137" s="30"/>
      <c r="AK137" s="30"/>
      <c r="AL137" s="30"/>
      <c r="AM137" s="30"/>
      <c r="AN137" s="39"/>
    </row>
    <row r="138" spans="1:43">
      <c r="A138" t="s">
        <v>70</v>
      </c>
      <c r="B138" t="s">
        <v>70</v>
      </c>
      <c r="D138" t="s">
        <v>67</v>
      </c>
      <c r="E138" s="35">
        <f>E122*$D$122</f>
        <v>0</v>
      </c>
      <c r="F138" s="35">
        <f t="shared" ref="F138:P138" si="39">F122*$D$122</f>
        <v>0</v>
      </c>
      <c r="G138" s="35">
        <f t="shared" si="39"/>
        <v>0</v>
      </c>
      <c r="H138" s="35">
        <f t="shared" si="39"/>
        <v>0</v>
      </c>
      <c r="I138" s="35">
        <f t="shared" si="39"/>
        <v>0</v>
      </c>
      <c r="J138" s="35">
        <f t="shared" si="39"/>
        <v>0</v>
      </c>
      <c r="K138" s="35">
        <f t="shared" si="39"/>
        <v>0</v>
      </c>
      <c r="L138" s="35">
        <f t="shared" si="39"/>
        <v>0</v>
      </c>
      <c r="M138" s="35">
        <f t="shared" si="39"/>
        <v>0</v>
      </c>
      <c r="N138" s="35">
        <f t="shared" si="39"/>
        <v>0</v>
      </c>
      <c r="O138" s="35">
        <f t="shared" si="39"/>
        <v>0</v>
      </c>
      <c r="P138" s="35">
        <f t="shared" si="39"/>
        <v>0</v>
      </c>
      <c r="Q138" s="39">
        <f>SUM(E138:P138)</f>
        <v>0</v>
      </c>
      <c r="AA138" t="s">
        <v>67</v>
      </c>
      <c r="AB138" s="35">
        <f>AB122*$D$122</f>
        <v>0</v>
      </c>
      <c r="AC138" s="35">
        <f t="shared" ref="AC138:AM138" si="40">AC122*$D$122</f>
        <v>0</v>
      </c>
      <c r="AD138" s="35">
        <f t="shared" si="40"/>
        <v>0</v>
      </c>
      <c r="AE138" s="35">
        <f t="shared" si="40"/>
        <v>0</v>
      </c>
      <c r="AF138" s="35">
        <f t="shared" si="40"/>
        <v>38480620.932599999</v>
      </c>
      <c r="AG138" s="35">
        <f t="shared" si="40"/>
        <v>0</v>
      </c>
      <c r="AH138" s="35">
        <f t="shared" si="40"/>
        <v>0</v>
      </c>
      <c r="AI138" s="35">
        <f t="shared" si="40"/>
        <v>0</v>
      </c>
      <c r="AJ138" s="35">
        <f t="shared" si="40"/>
        <v>0</v>
      </c>
      <c r="AK138" s="35">
        <f t="shared" si="40"/>
        <v>0</v>
      </c>
      <c r="AL138" s="35">
        <f t="shared" si="40"/>
        <v>38480620.932599999</v>
      </c>
      <c r="AM138" s="35">
        <f t="shared" si="40"/>
        <v>0</v>
      </c>
      <c r="AN138" s="39">
        <f>SUM(AB138:AM138)</f>
        <v>76961241.865199998</v>
      </c>
      <c r="AP138" s="81">
        <v>2625480160.3669887</v>
      </c>
      <c r="AQ138" s="54">
        <f>AN138/AP138</f>
        <v>2.9313206409620093E-2</v>
      </c>
    </row>
    <row r="139" spans="1:43">
      <c r="A139" t="s">
        <v>70</v>
      </c>
      <c r="B139" t="s">
        <v>70</v>
      </c>
      <c r="E139" s="35">
        <f>E123*$D$123</f>
        <v>0</v>
      </c>
      <c r="F139" s="35">
        <f t="shared" ref="F139:P139" si="41">F123*$D$123</f>
        <v>0</v>
      </c>
      <c r="G139" s="35">
        <f t="shared" si="41"/>
        <v>0</v>
      </c>
      <c r="H139" s="35">
        <f t="shared" si="41"/>
        <v>0</v>
      </c>
      <c r="I139" s="35">
        <f t="shared" si="41"/>
        <v>0</v>
      </c>
      <c r="J139" s="35">
        <f t="shared" si="41"/>
        <v>0</v>
      </c>
      <c r="K139" s="35">
        <f t="shared" si="41"/>
        <v>0</v>
      </c>
      <c r="L139" s="35">
        <f t="shared" si="41"/>
        <v>0</v>
      </c>
      <c r="M139" s="35">
        <f t="shared" si="41"/>
        <v>0</v>
      </c>
      <c r="N139" s="35">
        <f t="shared" si="41"/>
        <v>0</v>
      </c>
      <c r="O139" s="35">
        <f t="shared" si="41"/>
        <v>0</v>
      </c>
      <c r="P139" s="35">
        <f t="shared" si="41"/>
        <v>0</v>
      </c>
      <c r="Q139" s="39">
        <f>SUM(E139:P139)</f>
        <v>0</v>
      </c>
      <c r="AB139" s="35">
        <f>AB123*$D$123</f>
        <v>0</v>
      </c>
      <c r="AC139" s="35">
        <f t="shared" ref="AC139:AM139" si="42">AC123*$D$123</f>
        <v>0</v>
      </c>
      <c r="AD139" s="35">
        <f t="shared" si="42"/>
        <v>0</v>
      </c>
      <c r="AE139" s="35">
        <f t="shared" si="42"/>
        <v>0</v>
      </c>
      <c r="AF139" s="35">
        <f t="shared" si="42"/>
        <v>0</v>
      </c>
      <c r="AG139" s="35">
        <f t="shared" si="42"/>
        <v>0</v>
      </c>
      <c r="AH139" s="35">
        <f t="shared" si="42"/>
        <v>0</v>
      </c>
      <c r="AI139" s="35">
        <f t="shared" si="42"/>
        <v>0</v>
      </c>
      <c r="AJ139" s="35">
        <f t="shared" si="42"/>
        <v>0</v>
      </c>
      <c r="AK139" s="35">
        <f t="shared" si="42"/>
        <v>0</v>
      </c>
      <c r="AL139" s="35">
        <f t="shared" si="42"/>
        <v>0</v>
      </c>
      <c r="AM139" s="35">
        <f t="shared" si="42"/>
        <v>0</v>
      </c>
      <c r="AN139" s="39">
        <f>SUM(AB139:AM139)</f>
        <v>0</v>
      </c>
      <c r="AP139" s="84">
        <v>16682556.530452</v>
      </c>
      <c r="AQ139" s="54">
        <f>AN139/AP139</f>
        <v>0</v>
      </c>
    </row>
    <row r="140" spans="1:43">
      <c r="A140" t="s">
        <v>70</v>
      </c>
      <c r="B140" t="s">
        <v>70</v>
      </c>
      <c r="C140" s="44"/>
      <c r="D140" s="44"/>
      <c r="E140" s="50"/>
      <c r="F140" s="50"/>
      <c r="G140" s="50"/>
      <c r="H140" s="50"/>
      <c r="I140" s="50"/>
      <c r="J140" s="50"/>
      <c r="K140" s="46"/>
      <c r="L140" s="46"/>
      <c r="M140" s="46"/>
      <c r="N140" s="46"/>
      <c r="O140" s="46"/>
      <c r="P140" s="46"/>
      <c r="Q140" s="48"/>
      <c r="R140" s="44"/>
      <c r="Z140" s="44"/>
      <c r="AA140" s="44"/>
      <c r="AB140" s="50"/>
      <c r="AC140" s="50"/>
      <c r="AD140" s="50"/>
      <c r="AE140" s="50"/>
      <c r="AF140" s="50"/>
      <c r="AG140" s="50"/>
      <c r="AH140" s="46"/>
      <c r="AI140" s="46"/>
      <c r="AJ140" s="46"/>
      <c r="AK140" s="46"/>
      <c r="AL140" s="46"/>
      <c r="AM140" s="46"/>
      <c r="AN140" s="48"/>
    </row>
    <row r="141" spans="1:43">
      <c r="A141" t="s">
        <v>70</v>
      </c>
      <c r="B141" t="s">
        <v>70</v>
      </c>
      <c r="C141" s="44"/>
      <c r="D141" s="44"/>
      <c r="E141" s="50"/>
      <c r="F141" s="50"/>
      <c r="G141" s="50"/>
      <c r="H141" s="50"/>
      <c r="I141" s="50"/>
      <c r="J141" s="50"/>
      <c r="K141" s="46"/>
      <c r="L141" s="46"/>
      <c r="M141" s="46"/>
      <c r="N141" s="46"/>
      <c r="O141" s="46"/>
      <c r="P141" s="46"/>
      <c r="Q141" s="48"/>
      <c r="R141" s="44"/>
      <c r="Z141" s="44"/>
      <c r="AA141" s="44"/>
      <c r="AB141" s="50"/>
      <c r="AC141" s="50"/>
      <c r="AD141" s="50"/>
      <c r="AE141" s="50"/>
      <c r="AF141" s="50"/>
      <c r="AG141" s="50"/>
      <c r="AH141" s="46"/>
      <c r="AI141" s="46"/>
      <c r="AJ141" s="46"/>
      <c r="AK141" s="46"/>
      <c r="AL141" s="46"/>
      <c r="AM141" s="46"/>
      <c r="AN141" s="48"/>
    </row>
    <row r="142" spans="1:43">
      <c r="A142" t="s">
        <v>70</v>
      </c>
      <c r="B142" t="s">
        <v>70</v>
      </c>
      <c r="C142" t="s">
        <v>57</v>
      </c>
      <c r="E142" s="100">
        <f>'PANDU IKPP'!C46</f>
        <v>3</v>
      </c>
      <c r="F142" s="100">
        <f>'PANDU IKPP'!D46</f>
        <v>5</v>
      </c>
      <c r="G142" s="100">
        <f>'PANDU IKPP'!E46</f>
        <v>0</v>
      </c>
      <c r="H142" s="100">
        <f>'PANDU IKPP'!F46</f>
        <v>4</v>
      </c>
      <c r="I142" s="100">
        <f>'PANDU IKPP'!G46</f>
        <v>3</v>
      </c>
      <c r="J142" s="100">
        <f>'PANDU IKPP'!H46</f>
        <v>5</v>
      </c>
      <c r="K142" s="103">
        <f>'PANDU IKPP'!I46</f>
        <v>3</v>
      </c>
      <c r="L142" s="103">
        <f>'PANDU IKPP'!J46</f>
        <v>4</v>
      </c>
      <c r="M142" s="103">
        <f>'PANDU IKPP'!K46</f>
        <v>3</v>
      </c>
      <c r="N142" s="103">
        <f>'PANDU IKPP'!L46</f>
        <v>5</v>
      </c>
      <c r="O142" s="103">
        <f>'PANDU IKPP'!M46</f>
        <v>4</v>
      </c>
      <c r="P142" s="103">
        <f>'PANDU IKPP'!N46</f>
        <v>3</v>
      </c>
      <c r="Q142" s="39">
        <f>SUM(E142:P142)</f>
        <v>42</v>
      </c>
      <c r="R142">
        <f>Q143/Q142</f>
        <v>4023.0857142857139</v>
      </c>
      <c r="Z142" t="s">
        <v>57</v>
      </c>
      <c r="AB142" s="29">
        <f>'PANDU IKPP'!W46</f>
        <v>2</v>
      </c>
      <c r="AC142" s="29">
        <f>'PANDU IKPP'!X46</f>
        <v>1</v>
      </c>
      <c r="AD142" s="29">
        <f>'PANDU IKPP'!Y46</f>
        <v>1</v>
      </c>
      <c r="AE142" s="29">
        <f>'PANDU IKPP'!Z46</f>
        <v>4</v>
      </c>
      <c r="AF142" s="29">
        <f>'PANDU IKPP'!AA46</f>
        <v>3</v>
      </c>
      <c r="AG142" s="29">
        <f>'PANDU IKPP'!AB46</f>
        <v>5</v>
      </c>
      <c r="AH142" s="29">
        <f>'PANDU IKPP'!AC46</f>
        <v>3</v>
      </c>
      <c r="AI142" s="29">
        <f>'PANDU IKPP'!AD46</f>
        <v>4</v>
      </c>
      <c r="AJ142" s="29">
        <f>'PANDU IKPP'!AE46</f>
        <v>3</v>
      </c>
      <c r="AK142" s="29">
        <f>'PANDU IKPP'!AF46</f>
        <v>5</v>
      </c>
      <c r="AL142" s="29">
        <f>'PANDU IKPP'!AG46</f>
        <v>4</v>
      </c>
      <c r="AM142" s="29">
        <f>'PANDU IKPP'!AH46</f>
        <v>3</v>
      </c>
      <c r="AN142" s="39">
        <f>SUM(AB142:AM142)</f>
        <v>38</v>
      </c>
    </row>
    <row r="143" spans="1:43">
      <c r="A143" t="s">
        <v>70</v>
      </c>
      <c r="B143" t="s">
        <v>70</v>
      </c>
      <c r="E143" s="100">
        <f>'PANDU IKPP'!C47</f>
        <v>13500</v>
      </c>
      <c r="F143" s="100">
        <f>'PANDU IKPP'!D47</f>
        <v>18648</v>
      </c>
      <c r="G143" s="100">
        <f>'PANDU IKPP'!E47</f>
        <v>0</v>
      </c>
      <c r="H143" s="100">
        <f>'PANDU IKPP'!F47</f>
        <v>14918.4</v>
      </c>
      <c r="I143" s="100">
        <f>'PANDU IKPP'!G47</f>
        <v>13500</v>
      </c>
      <c r="J143" s="100">
        <f>'PANDU IKPP'!H47</f>
        <v>18648</v>
      </c>
      <c r="K143" s="103">
        <f>'PANDU IKPP'!I47</f>
        <v>13500</v>
      </c>
      <c r="L143" s="103">
        <f>'PANDU IKPP'!J47</f>
        <v>14918.4</v>
      </c>
      <c r="M143" s="103">
        <f>'PANDU IKPP'!K47</f>
        <v>13500</v>
      </c>
      <c r="N143" s="103">
        <f>'PANDU IKPP'!L47</f>
        <v>18648</v>
      </c>
      <c r="O143" s="103">
        <f>'PANDU IKPP'!M47</f>
        <v>18000</v>
      </c>
      <c r="P143" s="103">
        <f>'PANDU IKPP'!N47</f>
        <v>11188.8</v>
      </c>
      <c r="Q143" s="39">
        <f>SUM(E143:P143)</f>
        <v>168969.59999999998</v>
      </c>
      <c r="AB143" s="29">
        <f>'PANDU IKPP'!W47</f>
        <v>8018</v>
      </c>
      <c r="AC143" s="29">
        <f>'PANDU IKPP'!X47</f>
        <v>8018</v>
      </c>
      <c r="AD143" s="29">
        <f>'PANDU IKPP'!Y47</f>
        <v>4009</v>
      </c>
      <c r="AE143" s="29">
        <f>'PANDU IKPP'!Z47</f>
        <v>8018</v>
      </c>
      <c r="AF143" s="29">
        <f>'PANDU IKPP'!AA47</f>
        <v>8018</v>
      </c>
      <c r="AG143" s="29">
        <f>'PANDU IKPP'!AB47</f>
        <v>8018</v>
      </c>
      <c r="AH143" s="29">
        <f>'PANDU IKPP'!AC47</f>
        <v>8018</v>
      </c>
      <c r="AI143" s="29">
        <f>'PANDU IKPP'!AD47</f>
        <v>4009</v>
      </c>
      <c r="AJ143" s="29">
        <f>'PANDU IKPP'!AE47</f>
        <v>4009</v>
      </c>
      <c r="AK143" s="29">
        <f>'PANDU IKPP'!AF47</f>
        <v>4009</v>
      </c>
      <c r="AL143" s="29">
        <f>'PANDU IKPP'!AG47</f>
        <v>4009</v>
      </c>
      <c r="AM143" s="29">
        <f>'PANDU IKPP'!AH47</f>
        <v>4009</v>
      </c>
      <c r="AN143" s="39">
        <f>SUM(AB143:AM143)</f>
        <v>72162</v>
      </c>
    </row>
    <row r="144" spans="1:43">
      <c r="A144" t="s">
        <v>78</v>
      </c>
      <c r="B144" t="s">
        <v>86</v>
      </c>
      <c r="C144" s="40" t="s">
        <v>20</v>
      </c>
      <c r="D144" s="49">
        <v>2102150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9"/>
      <c r="Z144" s="40" t="s">
        <v>20</v>
      </c>
      <c r="AA144" s="49">
        <v>2102150</v>
      </c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9"/>
    </row>
    <row r="145" spans="1:43">
      <c r="A145" t="s">
        <v>70</v>
      </c>
      <c r="B145" t="s">
        <v>70</v>
      </c>
      <c r="C145" s="40" t="s">
        <v>21</v>
      </c>
      <c r="D145" s="49">
        <v>7.06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9"/>
      <c r="Z145" s="40" t="s">
        <v>21</v>
      </c>
      <c r="AA145" s="49">
        <v>7.06</v>
      </c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9"/>
    </row>
    <row r="146" spans="1:43">
      <c r="A146" t="s">
        <v>79</v>
      </c>
      <c r="B146" t="s">
        <v>87</v>
      </c>
      <c r="C146" s="40" t="s">
        <v>20</v>
      </c>
      <c r="D146" s="49">
        <v>3243950</v>
      </c>
      <c r="E146" s="35">
        <f>E142*$G$3</f>
        <v>14.529900000000001</v>
      </c>
      <c r="F146" s="35">
        <f t="shared" ref="F146:P147" si="43">F142*$G$3</f>
        <v>24.2165</v>
      </c>
      <c r="G146" s="35">
        <f t="shared" si="43"/>
        <v>0</v>
      </c>
      <c r="H146" s="35">
        <f t="shared" si="43"/>
        <v>19.373200000000001</v>
      </c>
      <c r="I146" s="35">
        <f t="shared" si="43"/>
        <v>14.529900000000001</v>
      </c>
      <c r="J146" s="35">
        <f t="shared" si="43"/>
        <v>24.2165</v>
      </c>
      <c r="K146" s="35">
        <f t="shared" si="43"/>
        <v>14.529900000000001</v>
      </c>
      <c r="L146" s="35">
        <f t="shared" si="43"/>
        <v>19.373200000000001</v>
      </c>
      <c r="M146" s="35">
        <f t="shared" si="43"/>
        <v>14.529900000000001</v>
      </c>
      <c r="N146" s="35">
        <f t="shared" si="43"/>
        <v>24.2165</v>
      </c>
      <c r="O146" s="35">
        <f t="shared" si="43"/>
        <v>19.373200000000001</v>
      </c>
      <c r="P146" s="35">
        <f t="shared" si="43"/>
        <v>14.529900000000001</v>
      </c>
      <c r="Q146" s="39">
        <f>SUM(E146:P146)</f>
        <v>203.4186</v>
      </c>
      <c r="T146" s="67"/>
      <c r="Z146" s="40" t="s">
        <v>20</v>
      </c>
      <c r="AA146" s="49">
        <v>3243950</v>
      </c>
      <c r="AB146" s="35">
        <f>AB142*$AD$3</f>
        <v>9.1526820000000004</v>
      </c>
      <c r="AC146" s="35">
        <f t="shared" ref="AC146:AM146" si="44">AC142*$AD$3</f>
        <v>4.5763410000000002</v>
      </c>
      <c r="AD146" s="35">
        <f t="shared" si="44"/>
        <v>4.5763410000000002</v>
      </c>
      <c r="AE146" s="35">
        <f t="shared" si="44"/>
        <v>18.305364000000001</v>
      </c>
      <c r="AF146" s="35">
        <f t="shared" si="44"/>
        <v>13.729023000000002</v>
      </c>
      <c r="AG146" s="35">
        <f t="shared" si="44"/>
        <v>22.881705</v>
      </c>
      <c r="AH146" s="35">
        <f t="shared" si="44"/>
        <v>13.729023000000002</v>
      </c>
      <c r="AI146" s="35">
        <f t="shared" si="44"/>
        <v>18.305364000000001</v>
      </c>
      <c r="AJ146" s="35">
        <f t="shared" si="44"/>
        <v>13.729023000000002</v>
      </c>
      <c r="AK146" s="35">
        <f t="shared" si="44"/>
        <v>22.881705</v>
      </c>
      <c r="AL146" s="35">
        <f t="shared" si="44"/>
        <v>18.305364000000001</v>
      </c>
      <c r="AM146" s="35">
        <f t="shared" si="44"/>
        <v>13.729023000000002</v>
      </c>
      <c r="AN146" s="39">
        <f>SUM(AB146:AM146)</f>
        <v>173.900958</v>
      </c>
    </row>
    <row r="147" spans="1:43">
      <c r="A147" t="s">
        <v>70</v>
      </c>
      <c r="B147" t="s">
        <v>70</v>
      </c>
      <c r="C147" s="40" t="s">
        <v>21</v>
      </c>
      <c r="D147" s="49">
        <v>7.06</v>
      </c>
      <c r="E147" s="35">
        <f>E143*$G$3</f>
        <v>65384.55</v>
      </c>
      <c r="F147" s="35">
        <f t="shared" si="43"/>
        <v>90317.858399999997</v>
      </c>
      <c r="G147" s="35">
        <f t="shared" si="43"/>
        <v>0</v>
      </c>
      <c r="H147" s="35">
        <f t="shared" si="43"/>
        <v>72254.286720000004</v>
      </c>
      <c r="I147" s="35">
        <f t="shared" si="43"/>
        <v>65384.55</v>
      </c>
      <c r="J147" s="35">
        <f t="shared" si="43"/>
        <v>90317.858399999997</v>
      </c>
      <c r="K147" s="35">
        <f t="shared" si="43"/>
        <v>65384.55</v>
      </c>
      <c r="L147" s="35">
        <f t="shared" si="43"/>
        <v>72254.286720000004</v>
      </c>
      <c r="M147" s="35">
        <f t="shared" si="43"/>
        <v>65384.55</v>
      </c>
      <c r="N147" s="35">
        <f t="shared" si="43"/>
        <v>90317.858399999997</v>
      </c>
      <c r="O147" s="35">
        <f t="shared" si="43"/>
        <v>87179.400000000009</v>
      </c>
      <c r="P147" s="35">
        <f t="shared" si="43"/>
        <v>54190.715039999995</v>
      </c>
      <c r="Q147" s="39">
        <f>SUM(E147:P147)</f>
        <v>818370.46368000016</v>
      </c>
      <c r="T147" s="39"/>
      <c r="Z147" s="40" t="s">
        <v>21</v>
      </c>
      <c r="AA147" s="49">
        <v>7.06</v>
      </c>
      <c r="AB147" s="35">
        <f>AB143*$AD$3</f>
        <v>36693.102138000002</v>
      </c>
      <c r="AC147" s="35">
        <f t="shared" ref="AC147:AM147" si="45">AC143*$AD$3</f>
        <v>36693.102138000002</v>
      </c>
      <c r="AD147" s="35">
        <f t="shared" si="45"/>
        <v>18346.551069000001</v>
      </c>
      <c r="AE147" s="35">
        <f t="shared" si="45"/>
        <v>36693.102138000002</v>
      </c>
      <c r="AF147" s="35">
        <f t="shared" si="45"/>
        <v>36693.102138000002</v>
      </c>
      <c r="AG147" s="35">
        <f t="shared" si="45"/>
        <v>36693.102138000002</v>
      </c>
      <c r="AH147" s="35">
        <f t="shared" si="45"/>
        <v>36693.102138000002</v>
      </c>
      <c r="AI147" s="35">
        <f t="shared" si="45"/>
        <v>18346.551069000001</v>
      </c>
      <c r="AJ147" s="35">
        <f t="shared" si="45"/>
        <v>18346.551069000001</v>
      </c>
      <c r="AK147" s="35">
        <f t="shared" si="45"/>
        <v>18346.551069000001</v>
      </c>
      <c r="AL147" s="35">
        <f t="shared" si="45"/>
        <v>18346.551069000001</v>
      </c>
      <c r="AM147" s="35">
        <f t="shared" si="45"/>
        <v>18346.551069000001</v>
      </c>
      <c r="AN147" s="39">
        <f>SUM(AB147:AM147)</f>
        <v>330237.91924199997</v>
      </c>
    </row>
    <row r="148" spans="1:43">
      <c r="A148" t="s">
        <v>80</v>
      </c>
      <c r="B148" t="s">
        <v>88</v>
      </c>
      <c r="C148" s="40" t="s">
        <v>20</v>
      </c>
      <c r="D148" s="49">
        <v>3898120</v>
      </c>
      <c r="E148" s="35"/>
      <c r="F148" s="35"/>
      <c r="G148" s="35"/>
      <c r="H148" s="35"/>
      <c r="I148" s="35"/>
      <c r="J148" s="35"/>
      <c r="K148" s="30"/>
      <c r="L148" s="30"/>
      <c r="M148" s="30"/>
      <c r="N148" s="30"/>
      <c r="O148" s="30"/>
      <c r="P148" s="30"/>
      <c r="Q148" s="39"/>
      <c r="Z148" s="40" t="s">
        <v>20</v>
      </c>
      <c r="AA148" s="49">
        <v>3898120</v>
      </c>
      <c r="AB148" s="35"/>
      <c r="AC148" s="35"/>
      <c r="AD148" s="35"/>
      <c r="AE148" s="35"/>
      <c r="AF148" s="35"/>
      <c r="AG148" s="35"/>
      <c r="AH148" s="30"/>
      <c r="AI148" s="30"/>
      <c r="AJ148" s="30"/>
      <c r="AK148" s="30"/>
      <c r="AL148" s="30"/>
      <c r="AM148" s="30"/>
      <c r="AN148" s="39"/>
    </row>
    <row r="149" spans="1:43">
      <c r="A149" t="s">
        <v>70</v>
      </c>
      <c r="B149" t="s">
        <v>70</v>
      </c>
      <c r="C149" s="40" t="s">
        <v>21</v>
      </c>
      <c r="D149" s="49">
        <v>7.46</v>
      </c>
      <c r="E149" s="35"/>
      <c r="F149" s="35"/>
      <c r="G149" s="35"/>
      <c r="H149" s="35"/>
      <c r="I149" s="35"/>
      <c r="J149" s="35"/>
      <c r="K149" s="30"/>
      <c r="L149" s="30"/>
      <c r="M149" s="30"/>
      <c r="N149" s="30"/>
      <c r="O149" s="30"/>
      <c r="P149" s="30"/>
      <c r="Q149" s="39"/>
      <c r="Z149" s="40" t="s">
        <v>21</v>
      </c>
      <c r="AA149" s="49">
        <v>7.46</v>
      </c>
      <c r="AB149" s="35"/>
      <c r="AC149" s="35"/>
      <c r="AD149" s="35"/>
      <c r="AE149" s="35"/>
      <c r="AF149" s="35"/>
      <c r="AG149" s="35"/>
      <c r="AH149" s="30"/>
      <c r="AI149" s="30"/>
      <c r="AJ149" s="30"/>
      <c r="AK149" s="30"/>
      <c r="AL149" s="30"/>
      <c r="AM149" s="30"/>
      <c r="AN149" s="39"/>
    </row>
    <row r="150" spans="1:43">
      <c r="A150" t="s">
        <v>81</v>
      </c>
      <c r="B150" t="s">
        <v>89</v>
      </c>
      <c r="C150" s="40" t="s">
        <v>20</v>
      </c>
      <c r="D150" s="49">
        <v>4239050</v>
      </c>
      <c r="E150" s="35"/>
      <c r="F150" s="35"/>
      <c r="G150" s="35"/>
      <c r="H150" s="35"/>
      <c r="I150" s="35"/>
      <c r="J150" s="35"/>
      <c r="K150" s="30"/>
      <c r="L150" s="30"/>
      <c r="M150" s="30"/>
      <c r="N150" s="30"/>
      <c r="O150" s="30"/>
      <c r="P150" s="30"/>
      <c r="Q150" s="39"/>
      <c r="Z150" s="40" t="s">
        <v>20</v>
      </c>
      <c r="AA150" s="49">
        <v>4239050</v>
      </c>
      <c r="AB150" s="35"/>
      <c r="AC150" s="35"/>
      <c r="AD150" s="35"/>
      <c r="AE150" s="35"/>
      <c r="AF150" s="35"/>
      <c r="AG150" s="35"/>
      <c r="AH150" s="30"/>
      <c r="AI150" s="30"/>
      <c r="AJ150" s="30"/>
      <c r="AK150" s="30"/>
      <c r="AL150" s="30"/>
      <c r="AM150" s="30"/>
      <c r="AN150" s="39"/>
    </row>
    <row r="151" spans="1:43">
      <c r="A151" t="s">
        <v>70</v>
      </c>
      <c r="B151" t="s">
        <v>70</v>
      </c>
      <c r="C151" s="40" t="s">
        <v>21</v>
      </c>
      <c r="D151" s="49">
        <v>7.46</v>
      </c>
      <c r="E151" s="35"/>
      <c r="F151" s="35"/>
      <c r="G151" s="35"/>
      <c r="H151" s="35"/>
      <c r="I151" s="35"/>
      <c r="J151" s="35"/>
      <c r="K151" s="30"/>
      <c r="L151" s="30"/>
      <c r="M151" s="30"/>
      <c r="N151" s="30"/>
      <c r="O151" s="30"/>
      <c r="P151" s="30"/>
      <c r="Q151" s="39"/>
      <c r="Z151" s="40" t="s">
        <v>21</v>
      </c>
      <c r="AA151" s="49">
        <v>7.46</v>
      </c>
      <c r="AB151" s="35"/>
      <c r="AC151" s="35"/>
      <c r="AD151" s="35"/>
      <c r="AE151" s="35"/>
      <c r="AF151" s="35"/>
      <c r="AG151" s="35"/>
      <c r="AH151" s="30"/>
      <c r="AI151" s="30"/>
      <c r="AJ151" s="30"/>
      <c r="AK151" s="30"/>
      <c r="AL151" s="30"/>
      <c r="AM151" s="30"/>
      <c r="AN151" s="39"/>
    </row>
    <row r="152" spans="1:43">
      <c r="A152" t="s">
        <v>82</v>
      </c>
      <c r="B152" t="s">
        <v>90</v>
      </c>
      <c r="C152" s="40" t="s">
        <v>20</v>
      </c>
      <c r="D152" s="49">
        <v>4371600</v>
      </c>
      <c r="E152" s="35"/>
      <c r="F152" s="35"/>
      <c r="G152" s="35"/>
      <c r="H152" s="35"/>
      <c r="I152" s="35"/>
      <c r="J152" s="35"/>
      <c r="K152" s="30"/>
      <c r="L152" s="30"/>
      <c r="M152" s="30"/>
      <c r="N152" s="30"/>
      <c r="O152" s="30"/>
      <c r="P152" s="30"/>
      <c r="Q152" s="39"/>
      <c r="Z152" s="40" t="s">
        <v>20</v>
      </c>
      <c r="AA152" s="49">
        <v>4371600</v>
      </c>
      <c r="AB152" s="35"/>
      <c r="AC152" s="35"/>
      <c r="AD152" s="35"/>
      <c r="AE152" s="35"/>
      <c r="AF152" s="35"/>
      <c r="AG152" s="35"/>
      <c r="AH152" s="30"/>
      <c r="AI152" s="30"/>
      <c r="AJ152" s="30"/>
      <c r="AK152" s="30"/>
      <c r="AL152" s="30"/>
      <c r="AM152" s="30"/>
      <c r="AN152" s="39"/>
    </row>
    <row r="153" spans="1:43">
      <c r="A153" t="s">
        <v>70</v>
      </c>
      <c r="B153" t="s">
        <v>70</v>
      </c>
      <c r="C153" s="40" t="s">
        <v>21</v>
      </c>
      <c r="D153" s="49">
        <v>5.97</v>
      </c>
      <c r="E153" s="35"/>
      <c r="F153" s="35"/>
      <c r="G153" s="35"/>
      <c r="H153" s="35"/>
      <c r="I153" s="35"/>
      <c r="J153" s="35"/>
      <c r="K153" s="30"/>
      <c r="L153" s="30"/>
      <c r="M153" s="30"/>
      <c r="N153" s="30"/>
      <c r="O153" s="30"/>
      <c r="P153" s="30"/>
      <c r="Q153" s="39"/>
      <c r="Z153" s="40" t="s">
        <v>21</v>
      </c>
      <c r="AA153" s="49">
        <v>5.97</v>
      </c>
      <c r="AB153" s="35"/>
      <c r="AC153" s="35"/>
      <c r="AD153" s="35"/>
      <c r="AE153" s="35"/>
      <c r="AF153" s="35"/>
      <c r="AG153" s="35"/>
      <c r="AH153" s="30"/>
      <c r="AI153" s="30"/>
      <c r="AJ153" s="30"/>
      <c r="AK153" s="30"/>
      <c r="AL153" s="30"/>
      <c r="AM153" s="30"/>
      <c r="AN153" s="39"/>
    </row>
    <row r="154" spans="1:43">
      <c r="A154" t="s">
        <v>83</v>
      </c>
      <c r="B154" t="s">
        <v>91</v>
      </c>
      <c r="C154" s="40" t="s">
        <v>20</v>
      </c>
      <c r="D154" s="49">
        <v>5120900</v>
      </c>
      <c r="E154" s="35"/>
      <c r="F154" s="35"/>
      <c r="G154" s="35"/>
      <c r="H154" s="35"/>
      <c r="I154" s="35"/>
      <c r="J154" s="35"/>
      <c r="K154" s="30"/>
      <c r="L154" s="30"/>
      <c r="M154" s="30"/>
      <c r="N154" s="30"/>
      <c r="O154" s="30"/>
      <c r="P154" s="30"/>
      <c r="Q154" s="39"/>
      <c r="Z154" s="40" t="s">
        <v>20</v>
      </c>
      <c r="AA154" s="49">
        <v>5120900</v>
      </c>
      <c r="AB154" s="35"/>
      <c r="AC154" s="35"/>
      <c r="AD154" s="35"/>
      <c r="AE154" s="35"/>
      <c r="AF154" s="35"/>
      <c r="AG154" s="35"/>
      <c r="AH154" s="30"/>
      <c r="AI154" s="30"/>
      <c r="AJ154" s="30"/>
      <c r="AK154" s="30"/>
      <c r="AL154" s="30"/>
      <c r="AM154" s="30"/>
      <c r="AN154" s="39"/>
    </row>
    <row r="155" spans="1:43">
      <c r="A155" t="s">
        <v>70</v>
      </c>
      <c r="B155" t="s">
        <v>70</v>
      </c>
      <c r="C155" s="40" t="s">
        <v>21</v>
      </c>
      <c r="D155" s="49">
        <v>5.97</v>
      </c>
      <c r="E155" s="35"/>
      <c r="F155" s="35"/>
      <c r="G155" s="35"/>
      <c r="H155" s="35"/>
      <c r="I155" s="35"/>
      <c r="J155" s="35"/>
      <c r="K155" s="30"/>
      <c r="L155" s="30"/>
      <c r="M155" s="30"/>
      <c r="N155" s="30"/>
      <c r="O155" s="30"/>
      <c r="P155" s="30"/>
      <c r="Q155" s="39"/>
      <c r="Z155" s="40" t="s">
        <v>21</v>
      </c>
      <c r="AA155" s="49">
        <v>5.97</v>
      </c>
      <c r="AB155" s="35"/>
      <c r="AC155" s="35"/>
      <c r="AD155" s="35"/>
      <c r="AE155" s="35"/>
      <c r="AF155" s="35"/>
      <c r="AG155" s="35"/>
      <c r="AH155" s="30"/>
      <c r="AI155" s="30"/>
      <c r="AJ155" s="30"/>
      <c r="AK155" s="30"/>
      <c r="AL155" s="30"/>
      <c r="AM155" s="30"/>
      <c r="AN155" s="39"/>
    </row>
    <row r="156" spans="1:43">
      <c r="A156" t="s">
        <v>84</v>
      </c>
      <c r="B156" t="s">
        <v>92</v>
      </c>
      <c r="C156" s="40" t="s">
        <v>20</v>
      </c>
      <c r="D156" s="49">
        <v>4937500</v>
      </c>
      <c r="E156" s="35"/>
      <c r="F156" s="35"/>
      <c r="G156" s="35"/>
      <c r="H156" s="35"/>
      <c r="I156" s="35"/>
      <c r="J156" s="35"/>
      <c r="K156" s="30"/>
      <c r="L156" s="30"/>
      <c r="M156" s="30"/>
      <c r="N156" s="30"/>
      <c r="O156" s="30"/>
      <c r="P156" s="30"/>
      <c r="Q156" s="39"/>
      <c r="Z156" s="40" t="s">
        <v>20</v>
      </c>
      <c r="AA156" s="49">
        <v>4937500</v>
      </c>
      <c r="AB156" s="35"/>
      <c r="AC156" s="35"/>
      <c r="AD156" s="35"/>
      <c r="AE156" s="35"/>
      <c r="AF156" s="35"/>
      <c r="AG156" s="35"/>
      <c r="AH156" s="30"/>
      <c r="AI156" s="30"/>
      <c r="AJ156" s="30"/>
      <c r="AK156" s="30"/>
      <c r="AL156" s="30"/>
      <c r="AM156" s="30"/>
      <c r="AN156" s="39"/>
    </row>
    <row r="157" spans="1:43">
      <c r="A157" t="s">
        <v>70</v>
      </c>
      <c r="B157" t="s">
        <v>70</v>
      </c>
      <c r="C157" s="40" t="s">
        <v>21</v>
      </c>
      <c r="D157" s="49">
        <v>5.97</v>
      </c>
      <c r="E157" s="35"/>
      <c r="F157" s="35"/>
      <c r="G157" s="35"/>
      <c r="H157" s="35"/>
      <c r="I157" s="35"/>
      <c r="J157" s="35"/>
      <c r="K157" s="30"/>
      <c r="L157" s="30"/>
      <c r="M157" s="30"/>
      <c r="N157" s="30"/>
      <c r="O157" s="30"/>
      <c r="P157" s="30"/>
      <c r="Q157" s="39"/>
      <c r="Z157" s="40" t="s">
        <v>21</v>
      </c>
      <c r="AA157" s="49">
        <v>5.97</v>
      </c>
      <c r="AB157" s="35"/>
      <c r="AC157" s="35"/>
      <c r="AD157" s="35"/>
      <c r="AE157" s="35"/>
      <c r="AF157" s="35"/>
      <c r="AG157" s="35"/>
      <c r="AH157" s="30"/>
      <c r="AI157" s="30"/>
      <c r="AJ157" s="30"/>
      <c r="AK157" s="30"/>
      <c r="AL157" s="30"/>
      <c r="AM157" s="30"/>
      <c r="AN157" s="39"/>
    </row>
    <row r="158" spans="1:43">
      <c r="A158" t="s">
        <v>85</v>
      </c>
      <c r="B158" t="s">
        <v>93</v>
      </c>
      <c r="C158" s="40" t="s">
        <v>20</v>
      </c>
      <c r="D158" s="49">
        <v>6248800</v>
      </c>
      <c r="E158" s="35"/>
      <c r="F158" s="35"/>
      <c r="G158" s="35"/>
      <c r="H158" s="35"/>
      <c r="I158" s="35"/>
      <c r="J158" s="35"/>
      <c r="K158" s="30"/>
      <c r="L158" s="30"/>
      <c r="M158" s="30"/>
      <c r="N158" s="30"/>
      <c r="O158" s="30"/>
      <c r="P158" s="30"/>
      <c r="Q158" s="39"/>
      <c r="Z158" s="40" t="s">
        <v>20</v>
      </c>
      <c r="AA158" s="49">
        <v>6248800</v>
      </c>
      <c r="AB158" s="35"/>
      <c r="AC158" s="35"/>
      <c r="AD158" s="35"/>
      <c r="AE158" s="35"/>
      <c r="AF158" s="35"/>
      <c r="AG158" s="35"/>
      <c r="AH158" s="30"/>
      <c r="AI158" s="30"/>
      <c r="AJ158" s="30"/>
      <c r="AK158" s="30"/>
      <c r="AL158" s="30"/>
      <c r="AM158" s="30"/>
      <c r="AN158" s="39"/>
    </row>
    <row r="159" spans="1:43">
      <c r="A159" t="s">
        <v>70</v>
      </c>
      <c r="B159" t="s">
        <v>70</v>
      </c>
      <c r="C159" s="40" t="s">
        <v>21</v>
      </c>
      <c r="D159" s="49">
        <v>5.97</v>
      </c>
      <c r="E159" s="35"/>
      <c r="F159" s="35"/>
      <c r="G159" s="35"/>
      <c r="H159" s="35"/>
      <c r="I159" s="35"/>
      <c r="J159" s="35"/>
      <c r="K159" s="30"/>
      <c r="L159" s="30"/>
      <c r="M159" s="30"/>
      <c r="N159" s="30"/>
      <c r="O159" s="30"/>
      <c r="P159" s="30"/>
      <c r="Q159" s="39"/>
      <c r="Z159" s="40" t="s">
        <v>21</v>
      </c>
      <c r="AA159" s="49">
        <v>5.97</v>
      </c>
      <c r="AB159" s="35"/>
      <c r="AC159" s="35"/>
      <c r="AD159" s="35"/>
      <c r="AE159" s="35"/>
      <c r="AF159" s="35"/>
      <c r="AG159" s="35"/>
      <c r="AH159" s="30"/>
      <c r="AI159" s="30"/>
      <c r="AJ159" s="30"/>
      <c r="AK159" s="30"/>
      <c r="AL159" s="30"/>
      <c r="AM159" s="30"/>
      <c r="AN159" s="39"/>
    </row>
    <row r="160" spans="1:43">
      <c r="A160" t="s">
        <v>70</v>
      </c>
      <c r="B160" t="s">
        <v>70</v>
      </c>
      <c r="D160" t="s">
        <v>67</v>
      </c>
      <c r="E160" s="35">
        <f>E146*$D$146</f>
        <v>47134269.105000004</v>
      </c>
      <c r="F160" s="35">
        <f t="shared" ref="F160:P160" si="46">F146*$D$146</f>
        <v>78557115.174999997</v>
      </c>
      <c r="G160" s="35">
        <f t="shared" si="46"/>
        <v>0</v>
      </c>
      <c r="H160" s="35">
        <f t="shared" si="46"/>
        <v>62845692.140000001</v>
      </c>
      <c r="I160" s="35">
        <f t="shared" si="46"/>
        <v>47134269.105000004</v>
      </c>
      <c r="J160" s="35">
        <f t="shared" si="46"/>
        <v>78557115.174999997</v>
      </c>
      <c r="K160" s="35">
        <f t="shared" si="46"/>
        <v>47134269.105000004</v>
      </c>
      <c r="L160" s="35">
        <f t="shared" si="46"/>
        <v>62845692.140000001</v>
      </c>
      <c r="M160" s="35">
        <f t="shared" si="46"/>
        <v>47134269.105000004</v>
      </c>
      <c r="N160" s="35">
        <f t="shared" si="46"/>
        <v>78557115.174999997</v>
      </c>
      <c r="O160" s="35">
        <f t="shared" si="46"/>
        <v>62845692.140000001</v>
      </c>
      <c r="P160" s="35">
        <f t="shared" si="46"/>
        <v>47134269.105000004</v>
      </c>
      <c r="Q160" s="39">
        <f>SUM(E160:P160)</f>
        <v>659879767.47000003</v>
      </c>
      <c r="AA160" t="s">
        <v>67</v>
      </c>
      <c r="AB160" s="35">
        <f>AB146*$D$146</f>
        <v>29690842.773900002</v>
      </c>
      <c r="AC160" s="35">
        <f t="shared" ref="AC160:AM160" si="47">AC146*$D$146</f>
        <v>14845421.386950001</v>
      </c>
      <c r="AD160" s="35">
        <f t="shared" si="47"/>
        <v>14845421.386950001</v>
      </c>
      <c r="AE160" s="35">
        <f t="shared" si="47"/>
        <v>59381685.547800004</v>
      </c>
      <c r="AF160" s="35">
        <f t="shared" si="47"/>
        <v>44536264.160850003</v>
      </c>
      <c r="AG160" s="35">
        <f t="shared" si="47"/>
        <v>74227106.934750006</v>
      </c>
      <c r="AH160" s="35">
        <f t="shared" si="47"/>
        <v>44536264.160850003</v>
      </c>
      <c r="AI160" s="35">
        <f t="shared" si="47"/>
        <v>59381685.547800004</v>
      </c>
      <c r="AJ160" s="35">
        <f t="shared" si="47"/>
        <v>44536264.160850003</v>
      </c>
      <c r="AK160" s="35">
        <f t="shared" si="47"/>
        <v>74227106.934750006</v>
      </c>
      <c r="AL160" s="35">
        <f t="shared" si="47"/>
        <v>59381685.547800004</v>
      </c>
      <c r="AM160" s="35">
        <f t="shared" si="47"/>
        <v>44536264.160850003</v>
      </c>
      <c r="AN160" s="39">
        <f>SUM(AB160:AM160)</f>
        <v>564126012.70410001</v>
      </c>
      <c r="AP160" s="81">
        <v>1600934940.163502</v>
      </c>
      <c r="AQ160" s="54">
        <f>AN160/AP160</f>
        <v>0.35237285323192857</v>
      </c>
    </row>
    <row r="161" spans="1:43">
      <c r="A161" t="s">
        <v>70</v>
      </c>
      <c r="B161" t="s">
        <v>70</v>
      </c>
      <c r="E161" s="35">
        <f>E147*$D$147</f>
        <v>461614.92300000001</v>
      </c>
      <c r="F161" s="35">
        <f t="shared" ref="F161:P161" si="48">F147*$D$147</f>
        <v>637644.08030399994</v>
      </c>
      <c r="G161" s="35">
        <f t="shared" si="48"/>
        <v>0</v>
      </c>
      <c r="H161" s="35">
        <f t="shared" si="48"/>
        <v>510115.26424320001</v>
      </c>
      <c r="I161" s="35">
        <f t="shared" si="48"/>
        <v>461614.92300000001</v>
      </c>
      <c r="J161" s="35">
        <f t="shared" si="48"/>
        <v>637644.08030399994</v>
      </c>
      <c r="K161" s="35">
        <f t="shared" si="48"/>
        <v>461614.92300000001</v>
      </c>
      <c r="L161" s="35">
        <f t="shared" si="48"/>
        <v>510115.26424320001</v>
      </c>
      <c r="M161" s="35">
        <f t="shared" si="48"/>
        <v>461614.92300000001</v>
      </c>
      <c r="N161" s="35">
        <f t="shared" si="48"/>
        <v>637644.08030399994</v>
      </c>
      <c r="O161" s="35">
        <f t="shared" si="48"/>
        <v>615486.56400000001</v>
      </c>
      <c r="P161" s="35">
        <f t="shared" si="48"/>
        <v>382586.44818239997</v>
      </c>
      <c r="Q161" s="39">
        <f>SUM(E161:P161)</f>
        <v>5777695.4735808</v>
      </c>
      <c r="AB161" s="35">
        <f>AB147*$D$147</f>
        <v>259053.30109428</v>
      </c>
      <c r="AC161" s="35">
        <f t="shared" ref="AC161:AM161" si="49">AC147*$D$147</f>
        <v>259053.30109428</v>
      </c>
      <c r="AD161" s="35">
        <f t="shared" si="49"/>
        <v>129526.65054714</v>
      </c>
      <c r="AE161" s="35">
        <f t="shared" si="49"/>
        <v>259053.30109428</v>
      </c>
      <c r="AF161" s="35">
        <f t="shared" si="49"/>
        <v>259053.30109428</v>
      </c>
      <c r="AG161" s="35">
        <f t="shared" si="49"/>
        <v>259053.30109428</v>
      </c>
      <c r="AH161" s="35">
        <f t="shared" si="49"/>
        <v>259053.30109428</v>
      </c>
      <c r="AI161" s="35">
        <f t="shared" si="49"/>
        <v>129526.65054714</v>
      </c>
      <c r="AJ161" s="35">
        <f t="shared" si="49"/>
        <v>129526.65054714</v>
      </c>
      <c r="AK161" s="35">
        <f t="shared" si="49"/>
        <v>129526.65054714</v>
      </c>
      <c r="AL161" s="35">
        <f t="shared" si="49"/>
        <v>129526.65054714</v>
      </c>
      <c r="AM161" s="35">
        <f t="shared" si="49"/>
        <v>129526.65054714</v>
      </c>
      <c r="AN161" s="39">
        <f>SUM(AB161:AM161)</f>
        <v>2331479.7098485199</v>
      </c>
      <c r="AP161" s="84">
        <v>17824371.989958402</v>
      </c>
      <c r="AQ161" s="54">
        <f>AN161/AP161</f>
        <v>0.13080290913822884</v>
      </c>
    </row>
    <row r="162" spans="1:43">
      <c r="A162" t="s">
        <v>70</v>
      </c>
      <c r="B162" t="s">
        <v>70</v>
      </c>
      <c r="C162" s="44"/>
      <c r="D162" s="44"/>
      <c r="E162" s="50"/>
      <c r="F162" s="50"/>
      <c r="G162" s="50"/>
      <c r="H162" s="50"/>
      <c r="I162" s="50"/>
      <c r="J162" s="50"/>
      <c r="K162" s="46"/>
      <c r="L162" s="46"/>
      <c r="M162" s="46"/>
      <c r="N162" s="46"/>
      <c r="O162" s="46"/>
      <c r="P162" s="46"/>
      <c r="Q162" s="48"/>
      <c r="R162" s="44"/>
      <c r="Z162" s="44"/>
      <c r="AA162" s="44"/>
      <c r="AB162" s="50"/>
      <c r="AC162" s="50"/>
      <c r="AD162" s="50"/>
      <c r="AE162" s="50"/>
      <c r="AF162" s="50"/>
      <c r="AG162" s="50"/>
      <c r="AH162" s="46"/>
      <c r="AI162" s="46"/>
      <c r="AJ162" s="46"/>
      <c r="AK162" s="46"/>
      <c r="AL162" s="46"/>
      <c r="AM162" s="46"/>
      <c r="AN162" s="48"/>
    </row>
    <row r="163" spans="1:43">
      <c r="A163" t="s">
        <v>70</v>
      </c>
      <c r="B163" t="s">
        <v>70</v>
      </c>
      <c r="C163" s="44"/>
      <c r="D163" s="44"/>
      <c r="E163" s="50"/>
      <c r="F163" s="50"/>
      <c r="G163" s="50"/>
      <c r="H163" s="50"/>
      <c r="I163" s="50"/>
      <c r="J163" s="50"/>
      <c r="K163" s="46"/>
      <c r="L163" s="46"/>
      <c r="M163" s="46"/>
      <c r="N163" s="46"/>
      <c r="O163" s="46"/>
      <c r="P163" s="46"/>
      <c r="Q163" s="48"/>
      <c r="R163" s="44"/>
      <c r="Z163" s="44"/>
      <c r="AA163" s="44"/>
      <c r="AB163" s="50"/>
      <c r="AC163" s="50"/>
      <c r="AD163" s="50"/>
      <c r="AE163" s="50"/>
      <c r="AF163" s="50"/>
      <c r="AG163" s="50"/>
      <c r="AH163" s="46"/>
      <c r="AI163" s="46"/>
      <c r="AJ163" s="46"/>
      <c r="AK163" s="46"/>
      <c r="AL163" s="46"/>
      <c r="AM163" s="46"/>
      <c r="AN163" s="48"/>
    </row>
    <row r="164" spans="1:43">
      <c r="A164" t="s">
        <v>70</v>
      </c>
      <c r="B164" t="s">
        <v>70</v>
      </c>
      <c r="C164" t="s">
        <v>59</v>
      </c>
      <c r="E164" s="101">
        <f>'PANDU IKPP'!C52</f>
        <v>0</v>
      </c>
      <c r="F164" s="101">
        <f>'PANDU IKPP'!D52</f>
        <v>0</v>
      </c>
      <c r="G164" s="101">
        <f>'PANDU IKPP'!E52</f>
        <v>130</v>
      </c>
      <c r="H164" s="101">
        <f>'PANDU IKPP'!F52</f>
        <v>0</v>
      </c>
      <c r="I164" s="101">
        <f>'PANDU IKPP'!G52</f>
        <v>0</v>
      </c>
      <c r="J164" s="101">
        <f>'PANDU IKPP'!H52</f>
        <v>0</v>
      </c>
      <c r="K164" s="37">
        <f>'PANDU IKPP'!I52</f>
        <v>0</v>
      </c>
      <c r="L164" s="37">
        <f>'PANDU IKPP'!J52</f>
        <v>0</v>
      </c>
      <c r="M164" s="37">
        <f>'PANDU IKPP'!K52</f>
        <v>0</v>
      </c>
      <c r="N164" s="37">
        <f>'PANDU IKPP'!L52</f>
        <v>0</v>
      </c>
      <c r="O164" s="37">
        <f>'PANDU IKPP'!M52</f>
        <v>0</v>
      </c>
      <c r="P164" s="37">
        <f>'PANDU IKPP'!N52</f>
        <v>0</v>
      </c>
      <c r="Q164" s="39">
        <f t="shared" ref="Q164:Q169" si="50">SUM(E164:P164)</f>
        <v>130</v>
      </c>
      <c r="R164">
        <f>Q165/Q164</f>
        <v>8215.6461538461535</v>
      </c>
      <c r="Z164" t="s">
        <v>59</v>
      </c>
      <c r="AB164" s="29">
        <f>'PANDU IKPP'!W52</f>
        <v>0</v>
      </c>
      <c r="AC164" s="29">
        <f>'PANDU IKPP'!X52</f>
        <v>0</v>
      </c>
      <c r="AD164" s="29">
        <f>'PANDU IKPP'!Y52</f>
        <v>140</v>
      </c>
      <c r="AE164" s="29">
        <f>'PANDU IKPP'!Z52</f>
        <v>0</v>
      </c>
      <c r="AF164" s="29">
        <f>'PANDU IKPP'!AA52</f>
        <v>0</v>
      </c>
      <c r="AG164" s="29">
        <f>'PANDU IKPP'!AB52</f>
        <v>0</v>
      </c>
      <c r="AH164" s="29">
        <f>'PANDU IKPP'!AC52</f>
        <v>0</v>
      </c>
      <c r="AI164" s="29">
        <f>'PANDU IKPP'!AD52</f>
        <v>0</v>
      </c>
      <c r="AJ164" s="29">
        <f>'PANDU IKPP'!AE52</f>
        <v>0</v>
      </c>
      <c r="AK164" s="29">
        <f>'PANDU IKPP'!AF52</f>
        <v>0</v>
      </c>
      <c r="AL164" s="29">
        <f>'PANDU IKPP'!AG52</f>
        <v>0</v>
      </c>
      <c r="AM164" s="29">
        <f>'PANDU IKPP'!AH52</f>
        <v>0</v>
      </c>
      <c r="AN164" s="39">
        <f t="shared" ref="AN164:AN169" si="51">SUM(AB164:AM164)</f>
        <v>140</v>
      </c>
    </row>
    <row r="165" spans="1:43">
      <c r="A165" t="s">
        <v>70</v>
      </c>
      <c r="B165" t="s">
        <v>70</v>
      </c>
      <c r="E165" s="101">
        <f>'PANDU IKPP'!C53</f>
        <v>0</v>
      </c>
      <c r="F165" s="101">
        <f>'PANDU IKPP'!D53</f>
        <v>0</v>
      </c>
      <c r="G165" s="101">
        <f>'PANDU IKPP'!E53</f>
        <v>1068034</v>
      </c>
      <c r="H165" s="101">
        <f>'PANDU IKPP'!F53</f>
        <v>0</v>
      </c>
      <c r="I165" s="101">
        <f>'PANDU IKPP'!G53</f>
        <v>0</v>
      </c>
      <c r="J165" s="101">
        <f>'PANDU IKPP'!H53</f>
        <v>0</v>
      </c>
      <c r="K165" s="37">
        <f>'PANDU IKPP'!I53</f>
        <v>0</v>
      </c>
      <c r="L165" s="37">
        <f>'PANDU IKPP'!J53</f>
        <v>0</v>
      </c>
      <c r="M165" s="37">
        <f>'PANDU IKPP'!K53</f>
        <v>0</v>
      </c>
      <c r="N165" s="37">
        <f>'PANDU IKPP'!L53</f>
        <v>0</v>
      </c>
      <c r="O165" s="37">
        <f>'PANDU IKPP'!M53</f>
        <v>0</v>
      </c>
      <c r="P165" s="37">
        <f>'PANDU IKPP'!N53</f>
        <v>0</v>
      </c>
      <c r="Q165" s="39">
        <f t="shared" si="50"/>
        <v>1068034</v>
      </c>
      <c r="AB165" s="29">
        <f>'PANDU IKPP'!W53</f>
        <v>0</v>
      </c>
      <c r="AC165" s="29">
        <f>'PANDU IKPP'!X53</f>
        <v>0</v>
      </c>
      <c r="AD165" s="29">
        <f>'PANDU IKPP'!Y53</f>
        <v>1109112.2307692308</v>
      </c>
      <c r="AE165" s="29">
        <f>'PANDU IKPP'!Z53</f>
        <v>0</v>
      </c>
      <c r="AF165" s="29">
        <f>'PANDU IKPP'!AA53</f>
        <v>0</v>
      </c>
      <c r="AG165" s="29">
        <f>'PANDU IKPP'!AB53</f>
        <v>0</v>
      </c>
      <c r="AH165" s="29">
        <f>'PANDU IKPP'!AC53</f>
        <v>0</v>
      </c>
      <c r="AI165" s="29">
        <f>'PANDU IKPP'!AD53</f>
        <v>0</v>
      </c>
      <c r="AJ165" s="29">
        <f>'PANDU IKPP'!AE53</f>
        <v>0</v>
      </c>
      <c r="AK165" s="29">
        <f>'PANDU IKPP'!AF53</f>
        <v>0</v>
      </c>
      <c r="AL165" s="29">
        <f>'PANDU IKPP'!AG53</f>
        <v>0</v>
      </c>
      <c r="AM165" s="29">
        <f>'PANDU IKPP'!AH53</f>
        <v>0</v>
      </c>
      <c r="AN165" s="39">
        <f t="shared" si="51"/>
        <v>1109112.2307692308</v>
      </c>
    </row>
    <row r="166" spans="1:43">
      <c r="A166" t="s">
        <v>80</v>
      </c>
      <c r="B166" t="s">
        <v>88</v>
      </c>
      <c r="C166" s="40" t="s">
        <v>20</v>
      </c>
      <c r="D166" s="49">
        <v>5120900</v>
      </c>
      <c r="E166" s="35"/>
      <c r="F166" s="35"/>
      <c r="G166" s="35"/>
      <c r="H166" s="35">
        <f>H164*$G$3</f>
        <v>0</v>
      </c>
      <c r="I166" s="35">
        <f>I164*$G$3</f>
        <v>0</v>
      </c>
      <c r="J166" s="35"/>
      <c r="K166" s="30"/>
      <c r="L166" s="30"/>
      <c r="M166" s="30"/>
      <c r="N166" s="30"/>
      <c r="O166" s="30"/>
      <c r="P166" s="30"/>
      <c r="Q166" s="39">
        <f t="shared" si="50"/>
        <v>0</v>
      </c>
      <c r="T166" s="67"/>
      <c r="Z166" s="40" t="s">
        <v>20</v>
      </c>
      <c r="AA166" s="49">
        <v>5120900</v>
      </c>
      <c r="AB166" s="35"/>
      <c r="AC166" s="35"/>
      <c r="AD166" s="35"/>
      <c r="AE166" s="35">
        <f>AE164*$G$3</f>
        <v>0</v>
      </c>
      <c r="AF166" s="35">
        <f>AF164*$G$3</f>
        <v>0</v>
      </c>
      <c r="AG166" s="35"/>
      <c r="AH166" s="30"/>
      <c r="AI166" s="30"/>
      <c r="AJ166" s="30"/>
      <c r="AK166" s="30"/>
      <c r="AL166" s="30"/>
      <c r="AM166" s="30"/>
      <c r="AN166" s="39">
        <f t="shared" si="51"/>
        <v>0</v>
      </c>
    </row>
    <row r="167" spans="1:43">
      <c r="A167" t="s">
        <v>70</v>
      </c>
      <c r="B167" t="s">
        <v>70</v>
      </c>
      <c r="C167" s="40" t="s">
        <v>21</v>
      </c>
      <c r="D167" s="49">
        <v>5.97</v>
      </c>
      <c r="E167" s="35"/>
      <c r="F167" s="35"/>
      <c r="G167" s="35"/>
      <c r="H167" s="35">
        <f>H165*$G$3</f>
        <v>0</v>
      </c>
      <c r="I167" s="35">
        <f>I165*$G$3</f>
        <v>0</v>
      </c>
      <c r="J167" s="35"/>
      <c r="K167" s="30"/>
      <c r="L167" s="30"/>
      <c r="M167" s="30"/>
      <c r="N167" s="30"/>
      <c r="O167" s="30"/>
      <c r="P167" s="30"/>
      <c r="Q167" s="39">
        <f t="shared" si="50"/>
        <v>0</v>
      </c>
      <c r="T167" s="39"/>
      <c r="Z167" s="40" t="s">
        <v>21</v>
      </c>
      <c r="AA167" s="49">
        <v>5.97</v>
      </c>
      <c r="AB167" s="35"/>
      <c r="AC167" s="35"/>
      <c r="AD167" s="35"/>
      <c r="AE167" s="35">
        <f>AE165*$G$3</f>
        <v>0</v>
      </c>
      <c r="AF167" s="35">
        <f>AF165*$G$3</f>
        <v>0</v>
      </c>
      <c r="AG167" s="35"/>
      <c r="AH167" s="30"/>
      <c r="AI167" s="30"/>
      <c r="AJ167" s="30"/>
      <c r="AK167" s="30"/>
      <c r="AL167" s="30"/>
      <c r="AM167" s="30"/>
      <c r="AN167" s="39">
        <f t="shared" si="51"/>
        <v>0</v>
      </c>
    </row>
    <row r="168" spans="1:43">
      <c r="A168" t="s">
        <v>70</v>
      </c>
      <c r="B168" t="s">
        <v>70</v>
      </c>
      <c r="C168" s="41"/>
      <c r="D168" s="51"/>
      <c r="E168" s="35"/>
      <c r="F168" s="35"/>
      <c r="G168" s="35"/>
      <c r="H168" s="35">
        <f>H166*$D$166</f>
        <v>0</v>
      </c>
      <c r="I168" s="35">
        <f>I166*$D$166</f>
        <v>0</v>
      </c>
      <c r="J168" s="35"/>
      <c r="K168" s="30"/>
      <c r="L168" s="30"/>
      <c r="M168" s="30"/>
      <c r="N168" s="30"/>
      <c r="O168" s="30"/>
      <c r="P168" s="30"/>
      <c r="Q168" s="39">
        <f t="shared" si="50"/>
        <v>0</v>
      </c>
      <c r="Z168" s="41"/>
      <c r="AA168" s="51"/>
      <c r="AB168" s="35"/>
      <c r="AC168" s="35"/>
      <c r="AD168" s="35"/>
      <c r="AE168" s="35">
        <f>AE166*$D$166</f>
        <v>0</v>
      </c>
      <c r="AF168" s="35">
        <f>AF166*$D$166</f>
        <v>0</v>
      </c>
      <c r="AG168" s="35"/>
      <c r="AH168" s="30"/>
      <c r="AI168" s="30"/>
      <c r="AJ168" s="30"/>
      <c r="AK168" s="30"/>
      <c r="AL168" s="30"/>
      <c r="AM168" s="30"/>
      <c r="AN168" s="39">
        <f t="shared" si="51"/>
        <v>0</v>
      </c>
    </row>
    <row r="169" spans="1:43">
      <c r="A169" t="s">
        <v>70</v>
      </c>
      <c r="B169" t="s">
        <v>70</v>
      </c>
      <c r="C169" s="41"/>
      <c r="D169" s="51"/>
      <c r="E169" s="35"/>
      <c r="F169" s="35"/>
      <c r="G169" s="35"/>
      <c r="H169" s="35">
        <f>H167*$D$167</f>
        <v>0</v>
      </c>
      <c r="I169" s="35">
        <f>I167*$D$167</f>
        <v>0</v>
      </c>
      <c r="J169" s="35"/>
      <c r="K169" s="30"/>
      <c r="L169" s="30"/>
      <c r="M169" s="30"/>
      <c r="N169" s="30"/>
      <c r="O169" s="30"/>
      <c r="P169" s="30"/>
      <c r="Q169" s="39">
        <f t="shared" si="50"/>
        <v>0</v>
      </c>
      <c r="R169" s="39">
        <f>Q168+Q169</f>
        <v>0</v>
      </c>
      <c r="Z169" s="41"/>
      <c r="AA169" s="51"/>
      <c r="AB169" s="35"/>
      <c r="AC169" s="35"/>
      <c r="AD169" s="35"/>
      <c r="AE169" s="35">
        <f>AE167*$D$167</f>
        <v>0</v>
      </c>
      <c r="AF169" s="35">
        <f>AF167*$D$167</f>
        <v>0</v>
      </c>
      <c r="AG169" s="35"/>
      <c r="AH169" s="30"/>
      <c r="AI169" s="30"/>
      <c r="AJ169" s="30"/>
      <c r="AK169" s="30"/>
      <c r="AL169" s="30"/>
      <c r="AM169" s="30"/>
      <c r="AN169" s="39">
        <f t="shared" si="51"/>
        <v>0</v>
      </c>
    </row>
    <row r="170" spans="1:43">
      <c r="A170" t="s">
        <v>70</v>
      </c>
      <c r="B170" t="s">
        <v>70</v>
      </c>
      <c r="C170" s="44"/>
      <c r="D170" s="44"/>
      <c r="E170" s="50"/>
      <c r="F170" s="50"/>
      <c r="G170" s="50"/>
      <c r="H170" s="50"/>
      <c r="I170" s="50"/>
      <c r="J170" s="50"/>
      <c r="K170" s="46"/>
      <c r="L170" s="46"/>
      <c r="M170" s="46"/>
      <c r="N170" s="46"/>
      <c r="O170" s="46"/>
      <c r="P170" s="46"/>
      <c r="Q170" s="48"/>
      <c r="R170" s="44"/>
      <c r="Z170" s="44"/>
      <c r="AA170" s="44"/>
      <c r="AB170" s="50"/>
      <c r="AC170" s="50"/>
      <c r="AD170" s="50"/>
      <c r="AE170" s="50"/>
      <c r="AF170" s="50"/>
      <c r="AG170" s="50"/>
      <c r="AH170" s="46"/>
      <c r="AI170" s="46"/>
      <c r="AJ170" s="46"/>
      <c r="AK170" s="46"/>
      <c r="AL170" s="46"/>
      <c r="AM170" s="46"/>
      <c r="AN170" s="48"/>
    </row>
    <row r="171" spans="1:43">
      <c r="A171" t="s">
        <v>70</v>
      </c>
      <c r="B171" t="s">
        <v>70</v>
      </c>
      <c r="C171" s="44"/>
      <c r="D171" s="44"/>
      <c r="E171" s="50"/>
      <c r="F171" s="50"/>
      <c r="G171" s="50"/>
      <c r="H171" s="50"/>
      <c r="I171" s="50"/>
      <c r="J171" s="50"/>
      <c r="K171" s="46"/>
      <c r="L171" s="46"/>
      <c r="M171" s="46"/>
      <c r="N171" s="46"/>
      <c r="O171" s="46"/>
      <c r="P171" s="46"/>
      <c r="Q171" s="48"/>
      <c r="R171" s="44"/>
      <c r="Z171" s="44"/>
      <c r="AA171" s="44"/>
      <c r="AB171" s="50"/>
      <c r="AC171" s="50"/>
      <c r="AD171" s="50"/>
      <c r="AE171" s="50"/>
      <c r="AF171" s="50"/>
      <c r="AG171" s="50"/>
      <c r="AH171" s="46"/>
      <c r="AI171" s="46"/>
      <c r="AJ171" s="46"/>
      <c r="AK171" s="46"/>
      <c r="AL171" s="46"/>
      <c r="AM171" s="46"/>
      <c r="AN171" s="48"/>
    </row>
    <row r="172" spans="1:43">
      <c r="A172" t="s">
        <v>70</v>
      </c>
      <c r="B172" t="s">
        <v>70</v>
      </c>
      <c r="C172" t="s">
        <v>60</v>
      </c>
      <c r="E172" s="100">
        <f>'PANDU IKPP'!C58</f>
        <v>20</v>
      </c>
      <c r="F172" s="100">
        <f>'PANDU IKPP'!D58</f>
        <v>20</v>
      </c>
      <c r="G172" s="100">
        <f>'PANDU IKPP'!E58</f>
        <v>12</v>
      </c>
      <c r="H172" s="100">
        <f>'PANDU IKPP'!F58</f>
        <v>19</v>
      </c>
      <c r="I172" s="100">
        <f>'PANDU IKPP'!G58</f>
        <v>18</v>
      </c>
      <c r="J172" s="100">
        <f>'PANDU IKPP'!H58</f>
        <v>15</v>
      </c>
      <c r="K172" s="103">
        <f>'PANDU IKPP'!I58</f>
        <v>18</v>
      </c>
      <c r="L172" s="103">
        <f>'PANDU IKPP'!J58</f>
        <v>17</v>
      </c>
      <c r="M172" s="103">
        <f>'PANDU IKPP'!K58</f>
        <v>20</v>
      </c>
      <c r="N172" s="103">
        <f>'PANDU IKPP'!L58</f>
        <v>19</v>
      </c>
      <c r="O172" s="103">
        <f>'PANDU IKPP'!M58</f>
        <v>18</v>
      </c>
      <c r="P172" s="103">
        <f>'PANDU IKPP'!N58</f>
        <v>16</v>
      </c>
      <c r="Z172" t="s">
        <v>60</v>
      </c>
      <c r="AB172" s="29">
        <f>'PANDU IKPP'!W58</f>
        <v>20</v>
      </c>
      <c r="AC172" s="29">
        <f>'PANDU IKPP'!X58</f>
        <v>20</v>
      </c>
      <c r="AD172" s="29">
        <f>'PANDU IKPP'!Y58</f>
        <v>24</v>
      </c>
      <c r="AE172" s="29">
        <f>'PANDU IKPP'!Z58</f>
        <v>19</v>
      </c>
      <c r="AF172" s="29">
        <f>'PANDU IKPP'!AA58</f>
        <v>18</v>
      </c>
      <c r="AG172" s="29">
        <f>'PANDU IKPP'!AB58</f>
        <v>15</v>
      </c>
      <c r="AH172" s="29">
        <f>'PANDU IKPP'!AC58</f>
        <v>34</v>
      </c>
      <c r="AI172" s="29">
        <f>'PANDU IKPP'!AD58</f>
        <v>38</v>
      </c>
      <c r="AJ172" s="29">
        <f>'PANDU IKPP'!AE58</f>
        <v>34</v>
      </c>
      <c r="AK172" s="29">
        <f>'PANDU IKPP'!AF58</f>
        <v>36</v>
      </c>
      <c r="AL172" s="29">
        <f>'PANDU IKPP'!AG58</f>
        <v>32</v>
      </c>
      <c r="AM172" s="29">
        <f>'PANDU IKPP'!AH58</f>
        <v>32</v>
      </c>
    </row>
    <row r="173" spans="1:43">
      <c r="A173" t="s">
        <v>70</v>
      </c>
      <c r="B173" t="s">
        <v>70</v>
      </c>
      <c r="E173" s="100">
        <f>'PANDU IKPP'!C59</f>
        <v>66654</v>
      </c>
      <c r="F173" s="100">
        <f>'PANDU IKPP'!D59</f>
        <v>61961</v>
      </c>
      <c r="G173" s="100">
        <f>'PANDU IKPP'!E59</f>
        <v>40796</v>
      </c>
      <c r="H173" s="100">
        <f>'PANDU IKPP'!F59</f>
        <v>63321.299999999996</v>
      </c>
      <c r="I173" s="100">
        <f>'PANDU IKPP'!G59</f>
        <v>55764.9</v>
      </c>
      <c r="J173" s="100">
        <f>'PANDU IKPP'!H59</f>
        <v>50995</v>
      </c>
      <c r="K173" s="103">
        <f>'PANDU IKPP'!I59</f>
        <v>59988.6</v>
      </c>
      <c r="L173" s="103">
        <f>'PANDU IKPP'!J59</f>
        <v>52666.850000000006</v>
      </c>
      <c r="M173" s="103">
        <f>'PANDU IKPP'!K59</f>
        <v>67993.333333333328</v>
      </c>
      <c r="N173" s="103">
        <f>'PANDU IKPP'!L59</f>
        <v>63321.299999999996</v>
      </c>
      <c r="O173" s="103">
        <f>'PANDU IKPP'!M59</f>
        <v>55764.9</v>
      </c>
      <c r="P173" s="103">
        <f>'PANDU IKPP'!N59</f>
        <v>54394.666666666664</v>
      </c>
      <c r="AB173" s="29">
        <f>'PANDU IKPP'!W59</f>
        <v>32226</v>
      </c>
      <c r="AC173" s="29">
        <f>'PANDU IKPP'!X59</f>
        <v>33262</v>
      </c>
      <c r="AD173" s="29">
        <f>'PANDU IKPP'!Y59</f>
        <v>48377</v>
      </c>
      <c r="AE173" s="29">
        <f>'PANDU IKPP'!Z59</f>
        <v>36073</v>
      </c>
      <c r="AF173" s="29">
        <f>'PANDU IKPP'!AA59</f>
        <v>35858</v>
      </c>
      <c r="AG173" s="29">
        <f>'PANDU IKPP'!AB59</f>
        <v>35914</v>
      </c>
      <c r="AH173" s="29">
        <f>'PANDU IKPP'!AC59</f>
        <v>80144</v>
      </c>
      <c r="AI173" s="29">
        <f>'PANDU IKPP'!AD59</f>
        <v>90060</v>
      </c>
      <c r="AJ173" s="29">
        <f>'PANDU IKPP'!AE59</f>
        <v>80144</v>
      </c>
      <c r="AK173" s="29">
        <f>'PANDU IKPP'!AF59</f>
        <v>85102</v>
      </c>
      <c r="AL173" s="29">
        <f>'PANDU IKPP'!AG59</f>
        <v>75186</v>
      </c>
      <c r="AM173" s="29">
        <f>'PANDU IKPP'!AH59</f>
        <v>75186</v>
      </c>
    </row>
    <row r="174" spans="1:43">
      <c r="A174" t="s">
        <v>78</v>
      </c>
      <c r="B174" t="s">
        <v>86</v>
      </c>
      <c r="C174" s="40" t="s">
        <v>20</v>
      </c>
      <c r="D174" s="49">
        <v>2102150</v>
      </c>
      <c r="E174" s="35">
        <f>E172*$G$3</f>
        <v>96.866</v>
      </c>
      <c r="F174" s="35">
        <f t="shared" ref="F174:P175" si="52">F172*$G$3</f>
        <v>96.866</v>
      </c>
      <c r="G174" s="35">
        <f t="shared" si="52"/>
        <v>58.119600000000005</v>
      </c>
      <c r="H174" s="35">
        <f t="shared" si="52"/>
        <v>92.0227</v>
      </c>
      <c r="I174" s="35">
        <f t="shared" si="52"/>
        <v>87.179400000000001</v>
      </c>
      <c r="J174" s="35">
        <f t="shared" si="52"/>
        <v>72.649500000000003</v>
      </c>
      <c r="K174" s="35">
        <f t="shared" si="52"/>
        <v>87.179400000000001</v>
      </c>
      <c r="L174" s="35">
        <f t="shared" si="52"/>
        <v>82.336100000000002</v>
      </c>
      <c r="M174" s="35">
        <f t="shared" si="52"/>
        <v>96.866</v>
      </c>
      <c r="N174" s="35">
        <f t="shared" si="52"/>
        <v>92.0227</v>
      </c>
      <c r="O174" s="35">
        <f t="shared" si="52"/>
        <v>87.179400000000001</v>
      </c>
      <c r="P174" s="35">
        <f t="shared" si="52"/>
        <v>77.492800000000003</v>
      </c>
      <c r="Q174" s="39">
        <f>SUM(E174:P174)</f>
        <v>1026.7796000000001</v>
      </c>
      <c r="T174" s="67"/>
      <c r="Z174" s="40" t="s">
        <v>20</v>
      </c>
      <c r="AA174" s="49">
        <v>2102150</v>
      </c>
      <c r="AB174" s="35">
        <f>AB172*$AD$3</f>
        <v>91.526820000000001</v>
      </c>
      <c r="AC174" s="35">
        <f t="shared" ref="AC174:AM174" si="53">AC172*$AD$3</f>
        <v>91.526820000000001</v>
      </c>
      <c r="AD174" s="35">
        <f t="shared" si="53"/>
        <v>109.83218400000001</v>
      </c>
      <c r="AE174" s="35">
        <f t="shared" si="53"/>
        <v>86.950479000000001</v>
      </c>
      <c r="AF174" s="35">
        <f t="shared" si="53"/>
        <v>82.374138000000002</v>
      </c>
      <c r="AG174" s="35">
        <f t="shared" si="53"/>
        <v>68.645115000000004</v>
      </c>
      <c r="AH174" s="35">
        <f t="shared" si="53"/>
        <v>155.59559400000001</v>
      </c>
      <c r="AI174" s="35">
        <f t="shared" si="53"/>
        <v>173.900958</v>
      </c>
      <c r="AJ174" s="35">
        <f t="shared" si="53"/>
        <v>155.59559400000001</v>
      </c>
      <c r="AK174" s="35">
        <f t="shared" si="53"/>
        <v>164.748276</v>
      </c>
      <c r="AL174" s="35">
        <f t="shared" si="53"/>
        <v>146.44291200000001</v>
      </c>
      <c r="AM174" s="35">
        <f t="shared" si="53"/>
        <v>146.44291200000001</v>
      </c>
      <c r="AN174" s="39">
        <f>SUM(AB174:AM174)</f>
        <v>1473.5818019999999</v>
      </c>
    </row>
    <row r="175" spans="1:43">
      <c r="A175" t="s">
        <v>70</v>
      </c>
      <c r="B175" t="s">
        <v>70</v>
      </c>
      <c r="C175" s="40" t="s">
        <v>21</v>
      </c>
      <c r="D175" s="49">
        <v>7.06</v>
      </c>
      <c r="E175" s="35">
        <f>E173*$G$3</f>
        <v>322825.31820000004</v>
      </c>
      <c r="F175" s="35">
        <f t="shared" si="52"/>
        <v>300095.71130000002</v>
      </c>
      <c r="G175" s="35">
        <f t="shared" si="52"/>
        <v>197587.26680000001</v>
      </c>
      <c r="H175" s="35">
        <f t="shared" si="52"/>
        <v>306684.05228999996</v>
      </c>
      <c r="I175" s="35">
        <f t="shared" si="52"/>
        <v>270086.14017000003</v>
      </c>
      <c r="J175" s="35">
        <f t="shared" si="52"/>
        <v>246984.08350000001</v>
      </c>
      <c r="K175" s="35">
        <f t="shared" si="52"/>
        <v>290542.78638000001</v>
      </c>
      <c r="L175" s="35">
        <f t="shared" si="52"/>
        <v>255081.35460500003</v>
      </c>
      <c r="M175" s="35">
        <f t="shared" si="52"/>
        <v>329312.11133333331</v>
      </c>
      <c r="N175" s="35">
        <f t="shared" si="52"/>
        <v>306684.05228999996</v>
      </c>
      <c r="O175" s="35">
        <f t="shared" si="52"/>
        <v>270086.14017000003</v>
      </c>
      <c r="P175" s="35">
        <f t="shared" si="52"/>
        <v>263449.68906666664</v>
      </c>
      <c r="Q175" s="39">
        <f>SUM(E175:P175)</f>
        <v>3359418.7061050003</v>
      </c>
      <c r="T175" s="39"/>
      <c r="Z175" s="40" t="s">
        <v>21</v>
      </c>
      <c r="AA175" s="49">
        <v>7.06</v>
      </c>
      <c r="AB175" s="35">
        <f>AB173*$AD$3</f>
        <v>147477.16506600002</v>
      </c>
      <c r="AC175" s="35">
        <f t="shared" ref="AC175:AM175" si="54">AC173*$AD$3</f>
        <v>152218.254342</v>
      </c>
      <c r="AD175" s="35">
        <f t="shared" si="54"/>
        <v>221389.64855700001</v>
      </c>
      <c r="AE175" s="35">
        <f t="shared" si="54"/>
        <v>165082.34889300002</v>
      </c>
      <c r="AF175" s="35">
        <f t="shared" si="54"/>
        <v>164098.435578</v>
      </c>
      <c r="AG175" s="35">
        <f t="shared" si="54"/>
        <v>164354.710674</v>
      </c>
      <c r="AH175" s="35">
        <f t="shared" si="54"/>
        <v>366766.27310400002</v>
      </c>
      <c r="AI175" s="35">
        <f t="shared" si="54"/>
        <v>412145.27046000003</v>
      </c>
      <c r="AJ175" s="35">
        <f t="shared" si="54"/>
        <v>366766.27310400002</v>
      </c>
      <c r="AK175" s="35">
        <f t="shared" si="54"/>
        <v>389455.77178200003</v>
      </c>
      <c r="AL175" s="35">
        <f t="shared" si="54"/>
        <v>344076.77442600002</v>
      </c>
      <c r="AM175" s="35">
        <f t="shared" si="54"/>
        <v>344076.77442600002</v>
      </c>
      <c r="AN175" s="39">
        <f>SUM(AB175:AM175)</f>
        <v>3237907.7004120005</v>
      </c>
    </row>
    <row r="176" spans="1:43">
      <c r="A176" t="s">
        <v>70</v>
      </c>
      <c r="B176" t="s">
        <v>70</v>
      </c>
      <c r="C176" s="41"/>
      <c r="D176" s="51"/>
      <c r="E176" s="35">
        <f>E174*$D$174</f>
        <v>203626861.90000001</v>
      </c>
      <c r="F176" s="35">
        <f t="shared" ref="F176:P176" si="55">F174*$D$174</f>
        <v>203626861.90000001</v>
      </c>
      <c r="G176" s="35">
        <f t="shared" si="55"/>
        <v>122176117.14000002</v>
      </c>
      <c r="H176" s="35">
        <f t="shared" si="55"/>
        <v>193445518.80500001</v>
      </c>
      <c r="I176" s="35">
        <f t="shared" si="55"/>
        <v>183264175.71000001</v>
      </c>
      <c r="J176" s="35">
        <f t="shared" si="55"/>
        <v>152720146.42500001</v>
      </c>
      <c r="K176" s="35">
        <f t="shared" si="55"/>
        <v>183264175.71000001</v>
      </c>
      <c r="L176" s="35">
        <f t="shared" si="55"/>
        <v>173082832.61500001</v>
      </c>
      <c r="M176" s="35">
        <f t="shared" si="55"/>
        <v>203626861.90000001</v>
      </c>
      <c r="N176" s="35">
        <f t="shared" si="55"/>
        <v>193445518.80500001</v>
      </c>
      <c r="O176" s="35">
        <f t="shared" si="55"/>
        <v>183264175.71000001</v>
      </c>
      <c r="P176" s="35">
        <f t="shared" si="55"/>
        <v>162901489.52000001</v>
      </c>
      <c r="Q176" s="39">
        <f>SUM(E176:P176)</f>
        <v>2158444736.1400003</v>
      </c>
      <c r="Z176" s="41"/>
      <c r="AA176" s="51"/>
      <c r="AB176" s="35">
        <f>AB174*$D$174</f>
        <v>192403104.66299999</v>
      </c>
      <c r="AC176" s="35">
        <f t="shared" ref="AC176:AM176" si="56">AC174*$D$174</f>
        <v>192403104.66299999</v>
      </c>
      <c r="AD176" s="35">
        <f t="shared" si="56"/>
        <v>230883725.59560004</v>
      </c>
      <c r="AE176" s="35">
        <f t="shared" si="56"/>
        <v>182782949.42985001</v>
      </c>
      <c r="AF176" s="35">
        <f t="shared" si="56"/>
        <v>173162794.19670001</v>
      </c>
      <c r="AG176" s="35">
        <f t="shared" si="56"/>
        <v>144302328.49725002</v>
      </c>
      <c r="AH176" s="35">
        <f t="shared" si="56"/>
        <v>327085277.9271</v>
      </c>
      <c r="AI176" s="35">
        <f t="shared" si="56"/>
        <v>365565898.85970002</v>
      </c>
      <c r="AJ176" s="35">
        <f t="shared" si="56"/>
        <v>327085277.9271</v>
      </c>
      <c r="AK176" s="35">
        <f t="shared" si="56"/>
        <v>346325588.39340001</v>
      </c>
      <c r="AL176" s="35">
        <f t="shared" si="56"/>
        <v>307844967.46079999</v>
      </c>
      <c r="AM176" s="35">
        <f t="shared" si="56"/>
        <v>307844967.46079999</v>
      </c>
      <c r="AN176" s="39">
        <f>SUM(AB176:AM176)</f>
        <v>3097689985.0743003</v>
      </c>
    </row>
    <row r="177" spans="1:41">
      <c r="A177" t="s">
        <v>70</v>
      </c>
      <c r="B177" t="s">
        <v>70</v>
      </c>
      <c r="C177" s="41"/>
      <c r="D177" s="51"/>
      <c r="E177" s="35">
        <f>E175*$D$175</f>
        <v>2279146.7464920003</v>
      </c>
      <c r="F177" s="35">
        <f t="shared" ref="F177:P177" si="57">F175*$D$175</f>
        <v>2118675.7217780002</v>
      </c>
      <c r="G177" s="35">
        <f t="shared" si="57"/>
        <v>1394966.1036080001</v>
      </c>
      <c r="H177" s="35">
        <f t="shared" si="57"/>
        <v>2165189.4091673996</v>
      </c>
      <c r="I177" s="35">
        <f t="shared" si="57"/>
        <v>1906808.1496002001</v>
      </c>
      <c r="J177" s="35">
        <f t="shared" si="57"/>
        <v>1743707.6295099999</v>
      </c>
      <c r="K177" s="35">
        <f t="shared" si="57"/>
        <v>2051232.0718427999</v>
      </c>
      <c r="L177" s="35">
        <f t="shared" si="57"/>
        <v>1800874.3635113002</v>
      </c>
      <c r="M177" s="35">
        <f t="shared" si="57"/>
        <v>2324943.5060133329</v>
      </c>
      <c r="N177" s="35">
        <f t="shared" si="57"/>
        <v>2165189.4091673996</v>
      </c>
      <c r="O177" s="35">
        <f t="shared" si="57"/>
        <v>1906808.1496002001</v>
      </c>
      <c r="P177" s="35">
        <f t="shared" si="57"/>
        <v>1859954.8048106665</v>
      </c>
      <c r="Q177" s="39">
        <f>SUM(E177:P177)</f>
        <v>23717496.065101296</v>
      </c>
      <c r="Z177" s="41"/>
      <c r="AA177" s="51"/>
      <c r="AB177" s="35">
        <f>AB175*$D$175</f>
        <v>1041188.7853659601</v>
      </c>
      <c r="AC177" s="35">
        <f t="shared" ref="AC177:AM177" si="58">AC175*$D$175</f>
        <v>1074660.87565452</v>
      </c>
      <c r="AD177" s="35">
        <f t="shared" si="58"/>
        <v>1563010.91881242</v>
      </c>
      <c r="AE177" s="35">
        <f t="shared" si="58"/>
        <v>1165481.3831845801</v>
      </c>
      <c r="AF177" s="35">
        <f t="shared" si="58"/>
        <v>1158534.9551806799</v>
      </c>
      <c r="AG177" s="35">
        <f t="shared" si="58"/>
        <v>1160344.25735844</v>
      </c>
      <c r="AH177" s="35">
        <f t="shared" si="58"/>
        <v>2589369.88811424</v>
      </c>
      <c r="AI177" s="35">
        <f t="shared" si="58"/>
        <v>2909745.6094475999</v>
      </c>
      <c r="AJ177" s="35">
        <f t="shared" si="58"/>
        <v>2589369.88811424</v>
      </c>
      <c r="AK177" s="35">
        <f t="shared" si="58"/>
        <v>2749557.7487809202</v>
      </c>
      <c r="AL177" s="35">
        <f t="shared" si="58"/>
        <v>2429182.0274475599</v>
      </c>
      <c r="AM177" s="35">
        <f t="shared" si="58"/>
        <v>2429182.0274475599</v>
      </c>
      <c r="AN177" s="39">
        <f>SUM(AB177:AM177)</f>
        <v>22859628.364908718</v>
      </c>
    </row>
    <row r="178" spans="1:41">
      <c r="A178" t="s">
        <v>70</v>
      </c>
      <c r="B178" t="s">
        <v>70</v>
      </c>
      <c r="C178" s="44"/>
      <c r="D178" s="44"/>
      <c r="E178" s="50"/>
      <c r="F178" s="50"/>
      <c r="G178" s="50"/>
      <c r="H178" s="50"/>
      <c r="I178" s="50"/>
      <c r="J178" s="50"/>
      <c r="K178" s="46"/>
      <c r="L178" s="46"/>
      <c r="M178" s="46"/>
      <c r="N178" s="46"/>
      <c r="O178" s="46"/>
      <c r="P178" s="46"/>
      <c r="Q178" s="48"/>
      <c r="R178" s="44"/>
      <c r="Z178" s="44"/>
      <c r="AA178" s="44"/>
      <c r="AB178" s="50"/>
      <c r="AC178" s="50"/>
      <c r="AD178" s="50"/>
      <c r="AE178" s="50"/>
      <c r="AF178" s="50"/>
      <c r="AG178" s="50"/>
      <c r="AH178" s="46"/>
      <c r="AI178" s="46"/>
      <c r="AJ178" s="46"/>
      <c r="AK178" s="46"/>
      <c r="AL178" s="46"/>
      <c r="AM178" s="46"/>
      <c r="AN178" s="48"/>
    </row>
    <row r="179" spans="1:41">
      <c r="A179" t="s">
        <v>70</v>
      </c>
      <c r="B179" t="s">
        <v>70</v>
      </c>
      <c r="C179" s="44"/>
      <c r="D179" s="44"/>
      <c r="E179" s="50"/>
      <c r="F179" s="50"/>
      <c r="G179" s="50"/>
      <c r="H179" s="50"/>
      <c r="I179" s="50"/>
      <c r="J179" s="50"/>
      <c r="K179" s="46"/>
      <c r="L179" s="46"/>
      <c r="M179" s="46"/>
      <c r="N179" s="46"/>
      <c r="O179" s="46"/>
      <c r="P179" s="46"/>
      <c r="Q179" s="48"/>
      <c r="R179" s="44"/>
      <c r="Z179" s="44"/>
      <c r="AA179" s="44"/>
      <c r="AB179" s="50"/>
      <c r="AC179" s="50"/>
      <c r="AD179" s="50"/>
      <c r="AE179" s="50"/>
      <c r="AF179" s="50"/>
      <c r="AG179" s="50"/>
      <c r="AH179" s="46"/>
      <c r="AI179" s="46"/>
      <c r="AJ179" s="46"/>
      <c r="AK179" s="46"/>
      <c r="AL179" s="46"/>
      <c r="AM179" s="46"/>
      <c r="AN179" s="48"/>
    </row>
    <row r="180" spans="1:41">
      <c r="A180" t="s">
        <v>70</v>
      </c>
      <c r="B180" t="s">
        <v>70</v>
      </c>
      <c r="C180" t="s">
        <v>61</v>
      </c>
      <c r="E180" s="100">
        <f>'PANDU IKPP'!C64</f>
        <v>0</v>
      </c>
      <c r="F180" s="100">
        <f>'PANDU IKPP'!D64</f>
        <v>0</v>
      </c>
      <c r="G180" s="100">
        <f>'PANDU IKPP'!E64</f>
        <v>0</v>
      </c>
      <c r="H180" s="100">
        <f>'PANDU IKPP'!F64</f>
        <v>0</v>
      </c>
      <c r="I180" s="100">
        <f>'PANDU IKPP'!G64</f>
        <v>0</v>
      </c>
      <c r="J180" s="100">
        <f>'PANDU IKPP'!H64</f>
        <v>0</v>
      </c>
      <c r="K180" s="103">
        <f>'PANDU IKPP'!I64</f>
        <v>0</v>
      </c>
      <c r="L180" s="103">
        <f>'PANDU IKPP'!J64</f>
        <v>0</v>
      </c>
      <c r="M180" s="103">
        <f>'PANDU IKPP'!K64</f>
        <v>0</v>
      </c>
      <c r="N180" s="103">
        <f>'PANDU IKPP'!L64</f>
        <v>0</v>
      </c>
      <c r="O180" s="103">
        <f>'PANDU IKPP'!M64</f>
        <v>0</v>
      </c>
      <c r="P180" s="103">
        <f>'PANDU IKPP'!N64</f>
        <v>0</v>
      </c>
      <c r="Z180" t="s">
        <v>61</v>
      </c>
      <c r="AB180" s="29">
        <f>'PANDU IKPP'!W64</f>
        <v>0</v>
      </c>
      <c r="AC180" s="29">
        <f>'PANDU IKPP'!X64</f>
        <v>0</v>
      </c>
      <c r="AD180" s="29">
        <f>'PANDU IKPP'!Y64</f>
        <v>0</v>
      </c>
      <c r="AE180" s="29">
        <f>'PANDU IKPP'!Z64</f>
        <v>0</v>
      </c>
      <c r="AF180" s="29">
        <f>'PANDU IKPP'!AA64</f>
        <v>0</v>
      </c>
      <c r="AG180" s="29">
        <f>'PANDU IKPP'!AB64</f>
        <v>0</v>
      </c>
      <c r="AH180" s="29">
        <f>'PANDU IKPP'!AC64</f>
        <v>0</v>
      </c>
      <c r="AI180" s="29">
        <f>'PANDU IKPP'!AD64</f>
        <v>0</v>
      </c>
      <c r="AJ180" s="29">
        <f>'PANDU IKPP'!AE64</f>
        <v>0</v>
      </c>
      <c r="AK180" s="29">
        <f>'PANDU IKPP'!AF64</f>
        <v>0</v>
      </c>
      <c r="AL180" s="29">
        <f>'PANDU IKPP'!AG64</f>
        <v>0</v>
      </c>
      <c r="AM180" s="29">
        <f>'PANDU IKPP'!AH64</f>
        <v>0</v>
      </c>
    </row>
    <row r="181" spans="1:41">
      <c r="A181" t="s">
        <v>70</v>
      </c>
      <c r="B181" t="s">
        <v>70</v>
      </c>
      <c r="E181" s="100">
        <f>'PANDU IKPP'!C65</f>
        <v>0</v>
      </c>
      <c r="F181" s="100">
        <f>'PANDU IKPP'!D65</f>
        <v>0</v>
      </c>
      <c r="G181" s="100">
        <f>'PANDU IKPP'!E65</f>
        <v>0</v>
      </c>
      <c r="H181" s="100">
        <f>'PANDU IKPP'!F65</f>
        <v>0</v>
      </c>
      <c r="I181" s="100">
        <f>'PANDU IKPP'!G65</f>
        <v>0</v>
      </c>
      <c r="J181" s="100">
        <f>'PANDU IKPP'!H65</f>
        <v>0</v>
      </c>
      <c r="K181" s="103">
        <f>'PANDU IKPP'!I65</f>
        <v>0</v>
      </c>
      <c r="L181" s="103">
        <f>'PANDU IKPP'!J65</f>
        <v>0</v>
      </c>
      <c r="M181" s="103">
        <f>'PANDU IKPP'!K65</f>
        <v>0</v>
      </c>
      <c r="N181" s="103">
        <f>'PANDU IKPP'!L65</f>
        <v>0</v>
      </c>
      <c r="O181" s="103">
        <f>'PANDU IKPP'!M65</f>
        <v>0</v>
      </c>
      <c r="P181" s="103">
        <f>'PANDU IKPP'!N65</f>
        <v>0</v>
      </c>
      <c r="AB181" s="29">
        <f>'PANDU IKPP'!W65</f>
        <v>0</v>
      </c>
      <c r="AC181" s="29">
        <f>'PANDU IKPP'!X65</f>
        <v>0</v>
      </c>
      <c r="AD181" s="29">
        <f>'PANDU IKPP'!Y65</f>
        <v>0</v>
      </c>
      <c r="AE181" s="29">
        <f>'PANDU IKPP'!Z65</f>
        <v>0</v>
      </c>
      <c r="AF181" s="29">
        <f>'PANDU IKPP'!AA65</f>
        <v>0</v>
      </c>
      <c r="AG181" s="29">
        <f>'PANDU IKPP'!AB65</f>
        <v>0</v>
      </c>
      <c r="AH181" s="29">
        <f>'PANDU IKPP'!AC65</f>
        <v>0</v>
      </c>
      <c r="AI181" s="29">
        <f>'PANDU IKPP'!AD65</f>
        <v>0</v>
      </c>
      <c r="AJ181" s="29">
        <f>'PANDU IKPP'!AE65</f>
        <v>0</v>
      </c>
      <c r="AK181" s="29">
        <f>'PANDU IKPP'!AF65</f>
        <v>0</v>
      </c>
      <c r="AL181" s="29">
        <f>'PANDU IKPP'!AG65</f>
        <v>0</v>
      </c>
      <c r="AM181" s="29">
        <f>'PANDU IKPP'!AH65</f>
        <v>0</v>
      </c>
    </row>
    <row r="182" spans="1:41">
      <c r="A182" t="s">
        <v>78</v>
      </c>
      <c r="B182" t="s">
        <v>86</v>
      </c>
      <c r="C182" s="40" t="s">
        <v>20</v>
      </c>
      <c r="D182" s="49">
        <v>2102150</v>
      </c>
      <c r="E182" s="35"/>
      <c r="F182" s="35">
        <f t="shared" ref="F182:P183" si="59">F180*$G$3</f>
        <v>0</v>
      </c>
      <c r="G182" s="35">
        <f t="shared" si="59"/>
        <v>0</v>
      </c>
      <c r="H182" s="35">
        <f t="shared" si="59"/>
        <v>0</v>
      </c>
      <c r="I182" s="35">
        <f t="shared" si="59"/>
        <v>0</v>
      </c>
      <c r="J182" s="35">
        <f t="shared" si="59"/>
        <v>0</v>
      </c>
      <c r="K182" s="35">
        <f t="shared" si="59"/>
        <v>0</v>
      </c>
      <c r="L182" s="35">
        <f t="shared" si="59"/>
        <v>0</v>
      </c>
      <c r="M182" s="35">
        <f t="shared" si="59"/>
        <v>0</v>
      </c>
      <c r="N182" s="35">
        <f t="shared" si="59"/>
        <v>0</v>
      </c>
      <c r="O182" s="35">
        <f t="shared" si="59"/>
        <v>0</v>
      </c>
      <c r="P182" s="35">
        <f t="shared" si="59"/>
        <v>0</v>
      </c>
      <c r="Q182" s="39">
        <f>SUM(E182:P182)</f>
        <v>0</v>
      </c>
      <c r="T182" s="67"/>
      <c r="Z182" s="40" t="s">
        <v>20</v>
      </c>
      <c r="AA182" s="49">
        <v>2102150</v>
      </c>
      <c r="AB182" s="35">
        <f>AB180*$AD$3</f>
        <v>0</v>
      </c>
      <c r="AC182" s="35">
        <f t="shared" ref="AC182:AM182" si="60">AC180*$AD$3</f>
        <v>0</v>
      </c>
      <c r="AD182" s="35">
        <f t="shared" si="60"/>
        <v>0</v>
      </c>
      <c r="AE182" s="35">
        <f t="shared" si="60"/>
        <v>0</v>
      </c>
      <c r="AF182" s="35">
        <f t="shared" si="60"/>
        <v>0</v>
      </c>
      <c r="AG182" s="35">
        <f t="shared" si="60"/>
        <v>0</v>
      </c>
      <c r="AH182" s="35">
        <f t="shared" si="60"/>
        <v>0</v>
      </c>
      <c r="AI182" s="35">
        <f t="shared" si="60"/>
        <v>0</v>
      </c>
      <c r="AJ182" s="35">
        <f t="shared" si="60"/>
        <v>0</v>
      </c>
      <c r="AK182" s="35">
        <f t="shared" si="60"/>
        <v>0</v>
      </c>
      <c r="AL182" s="35">
        <f t="shared" si="60"/>
        <v>0</v>
      </c>
      <c r="AM182" s="35">
        <f t="shared" si="60"/>
        <v>0</v>
      </c>
      <c r="AN182" s="39">
        <f t="shared" ref="AN182:AN187" si="61">SUM(AB182:AM182)</f>
        <v>0</v>
      </c>
    </row>
    <row r="183" spans="1:41">
      <c r="A183" t="s">
        <v>70</v>
      </c>
      <c r="B183" t="s">
        <v>70</v>
      </c>
      <c r="C183" s="40" t="s">
        <v>21</v>
      </c>
      <c r="D183" s="49">
        <v>7.06</v>
      </c>
      <c r="E183" s="35"/>
      <c r="F183" s="35">
        <f t="shared" si="59"/>
        <v>0</v>
      </c>
      <c r="G183" s="35">
        <f t="shared" si="59"/>
        <v>0</v>
      </c>
      <c r="H183" s="35">
        <f t="shared" si="59"/>
        <v>0</v>
      </c>
      <c r="I183" s="35">
        <f t="shared" si="59"/>
        <v>0</v>
      </c>
      <c r="J183" s="35">
        <f t="shared" si="59"/>
        <v>0</v>
      </c>
      <c r="K183" s="35">
        <f t="shared" si="59"/>
        <v>0</v>
      </c>
      <c r="L183" s="35">
        <f t="shared" si="59"/>
        <v>0</v>
      </c>
      <c r="M183" s="35">
        <f t="shared" si="59"/>
        <v>0</v>
      </c>
      <c r="N183" s="35">
        <f t="shared" si="59"/>
        <v>0</v>
      </c>
      <c r="O183" s="35">
        <f t="shared" si="59"/>
        <v>0</v>
      </c>
      <c r="P183" s="35">
        <f t="shared" si="59"/>
        <v>0</v>
      </c>
      <c r="Q183" s="39">
        <f>SUM(E183:P183)</f>
        <v>0</v>
      </c>
      <c r="T183" s="39"/>
      <c r="Z183" s="119" t="s">
        <v>21</v>
      </c>
      <c r="AA183" s="49">
        <v>7.06</v>
      </c>
      <c r="AB183" s="35">
        <f>AB181*$AD$3</f>
        <v>0</v>
      </c>
      <c r="AC183" s="35">
        <f>AC181*$AD$3</f>
        <v>0</v>
      </c>
      <c r="AD183" s="35">
        <f t="shared" ref="AD183:AM183" si="62">AD181*$AD$3</f>
        <v>0</v>
      </c>
      <c r="AE183" s="35">
        <f t="shared" si="62"/>
        <v>0</v>
      </c>
      <c r="AF183" s="35">
        <f t="shared" si="62"/>
        <v>0</v>
      </c>
      <c r="AG183" s="35">
        <f t="shared" si="62"/>
        <v>0</v>
      </c>
      <c r="AH183" s="35">
        <f t="shared" si="62"/>
        <v>0</v>
      </c>
      <c r="AI183" s="35">
        <f t="shared" si="62"/>
        <v>0</v>
      </c>
      <c r="AJ183" s="35">
        <f t="shared" si="62"/>
        <v>0</v>
      </c>
      <c r="AK183" s="35">
        <f t="shared" si="62"/>
        <v>0</v>
      </c>
      <c r="AL183" s="35">
        <f t="shared" si="62"/>
        <v>0</v>
      </c>
      <c r="AM183" s="35">
        <f t="shared" si="62"/>
        <v>0</v>
      </c>
      <c r="AN183" s="39">
        <f t="shared" si="61"/>
        <v>0</v>
      </c>
    </row>
    <row r="184" spans="1:41">
      <c r="B184" t="s">
        <v>70</v>
      </c>
      <c r="C184" s="41"/>
      <c r="D184" s="51"/>
      <c r="E184" s="35"/>
      <c r="F184" s="35">
        <f t="shared" ref="F184:P184" si="63">F182*$D$174</f>
        <v>0</v>
      </c>
      <c r="G184" s="35">
        <f t="shared" si="63"/>
        <v>0</v>
      </c>
      <c r="H184" s="35">
        <f t="shared" si="63"/>
        <v>0</v>
      </c>
      <c r="I184" s="35">
        <f t="shared" si="63"/>
        <v>0</v>
      </c>
      <c r="J184" s="35">
        <f t="shared" si="63"/>
        <v>0</v>
      </c>
      <c r="K184" s="35">
        <f t="shared" si="63"/>
        <v>0</v>
      </c>
      <c r="L184" s="35">
        <f t="shared" si="63"/>
        <v>0</v>
      </c>
      <c r="M184" s="35">
        <f t="shared" si="63"/>
        <v>0</v>
      </c>
      <c r="N184" s="35">
        <f t="shared" si="63"/>
        <v>0</v>
      </c>
      <c r="O184" s="35">
        <f t="shared" si="63"/>
        <v>0</v>
      </c>
      <c r="P184" s="35">
        <f t="shared" si="63"/>
        <v>0</v>
      </c>
      <c r="Q184" s="39">
        <f>SUM(E184:P184)</f>
        <v>0</v>
      </c>
      <c r="Z184" s="41"/>
      <c r="AA184" s="51"/>
      <c r="AB184" s="35">
        <f>AB182*$AA$182</f>
        <v>0</v>
      </c>
      <c r="AC184" s="35">
        <f t="shared" ref="AC184:AM184" si="64">AC182*$AA$182</f>
        <v>0</v>
      </c>
      <c r="AD184" s="35">
        <f t="shared" si="64"/>
        <v>0</v>
      </c>
      <c r="AE184" s="35">
        <f t="shared" si="64"/>
        <v>0</v>
      </c>
      <c r="AF184" s="35">
        <f t="shared" si="64"/>
        <v>0</v>
      </c>
      <c r="AG184" s="35">
        <f t="shared" si="64"/>
        <v>0</v>
      </c>
      <c r="AH184" s="35">
        <f t="shared" si="64"/>
        <v>0</v>
      </c>
      <c r="AI184" s="35">
        <f t="shared" si="64"/>
        <v>0</v>
      </c>
      <c r="AJ184" s="35">
        <f t="shared" si="64"/>
        <v>0</v>
      </c>
      <c r="AK184" s="35">
        <f t="shared" si="64"/>
        <v>0</v>
      </c>
      <c r="AL184" s="35">
        <f t="shared" si="64"/>
        <v>0</v>
      </c>
      <c r="AM184" s="35">
        <f t="shared" si="64"/>
        <v>0</v>
      </c>
      <c r="AN184" s="39">
        <f t="shared" si="61"/>
        <v>0</v>
      </c>
    </row>
    <row r="185" spans="1:41">
      <c r="B185" t="s">
        <v>70</v>
      </c>
      <c r="C185" s="41"/>
      <c r="D185" s="51"/>
      <c r="E185" s="35"/>
      <c r="F185" s="35">
        <f t="shared" ref="F185:P185" si="65">F183*$D$175</f>
        <v>0</v>
      </c>
      <c r="G185" s="35">
        <f t="shared" si="65"/>
        <v>0</v>
      </c>
      <c r="H185" s="35">
        <f t="shared" si="65"/>
        <v>0</v>
      </c>
      <c r="I185" s="35">
        <f t="shared" si="65"/>
        <v>0</v>
      </c>
      <c r="J185" s="35">
        <f t="shared" si="65"/>
        <v>0</v>
      </c>
      <c r="K185" s="35">
        <f t="shared" si="65"/>
        <v>0</v>
      </c>
      <c r="L185" s="35">
        <f t="shared" si="65"/>
        <v>0</v>
      </c>
      <c r="M185" s="35">
        <f t="shared" si="65"/>
        <v>0</v>
      </c>
      <c r="N185" s="35">
        <f t="shared" si="65"/>
        <v>0</v>
      </c>
      <c r="O185" s="35">
        <f t="shared" si="65"/>
        <v>0</v>
      </c>
      <c r="P185" s="35">
        <f t="shared" si="65"/>
        <v>0</v>
      </c>
      <c r="Q185" s="39">
        <f>SUM(E185:P185)</f>
        <v>0</v>
      </c>
      <c r="V185" s="120"/>
      <c r="Z185" s="41"/>
      <c r="AA185" s="51"/>
      <c r="AB185" s="35">
        <f>AB183*$AA$183</f>
        <v>0</v>
      </c>
      <c r="AC185" s="35">
        <f t="shared" ref="AC185:AM185" si="66">AC183*$AA$183</f>
        <v>0</v>
      </c>
      <c r="AD185" s="35">
        <f t="shared" si="66"/>
        <v>0</v>
      </c>
      <c r="AE185" s="35">
        <f t="shared" si="66"/>
        <v>0</v>
      </c>
      <c r="AF185" s="35">
        <f t="shared" si="66"/>
        <v>0</v>
      </c>
      <c r="AG185" s="35">
        <f t="shared" si="66"/>
        <v>0</v>
      </c>
      <c r="AH185" s="35">
        <f t="shared" si="66"/>
        <v>0</v>
      </c>
      <c r="AI185" s="35">
        <f t="shared" si="66"/>
        <v>0</v>
      </c>
      <c r="AJ185" s="35">
        <f t="shared" si="66"/>
        <v>0</v>
      </c>
      <c r="AK185" s="35">
        <f t="shared" si="66"/>
        <v>0</v>
      </c>
      <c r="AL185" s="35">
        <f t="shared" si="66"/>
        <v>0</v>
      </c>
      <c r="AM185" s="35">
        <f t="shared" si="66"/>
        <v>0</v>
      </c>
      <c r="AN185" s="39">
        <f t="shared" si="61"/>
        <v>0</v>
      </c>
    </row>
    <row r="186" spans="1:41">
      <c r="B186" t="s">
        <v>70</v>
      </c>
      <c r="E186" s="52">
        <f>E174+E182</f>
        <v>96.866</v>
      </c>
      <c r="F186" s="52">
        <f t="shared" ref="F186:P187" si="67">F174+F182</f>
        <v>96.866</v>
      </c>
      <c r="G186" s="52">
        <f t="shared" si="67"/>
        <v>58.119600000000005</v>
      </c>
      <c r="H186" s="52">
        <f t="shared" si="67"/>
        <v>92.0227</v>
      </c>
      <c r="I186" s="52">
        <f t="shared" si="67"/>
        <v>87.179400000000001</v>
      </c>
      <c r="J186" s="52">
        <f t="shared" si="67"/>
        <v>72.649500000000003</v>
      </c>
      <c r="K186" s="52">
        <f t="shared" si="67"/>
        <v>87.179400000000001</v>
      </c>
      <c r="L186" s="52">
        <f t="shared" si="67"/>
        <v>82.336100000000002</v>
      </c>
      <c r="M186" s="52">
        <f t="shared" si="67"/>
        <v>96.866</v>
      </c>
      <c r="N186" s="52">
        <f t="shared" si="67"/>
        <v>92.0227</v>
      </c>
      <c r="O186" s="52">
        <f t="shared" si="67"/>
        <v>87.179400000000001</v>
      </c>
      <c r="P186" s="52">
        <f t="shared" si="67"/>
        <v>77.492800000000003</v>
      </c>
      <c r="V186" s="120"/>
      <c r="AB186" s="52">
        <f>AB174+AB182</f>
        <v>91.526820000000001</v>
      </c>
      <c r="AC186" s="52">
        <f t="shared" ref="AC186:AM187" si="68">AC174+AC182</f>
        <v>91.526820000000001</v>
      </c>
      <c r="AD186" s="52">
        <f t="shared" si="68"/>
        <v>109.83218400000001</v>
      </c>
      <c r="AE186" s="52">
        <f t="shared" si="68"/>
        <v>86.950479000000001</v>
      </c>
      <c r="AF186" s="52">
        <f t="shared" si="68"/>
        <v>82.374138000000002</v>
      </c>
      <c r="AG186" s="52">
        <f t="shared" si="68"/>
        <v>68.645115000000004</v>
      </c>
      <c r="AH186" s="52">
        <f t="shared" si="68"/>
        <v>155.59559400000001</v>
      </c>
      <c r="AI186" s="52">
        <f t="shared" si="68"/>
        <v>173.900958</v>
      </c>
      <c r="AJ186" s="52">
        <f t="shared" si="68"/>
        <v>155.59559400000001</v>
      </c>
      <c r="AK186" s="52">
        <f t="shared" si="68"/>
        <v>164.748276</v>
      </c>
      <c r="AL186" s="52">
        <f t="shared" si="68"/>
        <v>146.44291200000001</v>
      </c>
      <c r="AM186" s="52">
        <f t="shared" si="68"/>
        <v>146.44291200000001</v>
      </c>
      <c r="AN186" s="39">
        <f t="shared" si="61"/>
        <v>1473.5818019999999</v>
      </c>
    </row>
    <row r="187" spans="1:41">
      <c r="B187" t="s">
        <v>70</v>
      </c>
      <c r="E187" s="52">
        <f>E175+E183</f>
        <v>322825.31820000004</v>
      </c>
      <c r="F187" s="52">
        <f t="shared" si="67"/>
        <v>300095.71130000002</v>
      </c>
      <c r="G187" s="52">
        <f t="shared" si="67"/>
        <v>197587.26680000001</v>
      </c>
      <c r="H187" s="52">
        <f t="shared" si="67"/>
        <v>306684.05228999996</v>
      </c>
      <c r="I187" s="52">
        <f t="shared" si="67"/>
        <v>270086.14017000003</v>
      </c>
      <c r="J187" s="52">
        <f t="shared" si="67"/>
        <v>246984.08350000001</v>
      </c>
      <c r="K187" s="52">
        <f t="shared" si="67"/>
        <v>290542.78638000001</v>
      </c>
      <c r="L187" s="52">
        <f t="shared" si="67"/>
        <v>255081.35460500003</v>
      </c>
      <c r="M187" s="52">
        <f t="shared" si="67"/>
        <v>329312.11133333331</v>
      </c>
      <c r="N187" s="52">
        <f t="shared" si="67"/>
        <v>306684.05228999996</v>
      </c>
      <c r="O187" s="52">
        <f t="shared" si="67"/>
        <v>270086.14017000003</v>
      </c>
      <c r="P187" s="52">
        <f t="shared" si="67"/>
        <v>263449.68906666664</v>
      </c>
      <c r="V187" s="120"/>
      <c r="X187" s="120"/>
      <c r="AB187" s="52">
        <f>AB175+AB183</f>
        <v>147477.16506600002</v>
      </c>
      <c r="AC187" s="52">
        <f t="shared" si="68"/>
        <v>152218.254342</v>
      </c>
      <c r="AD187" s="52">
        <f t="shared" si="68"/>
        <v>221389.64855700001</v>
      </c>
      <c r="AE187" s="52">
        <f t="shared" si="68"/>
        <v>165082.34889300002</v>
      </c>
      <c r="AF187" s="52">
        <f t="shared" si="68"/>
        <v>164098.435578</v>
      </c>
      <c r="AG187" s="52">
        <f t="shared" si="68"/>
        <v>164354.710674</v>
      </c>
      <c r="AH187" s="52">
        <f t="shared" si="68"/>
        <v>366766.27310400002</v>
      </c>
      <c r="AI187" s="52">
        <f t="shared" si="68"/>
        <v>412145.27046000003</v>
      </c>
      <c r="AJ187" s="52">
        <f t="shared" si="68"/>
        <v>366766.27310400002</v>
      </c>
      <c r="AK187" s="52">
        <f t="shared" si="68"/>
        <v>389455.77178200003</v>
      </c>
      <c r="AL187" s="52">
        <f t="shared" si="68"/>
        <v>344076.77442600002</v>
      </c>
      <c r="AM187" s="52">
        <f t="shared" si="68"/>
        <v>344076.77442600002</v>
      </c>
      <c r="AN187" s="39">
        <f t="shared" si="61"/>
        <v>3237907.7004120005</v>
      </c>
    </row>
    <row r="188" spans="1:41">
      <c r="E188" s="52"/>
      <c r="F188" s="52"/>
      <c r="G188" s="52"/>
      <c r="H188" s="52"/>
      <c r="I188" s="52"/>
      <c r="J188" s="52"/>
      <c r="K188" s="53"/>
      <c r="L188" s="53"/>
      <c r="M188" s="53"/>
      <c r="N188" s="53"/>
      <c r="O188" s="53"/>
      <c r="P188" s="53"/>
      <c r="V188" s="120"/>
      <c r="X188" s="120"/>
      <c r="AB188" s="52"/>
      <c r="AC188" s="52"/>
      <c r="AD188" s="52"/>
      <c r="AE188" s="52"/>
      <c r="AF188" s="52"/>
      <c r="AG188" s="52"/>
      <c r="AH188" s="53"/>
      <c r="AI188" s="53"/>
      <c r="AJ188" s="53"/>
      <c r="AK188" s="53"/>
      <c r="AL188" s="53"/>
      <c r="AM188" s="53"/>
      <c r="AN188" s="39">
        <f>AN176+AN184</f>
        <v>3097689985.0743003</v>
      </c>
    </row>
    <row r="189" spans="1:41">
      <c r="Q189" s="31"/>
      <c r="AB189" s="52"/>
      <c r="AN189" s="39">
        <f>AN177+AN185</f>
        <v>22859628.364908718</v>
      </c>
    </row>
    <row r="190" spans="1:41">
      <c r="Q190" s="31"/>
      <c r="U190" s="39"/>
      <c r="V190" s="121"/>
      <c r="W190" s="122"/>
      <c r="X190" s="120"/>
      <c r="AN190" s="31"/>
    </row>
    <row r="191" spans="1:41">
      <c r="B191" t="s">
        <v>62</v>
      </c>
      <c r="C191" s="40" t="s">
        <v>20</v>
      </c>
      <c r="D191" s="31"/>
      <c r="E191" s="38">
        <f t="shared" ref="E191:P191" si="69">E26+E48+E70+E92+E116+E138+E160+E176+E184</f>
        <v>1256288795.5618</v>
      </c>
      <c r="F191" s="38">
        <f t="shared" si="69"/>
        <v>1408659836.9228001</v>
      </c>
      <c r="G191" s="38">
        <f t="shared" si="69"/>
        <v>1796390082.8104</v>
      </c>
      <c r="H191" s="38">
        <f t="shared" si="69"/>
        <v>1939398395.6424</v>
      </c>
      <c r="I191" s="38">
        <f t="shared" si="69"/>
        <v>1619478544.0526001</v>
      </c>
      <c r="J191" s="38">
        <f t="shared" si="69"/>
        <v>1954700511.3944001</v>
      </c>
      <c r="K191" s="38">
        <f t="shared" si="69"/>
        <v>1857478141.3803999</v>
      </c>
      <c r="L191" s="38">
        <f t="shared" si="69"/>
        <v>1501562215.8152001</v>
      </c>
      <c r="M191" s="38">
        <f t="shared" si="69"/>
        <v>1754394419.3930001</v>
      </c>
      <c r="N191" s="38">
        <f t="shared" si="69"/>
        <v>2273741546.1992002</v>
      </c>
      <c r="O191" s="38">
        <f t="shared" si="69"/>
        <v>1790059221.335</v>
      </c>
      <c r="P191" s="38">
        <f t="shared" si="69"/>
        <v>1599115857.8626001</v>
      </c>
      <c r="Q191" s="39">
        <f>SUM(E191:P191)</f>
        <v>20751267568.369797</v>
      </c>
      <c r="U191" s="39"/>
      <c r="V191" s="121"/>
      <c r="W191" s="122"/>
      <c r="X191" s="121"/>
      <c r="Z191" s="119" t="s">
        <v>20</v>
      </c>
      <c r="AA191" s="31"/>
      <c r="AB191" s="38">
        <f t="shared" ref="AB191:AM191" si="70">AB26+AB48+AB70+AB116+AB138+AB160+AB176+AB184</f>
        <v>2232101316.5109124</v>
      </c>
      <c r="AC191" s="38">
        <f t="shared" si="70"/>
        <v>1844081033.068428</v>
      </c>
      <c r="AD191" s="38">
        <f t="shared" si="70"/>
        <v>1170223927.7370181</v>
      </c>
      <c r="AE191" s="38">
        <f t="shared" si="70"/>
        <v>1461286015.7797441</v>
      </c>
      <c r="AF191" s="38">
        <f t="shared" si="70"/>
        <v>1259222722.0525262</v>
      </c>
      <c r="AG191" s="38">
        <f t="shared" si="70"/>
        <v>1297760226.9037564</v>
      </c>
      <c r="AH191" s="38">
        <f t="shared" si="70"/>
        <v>1970360174.7517381</v>
      </c>
      <c r="AI191" s="38">
        <f t="shared" si="70"/>
        <v>2464645796.2554126</v>
      </c>
      <c r="AJ191" s="38">
        <f t="shared" si="70"/>
        <v>1993608627.7194779</v>
      </c>
      <c r="AK191" s="38">
        <f t="shared" si="70"/>
        <v>2197275791.6769662</v>
      </c>
      <c r="AL191" s="38">
        <f t="shared" si="70"/>
        <v>1609983233.356344</v>
      </c>
      <c r="AM191" s="38">
        <f t="shared" si="70"/>
        <v>1974368317.2531779</v>
      </c>
      <c r="AN191" s="39">
        <f>SUM(AB191:AM191)</f>
        <v>21474917183.065502</v>
      </c>
      <c r="AO191" s="39">
        <v>41054012749.675331</v>
      </c>
    </row>
    <row r="192" spans="1:41">
      <c r="C192" s="40" t="s">
        <v>21</v>
      </c>
      <c r="D192" s="31"/>
      <c r="E192" s="38">
        <f t="shared" ref="E192:P192" si="71">E27+E49+E71+E93+E117+E139+E161+E177+E185</f>
        <v>105032265.36648999</v>
      </c>
      <c r="F192" s="38">
        <f t="shared" si="71"/>
        <v>48876456.422639996</v>
      </c>
      <c r="G192" s="38">
        <f t="shared" si="71"/>
        <v>113898127.59463601</v>
      </c>
      <c r="H192" s="38">
        <f t="shared" si="71"/>
        <v>143159145.4572356</v>
      </c>
      <c r="I192" s="38">
        <f t="shared" si="71"/>
        <v>37857754.183233604</v>
      </c>
      <c r="J192" s="38">
        <f t="shared" si="71"/>
        <v>120248296.06750646</v>
      </c>
      <c r="K192" s="38">
        <f t="shared" si="71"/>
        <v>53253776.625657298</v>
      </c>
      <c r="L192" s="38">
        <f t="shared" si="71"/>
        <v>87663707.303758055</v>
      </c>
      <c r="M192" s="38">
        <f t="shared" si="71"/>
        <v>48623025.131912</v>
      </c>
      <c r="N192" s="38">
        <f t="shared" si="71"/>
        <v>144404433.31033209</v>
      </c>
      <c r="O192" s="38">
        <f t="shared" si="71"/>
        <v>43662344.554990701</v>
      </c>
      <c r="P192" s="38">
        <f t="shared" si="71"/>
        <v>99700272.754328415</v>
      </c>
      <c r="Q192" s="39">
        <f>SUM(E192:P192)</f>
        <v>1046379604.7727201</v>
      </c>
      <c r="V192" s="39"/>
      <c r="Z192" s="119" t="s">
        <v>21</v>
      </c>
      <c r="AA192" s="31"/>
      <c r="AB192" s="38">
        <f t="shared" ref="AB192:AM192" si="72">AB27+AB49+AB71+AB117+AB139+AB161+AB177+AB185</f>
        <v>88577954.912416205</v>
      </c>
      <c r="AC192" s="38">
        <f t="shared" si="72"/>
        <v>44911744.061798461</v>
      </c>
      <c r="AD192" s="38">
        <f t="shared" si="72"/>
        <v>107994610.65197115</v>
      </c>
      <c r="AE192" s="38">
        <f t="shared" si="72"/>
        <v>134165416.22487234</v>
      </c>
      <c r="AF192" s="38">
        <f t="shared" si="72"/>
        <v>34914445.61080014</v>
      </c>
      <c r="AG192" s="38">
        <f t="shared" si="72"/>
        <v>112790344.91753031</v>
      </c>
      <c r="AH192" s="38">
        <f t="shared" si="72"/>
        <v>50792973.690329641</v>
      </c>
      <c r="AI192" s="38">
        <f t="shared" si="72"/>
        <v>83687834.34594661</v>
      </c>
      <c r="AJ192" s="38">
        <f t="shared" si="72"/>
        <v>46028902.945095837</v>
      </c>
      <c r="AK192" s="38">
        <f t="shared" si="72"/>
        <v>136675969.89706045</v>
      </c>
      <c r="AL192" s="38">
        <f t="shared" si="72"/>
        <v>41431285.712045461</v>
      </c>
      <c r="AM192" s="38">
        <f t="shared" si="72"/>
        <v>94644835.62057218</v>
      </c>
      <c r="AN192" s="39">
        <f>SUM(AB192:AM192)</f>
        <v>976616318.59043872</v>
      </c>
      <c r="AO192" s="39">
        <v>2395873283.7564535</v>
      </c>
    </row>
    <row r="193" spans="2:40">
      <c r="E193" s="31">
        <f>E191+E192</f>
        <v>1361321060.9282899</v>
      </c>
      <c r="F193" s="31">
        <f t="shared" ref="F193:P193" si="73">F191+F192</f>
        <v>1457536293.3454401</v>
      </c>
      <c r="G193" s="31">
        <f t="shared" si="73"/>
        <v>1910288210.405036</v>
      </c>
      <c r="H193" s="31">
        <f t="shared" si="73"/>
        <v>2082557541.0996356</v>
      </c>
      <c r="I193" s="31">
        <f t="shared" si="73"/>
        <v>1657336298.2358336</v>
      </c>
      <c r="J193" s="31">
        <f t="shared" si="73"/>
        <v>2074948807.4619067</v>
      </c>
      <c r="K193" s="31">
        <f t="shared" si="73"/>
        <v>1910731918.0060573</v>
      </c>
      <c r="L193" s="31">
        <f t="shared" si="73"/>
        <v>1589225923.1189582</v>
      </c>
      <c r="M193" s="31">
        <f t="shared" si="73"/>
        <v>1803017444.5249121</v>
      </c>
      <c r="N193" s="31">
        <f t="shared" si="73"/>
        <v>2418145979.5095325</v>
      </c>
      <c r="O193" s="31">
        <f t="shared" si="73"/>
        <v>1833721565.8899908</v>
      </c>
      <c r="P193" s="31">
        <f t="shared" si="73"/>
        <v>1698816130.6169286</v>
      </c>
      <c r="Q193" s="31">
        <f>Q191+Q192</f>
        <v>21797647173.142517</v>
      </c>
      <c r="R193" s="31"/>
      <c r="Z193" t="s">
        <v>97</v>
      </c>
      <c r="AB193" s="31">
        <f>AB191+AB192</f>
        <v>2320679271.4233284</v>
      </c>
      <c r="AC193" s="31">
        <f t="shared" ref="AC193:AM193" si="74">AC191+AC192</f>
        <v>1888992777.1302266</v>
      </c>
      <c r="AD193" s="31">
        <f t="shared" si="74"/>
        <v>1278218538.3889892</v>
      </c>
      <c r="AE193" s="31">
        <f t="shared" si="74"/>
        <v>1595451432.0046165</v>
      </c>
      <c r="AF193" s="31">
        <f t="shared" si="74"/>
        <v>1294137167.6633263</v>
      </c>
      <c r="AG193" s="31">
        <f t="shared" si="74"/>
        <v>1410550571.8212867</v>
      </c>
      <c r="AH193" s="31">
        <f t="shared" si="74"/>
        <v>2021153148.4420676</v>
      </c>
      <c r="AI193" s="31">
        <f t="shared" si="74"/>
        <v>2548333630.6013594</v>
      </c>
      <c r="AJ193" s="31">
        <f t="shared" si="74"/>
        <v>2039637530.6645737</v>
      </c>
      <c r="AK193" s="31">
        <f t="shared" si="74"/>
        <v>2333951761.5740266</v>
      </c>
      <c r="AL193" s="31">
        <f t="shared" si="74"/>
        <v>1651414519.0683894</v>
      </c>
      <c r="AM193" s="31">
        <f t="shared" si="74"/>
        <v>2069013152.87375</v>
      </c>
      <c r="AN193" s="31">
        <f>AN191+AN192</f>
        <v>22451533501.655941</v>
      </c>
    </row>
    <row r="194" spans="2:40">
      <c r="E194" s="181">
        <v>3803815205</v>
      </c>
      <c r="F194" s="181">
        <v>4425893051</v>
      </c>
      <c r="G194" s="181">
        <v>2941150671</v>
      </c>
      <c r="H194" s="181">
        <v>1898654507</v>
      </c>
      <c r="I194" s="181">
        <v>4003499103</v>
      </c>
      <c r="J194" s="72">
        <v>1805784554.7902975</v>
      </c>
      <c r="K194" s="72">
        <v>2717061157.3657265</v>
      </c>
      <c r="L194" s="72">
        <v>2645612492.960506</v>
      </c>
      <c r="M194" s="72">
        <v>3726341388.1666074</v>
      </c>
      <c r="N194" s="72">
        <v>3454398664.1731353</v>
      </c>
      <c r="O194" s="72">
        <v>3899089559.7864056</v>
      </c>
      <c r="P194" s="72">
        <v>3000338994.7974501</v>
      </c>
      <c r="Q194" s="19">
        <f>SUM(E194:P194)</f>
        <v>38321639349.040123</v>
      </c>
      <c r="R194" s="19">
        <v>41819478690</v>
      </c>
      <c r="AB194" s="72">
        <v>3803815205</v>
      </c>
      <c r="AC194" s="72">
        <v>4425893051</v>
      </c>
      <c r="AD194" s="72">
        <v>2941150671</v>
      </c>
      <c r="AE194" s="72">
        <v>1898654507</v>
      </c>
      <c r="AF194" s="72">
        <v>4003499103</v>
      </c>
      <c r="AG194" s="72"/>
      <c r="AH194" s="72"/>
      <c r="AI194" s="72"/>
      <c r="AJ194" s="72"/>
      <c r="AK194" s="72"/>
      <c r="AL194" s="72"/>
      <c r="AM194" s="72"/>
      <c r="AN194" s="19"/>
    </row>
    <row r="195" spans="2:40">
      <c r="E195" s="178">
        <v>3803815205</v>
      </c>
      <c r="F195" s="178">
        <v>4425893051</v>
      </c>
      <c r="G195" s="178">
        <v>2941150671</v>
      </c>
      <c r="H195" s="178">
        <v>1898654507</v>
      </c>
      <c r="I195" s="178">
        <v>4003499103</v>
      </c>
      <c r="J195" s="178">
        <f>ROUND(J194+$R$196,)</f>
        <v>2305475889</v>
      </c>
      <c r="K195" s="178">
        <f t="shared" ref="K195:P195" si="75">ROUND(K194+$R$196,)</f>
        <v>3216752492</v>
      </c>
      <c r="L195" s="178">
        <f t="shared" si="75"/>
        <v>3145303827</v>
      </c>
      <c r="M195" s="178">
        <f t="shared" si="75"/>
        <v>4226032723</v>
      </c>
      <c r="N195" s="178">
        <f t="shared" si="75"/>
        <v>3954089999</v>
      </c>
      <c r="O195" s="178">
        <f t="shared" si="75"/>
        <v>4398780894</v>
      </c>
      <c r="P195" s="178">
        <f t="shared" si="75"/>
        <v>3500030329</v>
      </c>
      <c r="Q195" s="19">
        <f>SUM(E195:P195)</f>
        <v>41819478690</v>
      </c>
      <c r="R195" s="19">
        <v>3497839340.9598799</v>
      </c>
      <c r="AB195" s="178"/>
      <c r="AC195" s="178"/>
      <c r="AD195" s="178"/>
      <c r="AE195" s="178"/>
      <c r="AF195" s="178"/>
      <c r="AG195" s="178"/>
      <c r="AH195" s="178"/>
      <c r="AI195" s="178"/>
      <c r="AJ195" s="178"/>
      <c r="AK195" s="178"/>
      <c r="AL195" s="178"/>
      <c r="AM195" s="178"/>
      <c r="AN195" s="19"/>
    </row>
    <row r="196" spans="2:40">
      <c r="E196" s="178"/>
      <c r="F196" s="178"/>
      <c r="G196" s="178"/>
      <c r="H196" s="178"/>
      <c r="I196" s="178"/>
      <c r="J196" s="179"/>
      <c r="K196" s="179"/>
      <c r="L196" s="179"/>
      <c r="M196" s="179"/>
      <c r="N196" s="179"/>
      <c r="O196" s="179"/>
      <c r="P196" s="179"/>
      <c r="Q196" s="19"/>
      <c r="R196" s="107">
        <f>R195/7</f>
        <v>499691334.42284</v>
      </c>
      <c r="AB196" s="178"/>
      <c r="AC196" s="178"/>
      <c r="AD196" s="178"/>
      <c r="AE196" s="178"/>
      <c r="AF196" s="178"/>
      <c r="AG196" s="178"/>
      <c r="AH196" s="178"/>
      <c r="AI196" s="178"/>
      <c r="AJ196" s="178"/>
      <c r="AK196" s="178"/>
      <c r="AL196" s="178"/>
      <c r="AM196" s="178"/>
      <c r="AN196" s="19"/>
    </row>
    <row r="197" spans="2:40"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9"/>
      <c r="AB197" s="178"/>
      <c r="AC197" s="178"/>
      <c r="AD197" s="178"/>
      <c r="AE197" s="178"/>
      <c r="AF197" s="178"/>
      <c r="AG197" s="178"/>
      <c r="AH197" s="178"/>
      <c r="AI197" s="178"/>
      <c r="AJ197" s="178"/>
      <c r="AK197" s="178"/>
      <c r="AL197" s="178"/>
      <c r="AM197" s="178"/>
      <c r="AN197" s="19"/>
    </row>
    <row r="198" spans="2:40"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R198" s="54"/>
      <c r="T198" s="39"/>
      <c r="U198" s="122"/>
      <c r="V198" s="121"/>
      <c r="W198" s="123"/>
      <c r="X198" s="120"/>
    </row>
    <row r="199" spans="2:40">
      <c r="E199" s="66">
        <f t="shared" ref="E199:P199" si="76">E8+E30+E52+E74+E98+E120+E142+E164+E172+E180</f>
        <v>32</v>
      </c>
      <c r="F199" s="66">
        <f t="shared" si="76"/>
        <v>37</v>
      </c>
      <c r="G199" s="66">
        <f t="shared" si="76"/>
        <v>159</v>
      </c>
      <c r="H199" s="66">
        <f t="shared" si="76"/>
        <v>39</v>
      </c>
      <c r="I199" s="66">
        <f t="shared" si="76"/>
        <v>34</v>
      </c>
      <c r="J199" s="66">
        <f t="shared" si="76"/>
        <v>37</v>
      </c>
      <c r="K199" s="66">
        <f t="shared" si="76"/>
        <v>35</v>
      </c>
      <c r="L199" s="66">
        <f t="shared" si="76"/>
        <v>34</v>
      </c>
      <c r="M199" s="66">
        <f t="shared" si="76"/>
        <v>37</v>
      </c>
      <c r="N199" s="66">
        <f t="shared" si="76"/>
        <v>43</v>
      </c>
      <c r="O199" s="66">
        <f t="shared" si="76"/>
        <v>37</v>
      </c>
      <c r="P199" s="66">
        <f t="shared" si="76"/>
        <v>32</v>
      </c>
      <c r="Q199" s="39">
        <f>SUM(E199:P199)</f>
        <v>556</v>
      </c>
      <c r="T199" s="39"/>
      <c r="U199" s="122"/>
      <c r="V199" s="120"/>
      <c r="W199" s="123"/>
      <c r="X199" s="120"/>
      <c r="AB199" s="66">
        <f t="shared" ref="AB199:AM199" si="77">AB8+AB30+AB52+AB98+AB120+AB142+AB164+AB172+AB180</f>
        <v>38</v>
      </c>
      <c r="AC199" s="66">
        <f t="shared" si="77"/>
        <v>37</v>
      </c>
      <c r="AD199" s="66">
        <f t="shared" si="77"/>
        <v>177</v>
      </c>
      <c r="AE199" s="66">
        <f t="shared" si="77"/>
        <v>36</v>
      </c>
      <c r="AF199" s="66">
        <f t="shared" si="77"/>
        <v>36</v>
      </c>
      <c r="AG199" s="66">
        <f t="shared" si="77"/>
        <v>33</v>
      </c>
      <c r="AH199" s="66">
        <f t="shared" si="77"/>
        <v>52</v>
      </c>
      <c r="AI199" s="66">
        <f t="shared" si="77"/>
        <v>60</v>
      </c>
      <c r="AJ199" s="66">
        <f t="shared" si="77"/>
        <v>52</v>
      </c>
      <c r="AK199" s="66">
        <f t="shared" si="77"/>
        <v>57</v>
      </c>
      <c r="AL199" s="66">
        <f t="shared" si="77"/>
        <v>52</v>
      </c>
      <c r="AM199" s="66">
        <f t="shared" si="77"/>
        <v>50</v>
      </c>
      <c r="AN199" s="39">
        <f>SUM(AB199:AM199)</f>
        <v>680</v>
      </c>
    </row>
    <row r="200" spans="2:40">
      <c r="E200" s="66">
        <f t="shared" ref="E200:P200" si="78">E9+E31+E53+E75+E99+E121+E143+E165+E173+E181</f>
        <v>263773</v>
      </c>
      <c r="F200" s="66">
        <f t="shared" si="78"/>
        <v>203390</v>
      </c>
      <c r="G200" s="66">
        <f t="shared" si="78"/>
        <v>1340528</v>
      </c>
      <c r="H200" s="66">
        <f t="shared" si="78"/>
        <v>352434.48571428569</v>
      </c>
      <c r="I200" s="66">
        <f t="shared" si="78"/>
        <v>153376.20000000001</v>
      </c>
      <c r="J200" s="66">
        <f t="shared" si="78"/>
        <v>331503.44444444444</v>
      </c>
      <c r="K200" s="66">
        <f t="shared" si="78"/>
        <v>170593.35</v>
      </c>
      <c r="L200" s="66">
        <f t="shared" si="78"/>
        <v>258839.47222222222</v>
      </c>
      <c r="M200" s="66">
        <f t="shared" si="78"/>
        <v>185360</v>
      </c>
      <c r="N200" s="66">
        <f t="shared" si="78"/>
        <v>366087.6333333333</v>
      </c>
      <c r="O200" s="66">
        <f t="shared" si="78"/>
        <v>172938.65</v>
      </c>
      <c r="P200" s="66">
        <f t="shared" si="78"/>
        <v>274917.8</v>
      </c>
      <c r="Q200" s="39">
        <f t="shared" ref="Q200:Q205" si="79">SUM(E200:P200)</f>
        <v>4073742.0357142854</v>
      </c>
      <c r="AB200" s="66">
        <f t="shared" ref="AB200:AM200" si="80">AB9+AB31+AB53+AB99+AB121+AB143+AB165+AB173+AB181</f>
        <v>228260</v>
      </c>
      <c r="AC200" s="66">
        <f t="shared" si="80"/>
        <v>164061</v>
      </c>
      <c r="AD200" s="66">
        <f t="shared" si="80"/>
        <v>1393196.2307692308</v>
      </c>
      <c r="AE200" s="66">
        <f t="shared" si="80"/>
        <v>318287</v>
      </c>
      <c r="AF200" s="66">
        <f t="shared" si="80"/>
        <v>126855</v>
      </c>
      <c r="AG200" s="66">
        <f t="shared" si="80"/>
        <v>305794</v>
      </c>
      <c r="AH200" s="66">
        <f t="shared" si="80"/>
        <v>185268</v>
      </c>
      <c r="AI200" s="66">
        <f t="shared" si="80"/>
        <v>285324</v>
      </c>
      <c r="AJ200" s="66">
        <f t="shared" si="80"/>
        <v>188020</v>
      </c>
      <c r="AK200" s="66">
        <f t="shared" si="80"/>
        <v>373230</v>
      </c>
      <c r="AL200" s="66">
        <f t="shared" si="80"/>
        <v>178369</v>
      </c>
      <c r="AM200" s="66">
        <f t="shared" si="80"/>
        <v>288530</v>
      </c>
      <c r="AN200" s="39">
        <f t="shared" ref="AN200:AN205" si="81">SUM(AB200:AM200)</f>
        <v>4035194.230769231</v>
      </c>
    </row>
    <row r="201" spans="2:40">
      <c r="B201" t="s">
        <v>100</v>
      </c>
      <c r="C201" s="40" t="s">
        <v>20</v>
      </c>
      <c r="E201" s="66">
        <f t="shared" ref="E201:P201" si="82">E16+E34+E64+E76+E102+E122+E146+E166+E174+E182</f>
        <v>154.98560000000001</v>
      </c>
      <c r="F201" s="66">
        <f t="shared" si="82"/>
        <v>179.2021</v>
      </c>
      <c r="G201" s="66">
        <f t="shared" si="82"/>
        <v>140.45570000000001</v>
      </c>
      <c r="H201" s="66">
        <f t="shared" si="82"/>
        <v>188.8887</v>
      </c>
      <c r="I201" s="66">
        <f t="shared" si="82"/>
        <v>164.6722</v>
      </c>
      <c r="J201" s="66">
        <f t="shared" si="82"/>
        <v>179.20210000000003</v>
      </c>
      <c r="K201" s="66">
        <f t="shared" si="82"/>
        <v>169.5155</v>
      </c>
      <c r="L201" s="66">
        <f t="shared" si="82"/>
        <v>164.6722</v>
      </c>
      <c r="M201" s="66">
        <f t="shared" si="82"/>
        <v>179.2021</v>
      </c>
      <c r="N201" s="66">
        <f t="shared" si="82"/>
        <v>208.26190000000003</v>
      </c>
      <c r="O201" s="66">
        <f t="shared" si="82"/>
        <v>179.2021</v>
      </c>
      <c r="P201" s="66">
        <f t="shared" si="82"/>
        <v>154.98560000000001</v>
      </c>
      <c r="Q201" s="39">
        <f t="shared" si="79"/>
        <v>2063.2458000000001</v>
      </c>
      <c r="AB201" s="66">
        <f t="shared" ref="AB201:AM201" si="83">AB16+AB34+AB64+AB102+AB122+AB146+AB166+AB174+AB182</f>
        <v>173.900958</v>
      </c>
      <c r="AC201" s="66">
        <f t="shared" si="83"/>
        <v>169.32461699999999</v>
      </c>
      <c r="AD201" s="66">
        <f t="shared" si="83"/>
        <v>169.32461700000002</v>
      </c>
      <c r="AE201" s="66">
        <f t="shared" si="83"/>
        <v>164.748276</v>
      </c>
      <c r="AF201" s="66">
        <f t="shared" si="83"/>
        <v>164.748276</v>
      </c>
      <c r="AG201" s="66">
        <f t="shared" si="83"/>
        <v>151.01925299999999</v>
      </c>
      <c r="AH201" s="66">
        <f t="shared" si="83"/>
        <v>237.96973200000002</v>
      </c>
      <c r="AI201" s="66">
        <f t="shared" si="83"/>
        <v>274.58046000000002</v>
      </c>
      <c r="AJ201" s="66">
        <f t="shared" si="83"/>
        <v>237.96973200000002</v>
      </c>
      <c r="AK201" s="66">
        <f t="shared" si="83"/>
        <v>260.85143700000003</v>
      </c>
      <c r="AL201" s="66">
        <f t="shared" si="83"/>
        <v>237.96973200000002</v>
      </c>
      <c r="AM201" s="66">
        <f t="shared" si="83"/>
        <v>228.81704999999999</v>
      </c>
      <c r="AN201" s="39">
        <f t="shared" si="81"/>
        <v>2471.2241400000007</v>
      </c>
    </row>
    <row r="202" spans="2:40">
      <c r="C202" s="40" t="s">
        <v>21</v>
      </c>
      <c r="E202" s="66">
        <f t="shared" ref="E202:P202" si="84">E17+E35+E65+E77+E103+E123+E147+E167+E175+E183</f>
        <v>1277531.7709000001</v>
      </c>
      <c r="F202" s="66">
        <f t="shared" si="84"/>
        <v>985078.78700000001</v>
      </c>
      <c r="G202" s="66">
        <f t="shared" si="84"/>
        <v>1319770.1902000001</v>
      </c>
      <c r="H202" s="66">
        <f t="shared" si="84"/>
        <v>1706945.94466</v>
      </c>
      <c r="I202" s="66">
        <f t="shared" si="84"/>
        <v>742846.94946000003</v>
      </c>
      <c r="J202" s="66">
        <f t="shared" si="84"/>
        <v>1605570.6324777778</v>
      </c>
      <c r="K202" s="66">
        <f t="shared" si="84"/>
        <v>826234.77205500007</v>
      </c>
      <c r="L202" s="66">
        <f t="shared" si="84"/>
        <v>1253637.2158138889</v>
      </c>
      <c r="M202" s="66">
        <f t="shared" si="84"/>
        <v>897754.08799999999</v>
      </c>
      <c r="N202" s="66">
        <f t="shared" si="84"/>
        <v>1773072.2345233334</v>
      </c>
      <c r="O202" s="66">
        <f t="shared" si="84"/>
        <v>837593.76354499999</v>
      </c>
      <c r="P202" s="66">
        <f t="shared" si="84"/>
        <v>1331509.3807399999</v>
      </c>
      <c r="Q202" s="39">
        <f t="shared" si="79"/>
        <v>14557545.729374999</v>
      </c>
      <c r="T202" s="39"/>
      <c r="U202" s="39"/>
      <c r="V202" s="39"/>
      <c r="W202" s="39"/>
      <c r="X202" s="39"/>
      <c r="Y202" s="39"/>
      <c r="AB202" s="66">
        <f t="shared" ref="AB202:AM202" si="85">AB17+AB35+AB65+AB103+AB123+AB147+AB167+AB175+AB183</f>
        <v>1044595.59666</v>
      </c>
      <c r="AC202" s="66">
        <f t="shared" si="85"/>
        <v>750799.080801</v>
      </c>
      <c r="AD202" s="66">
        <f t="shared" si="85"/>
        <v>1300065.2566440003</v>
      </c>
      <c r="AE202" s="66">
        <f t="shared" si="85"/>
        <v>1456589.8478670001</v>
      </c>
      <c r="AF202" s="66">
        <f t="shared" si="85"/>
        <v>580531.737555</v>
      </c>
      <c r="AG202" s="66">
        <f t="shared" si="85"/>
        <v>1399417.6197540001</v>
      </c>
      <c r="AH202" s="66">
        <f t="shared" si="85"/>
        <v>847849.54438800015</v>
      </c>
      <c r="AI202" s="66">
        <f t="shared" si="85"/>
        <v>1305739.9194840002</v>
      </c>
      <c r="AJ202" s="66">
        <f t="shared" si="85"/>
        <v>860443.63482000004</v>
      </c>
      <c r="AK202" s="66">
        <f t="shared" si="85"/>
        <v>1708027.7514300002</v>
      </c>
      <c r="AL202" s="66">
        <f t="shared" si="85"/>
        <v>816277.367829</v>
      </c>
      <c r="AM202" s="66">
        <f t="shared" si="85"/>
        <v>1320411.66873</v>
      </c>
      <c r="AN202" s="39">
        <f t="shared" si="81"/>
        <v>13390749.025962003</v>
      </c>
    </row>
    <row r="203" spans="2:40">
      <c r="E203" s="66">
        <f t="shared" ref="E203:P203" si="86">E26+E48+E70+E92+E116+E138+E160+E176+E184</f>
        <v>1256288795.5618</v>
      </c>
      <c r="F203" s="66">
        <f t="shared" si="86"/>
        <v>1408659836.9228001</v>
      </c>
      <c r="G203" s="66">
        <f t="shared" si="86"/>
        <v>1796390082.8104</v>
      </c>
      <c r="H203" s="66">
        <f t="shared" si="86"/>
        <v>1939398395.6424</v>
      </c>
      <c r="I203" s="66">
        <f t="shared" si="86"/>
        <v>1619478544.0526001</v>
      </c>
      <c r="J203" s="66">
        <f t="shared" si="86"/>
        <v>1954700511.3944001</v>
      </c>
      <c r="K203" s="66">
        <f t="shared" si="86"/>
        <v>1857478141.3803999</v>
      </c>
      <c r="L203" s="66">
        <f t="shared" si="86"/>
        <v>1501562215.8152001</v>
      </c>
      <c r="M203" s="66">
        <f t="shared" si="86"/>
        <v>1754394419.3930001</v>
      </c>
      <c r="N203" s="66">
        <f t="shared" si="86"/>
        <v>2273741546.1992002</v>
      </c>
      <c r="O203" s="66">
        <f t="shared" si="86"/>
        <v>1790059221.335</v>
      </c>
      <c r="P203" s="66">
        <f t="shared" si="86"/>
        <v>1599115857.8626001</v>
      </c>
      <c r="Q203" s="39">
        <f t="shared" si="79"/>
        <v>20751267568.369797</v>
      </c>
      <c r="T203" s="39"/>
      <c r="U203" s="39"/>
      <c r="V203" s="39"/>
      <c r="W203" s="39"/>
      <c r="X203" s="39"/>
      <c r="Y203" s="39"/>
      <c r="AB203" s="66">
        <f t="shared" ref="AB203:AM203" si="87">AB26+AB48+AB70+AB116+AB138+AB160+AB176+AB184</f>
        <v>2232101316.5109124</v>
      </c>
      <c r="AC203" s="66">
        <f t="shared" si="87"/>
        <v>1844081033.068428</v>
      </c>
      <c r="AD203" s="66">
        <f t="shared" si="87"/>
        <v>1170223927.7370181</v>
      </c>
      <c r="AE203" s="66">
        <f t="shared" si="87"/>
        <v>1461286015.7797441</v>
      </c>
      <c r="AF203" s="66">
        <f t="shared" si="87"/>
        <v>1259222722.0525262</v>
      </c>
      <c r="AG203" s="66">
        <f t="shared" si="87"/>
        <v>1297760226.9037564</v>
      </c>
      <c r="AH203" s="66">
        <f t="shared" si="87"/>
        <v>1970360174.7517381</v>
      </c>
      <c r="AI203" s="66">
        <f t="shared" si="87"/>
        <v>2464645796.2554126</v>
      </c>
      <c r="AJ203" s="66">
        <f t="shared" si="87"/>
        <v>1993608627.7194779</v>
      </c>
      <c r="AK203" s="66">
        <f t="shared" si="87"/>
        <v>2197275791.6769662</v>
      </c>
      <c r="AL203" s="66">
        <f t="shared" si="87"/>
        <v>1609983233.356344</v>
      </c>
      <c r="AM203" s="66">
        <f t="shared" si="87"/>
        <v>1974368317.2531779</v>
      </c>
      <c r="AN203" s="39">
        <f t="shared" si="81"/>
        <v>21474917183.065502</v>
      </c>
    </row>
    <row r="204" spans="2:40">
      <c r="E204" s="66">
        <f t="shared" ref="E204:P204" si="88">E27+E49+E71+E93+E117+E139+E161+E177+E185</f>
        <v>105032265.36648999</v>
      </c>
      <c r="F204" s="66">
        <f t="shared" si="88"/>
        <v>48876456.422639996</v>
      </c>
      <c r="G204" s="66">
        <f t="shared" si="88"/>
        <v>113898127.59463601</v>
      </c>
      <c r="H204" s="66">
        <f t="shared" si="88"/>
        <v>143159145.4572356</v>
      </c>
      <c r="I204" s="66">
        <f t="shared" si="88"/>
        <v>37857754.183233604</v>
      </c>
      <c r="J204" s="66">
        <f t="shared" si="88"/>
        <v>120248296.06750646</v>
      </c>
      <c r="K204" s="66">
        <f t="shared" si="88"/>
        <v>53253776.625657298</v>
      </c>
      <c r="L204" s="66">
        <f t="shared" si="88"/>
        <v>87663707.303758055</v>
      </c>
      <c r="M204" s="66">
        <f t="shared" si="88"/>
        <v>48623025.131912</v>
      </c>
      <c r="N204" s="66">
        <f t="shared" si="88"/>
        <v>144404433.31033209</v>
      </c>
      <c r="O204" s="66">
        <f t="shared" si="88"/>
        <v>43662344.554990701</v>
      </c>
      <c r="P204" s="66">
        <f t="shared" si="88"/>
        <v>99700272.754328415</v>
      </c>
      <c r="Q204" s="39">
        <f t="shared" si="79"/>
        <v>1046379604.7727201</v>
      </c>
      <c r="Y204" s="39"/>
      <c r="AB204" s="66">
        <f t="shared" ref="AB204:AM204" si="89">AB27+AB49+AB71+AB117+AB139+AB161+AB177+AB185</f>
        <v>88577954.912416205</v>
      </c>
      <c r="AC204" s="66">
        <f t="shared" si="89"/>
        <v>44911744.061798461</v>
      </c>
      <c r="AD204" s="66">
        <f t="shared" si="89"/>
        <v>107994610.65197115</v>
      </c>
      <c r="AE204" s="66">
        <f t="shared" si="89"/>
        <v>134165416.22487234</v>
      </c>
      <c r="AF204" s="66">
        <f t="shared" si="89"/>
        <v>34914445.61080014</v>
      </c>
      <c r="AG204" s="66">
        <f t="shared" si="89"/>
        <v>112790344.91753031</v>
      </c>
      <c r="AH204" s="66">
        <f t="shared" si="89"/>
        <v>50792973.690329641</v>
      </c>
      <c r="AI204" s="66">
        <f t="shared" si="89"/>
        <v>83687834.34594661</v>
      </c>
      <c r="AJ204" s="66">
        <f t="shared" si="89"/>
        <v>46028902.945095837</v>
      </c>
      <c r="AK204" s="66">
        <f t="shared" si="89"/>
        <v>136675969.89706045</v>
      </c>
      <c r="AL204" s="66">
        <f t="shared" si="89"/>
        <v>41431285.712045461</v>
      </c>
      <c r="AM204" s="66">
        <f t="shared" si="89"/>
        <v>94644835.62057218</v>
      </c>
      <c r="AN204" s="39">
        <f t="shared" si="81"/>
        <v>976616318.59043872</v>
      </c>
    </row>
    <row r="205" spans="2:40">
      <c r="E205" s="39">
        <f>E203+E204</f>
        <v>1361321060.9282899</v>
      </c>
      <c r="F205" s="39">
        <f t="shared" ref="F205:P205" si="90">F203+F204</f>
        <v>1457536293.3454401</v>
      </c>
      <c r="G205" s="39">
        <f t="shared" si="90"/>
        <v>1910288210.405036</v>
      </c>
      <c r="H205" s="39">
        <f t="shared" si="90"/>
        <v>2082557541.0996356</v>
      </c>
      <c r="I205" s="39">
        <f t="shared" si="90"/>
        <v>1657336298.2358336</v>
      </c>
      <c r="J205" s="39">
        <f t="shared" si="90"/>
        <v>2074948807.4619067</v>
      </c>
      <c r="K205" s="39">
        <f t="shared" si="90"/>
        <v>1910731918.0060573</v>
      </c>
      <c r="L205" s="39">
        <f t="shared" si="90"/>
        <v>1589225923.1189582</v>
      </c>
      <c r="M205" s="39">
        <f t="shared" si="90"/>
        <v>1803017444.5249121</v>
      </c>
      <c r="N205" s="39">
        <f t="shared" si="90"/>
        <v>2418145979.5095325</v>
      </c>
      <c r="O205" s="39">
        <f t="shared" si="90"/>
        <v>1833721565.8899908</v>
      </c>
      <c r="P205" s="39">
        <f t="shared" si="90"/>
        <v>1698816130.6169286</v>
      </c>
      <c r="Q205" s="39">
        <f t="shared" si="79"/>
        <v>21797647173.142521</v>
      </c>
      <c r="AB205" s="39">
        <f>AB203+AB204</f>
        <v>2320679271.4233284</v>
      </c>
      <c r="AC205" s="39">
        <f t="shared" ref="AC205:AM205" si="91">AC203+AC204</f>
        <v>1888992777.1302266</v>
      </c>
      <c r="AD205" s="39">
        <f t="shared" si="91"/>
        <v>1278218538.3889892</v>
      </c>
      <c r="AE205" s="39">
        <f t="shared" si="91"/>
        <v>1595451432.0046165</v>
      </c>
      <c r="AF205" s="39">
        <f t="shared" si="91"/>
        <v>1294137167.6633263</v>
      </c>
      <c r="AG205" s="39">
        <f t="shared" si="91"/>
        <v>1410550571.8212867</v>
      </c>
      <c r="AH205" s="39">
        <f t="shared" si="91"/>
        <v>2021153148.4420676</v>
      </c>
      <c r="AI205" s="39">
        <f t="shared" si="91"/>
        <v>2548333630.6013594</v>
      </c>
      <c r="AJ205" s="39">
        <f t="shared" si="91"/>
        <v>2039637530.6645737</v>
      </c>
      <c r="AK205" s="39">
        <f t="shared" si="91"/>
        <v>2333951761.5740266</v>
      </c>
      <c r="AL205" s="39">
        <f t="shared" si="91"/>
        <v>1651414519.0683894</v>
      </c>
      <c r="AM205" s="39">
        <f t="shared" si="91"/>
        <v>2069013152.87375</v>
      </c>
      <c r="AN205" s="39">
        <f t="shared" si="81"/>
        <v>22451533501.655941</v>
      </c>
    </row>
    <row r="206" spans="2:40">
      <c r="Q206" s="39"/>
    </row>
    <row r="211" spans="2:39">
      <c r="B211" t="s">
        <v>100</v>
      </c>
      <c r="C211" t="s">
        <v>135</v>
      </c>
      <c r="E211" s="39">
        <f t="shared" ref="E211:P211" si="92">E16+E34+E64</f>
        <v>33.903100000000002</v>
      </c>
      <c r="F211" s="39">
        <f t="shared" si="92"/>
        <v>33.903100000000002</v>
      </c>
      <c r="G211" s="39">
        <f t="shared" si="92"/>
        <v>53.276299999999999</v>
      </c>
      <c r="H211" s="39">
        <f t="shared" si="92"/>
        <v>53.276300000000006</v>
      </c>
      <c r="I211" s="39">
        <f t="shared" si="92"/>
        <v>43.589700000000008</v>
      </c>
      <c r="J211" s="39">
        <f t="shared" si="92"/>
        <v>53.276300000000006</v>
      </c>
      <c r="K211" s="39">
        <f t="shared" si="92"/>
        <v>53.276299999999999</v>
      </c>
      <c r="L211" s="39">
        <f t="shared" si="92"/>
        <v>38.746400000000001</v>
      </c>
      <c r="M211" s="39">
        <f t="shared" si="92"/>
        <v>48.433</v>
      </c>
      <c r="N211" s="39">
        <f t="shared" si="92"/>
        <v>62.962900000000005</v>
      </c>
      <c r="O211" s="39">
        <f t="shared" si="92"/>
        <v>48.433000000000007</v>
      </c>
      <c r="P211" s="39">
        <f t="shared" si="92"/>
        <v>43.589700000000008</v>
      </c>
      <c r="Z211" t="s">
        <v>135</v>
      </c>
      <c r="AB211" s="39">
        <f t="shared" ref="AB211:AM211" si="93">AB16+AB34+AB64</f>
        <v>64.068774000000005</v>
      </c>
      <c r="AC211" s="39">
        <f t="shared" si="93"/>
        <v>50.339751000000007</v>
      </c>
      <c r="AD211" s="39">
        <f t="shared" si="93"/>
        <v>27.458046000000003</v>
      </c>
      <c r="AE211" s="39">
        <f t="shared" si="93"/>
        <v>36.610728000000002</v>
      </c>
      <c r="AF211" s="39">
        <f t="shared" si="93"/>
        <v>32.034387000000002</v>
      </c>
      <c r="AG211" s="39">
        <f t="shared" si="93"/>
        <v>32.034387000000002</v>
      </c>
      <c r="AH211" s="39">
        <f t="shared" si="93"/>
        <v>50.339751000000007</v>
      </c>
      <c r="AI211" s="39">
        <f t="shared" si="93"/>
        <v>64.068774000000005</v>
      </c>
      <c r="AJ211" s="39">
        <f t="shared" si="93"/>
        <v>50.339751000000007</v>
      </c>
      <c r="AK211" s="39">
        <f t="shared" si="93"/>
        <v>54.916092000000006</v>
      </c>
      <c r="AL211" s="39">
        <f t="shared" si="93"/>
        <v>36.610728000000002</v>
      </c>
      <c r="AM211" s="39">
        <f t="shared" si="93"/>
        <v>50.339751000000007</v>
      </c>
    </row>
    <row r="212" spans="2:39">
      <c r="E212" s="39">
        <f t="shared" ref="E212:P212" si="94">E17+E35+E65</f>
        <v>863114.8064</v>
      </c>
      <c r="F212" s="39">
        <f t="shared" si="94"/>
        <v>460743.12899999996</v>
      </c>
      <c r="G212" s="39">
        <f t="shared" si="94"/>
        <v>944840.65060000005</v>
      </c>
      <c r="H212" s="39">
        <f t="shared" si="94"/>
        <v>1262489.8648999999</v>
      </c>
      <c r="I212" s="39">
        <f t="shared" si="94"/>
        <v>300238.58864999999</v>
      </c>
      <c r="J212" s="39">
        <f t="shared" si="94"/>
        <v>1090926.4177777779</v>
      </c>
      <c r="K212" s="39">
        <f t="shared" si="94"/>
        <v>430996.79122499999</v>
      </c>
      <c r="L212" s="39">
        <f t="shared" si="94"/>
        <v>792379.4861888889</v>
      </c>
      <c r="M212" s="39">
        <f t="shared" si="94"/>
        <v>384829.24479999999</v>
      </c>
      <c r="N212" s="39">
        <f t="shared" si="94"/>
        <v>1297449.0349333333</v>
      </c>
      <c r="O212" s="39">
        <f t="shared" si="94"/>
        <v>346406.135075</v>
      </c>
      <c r="P212" s="39">
        <f t="shared" si="94"/>
        <v>895640.7947666666</v>
      </c>
      <c r="AB212" s="39">
        <f t="shared" ref="AB212:AM212" si="95">AB17+AB35+AB65</f>
        <v>835662.74830500013</v>
      </c>
      <c r="AC212" s="39">
        <f t="shared" si="95"/>
        <v>435347.31933000003</v>
      </c>
      <c r="AD212" s="39">
        <f t="shared" si="95"/>
        <v>892761.75496200006</v>
      </c>
      <c r="AE212" s="39">
        <f t="shared" si="95"/>
        <v>1192905.655788</v>
      </c>
      <c r="AF212" s="39">
        <f t="shared" si="95"/>
        <v>283691.95493100001</v>
      </c>
      <c r="AG212" s="39">
        <f t="shared" si="95"/>
        <v>1030802.5048860001</v>
      </c>
      <c r="AH212" s="39">
        <f t="shared" si="95"/>
        <v>407244.00924900005</v>
      </c>
      <c r="AI212" s="39">
        <f t="shared" si="95"/>
        <v>748707.69296400005</v>
      </c>
      <c r="AJ212" s="39">
        <f t="shared" si="95"/>
        <v>363617.75049600005</v>
      </c>
      <c r="AK212" s="39">
        <f t="shared" si="95"/>
        <v>1225937.6851260001</v>
      </c>
      <c r="AL212" s="39">
        <f t="shared" si="95"/>
        <v>327313.63734299998</v>
      </c>
      <c r="AM212" s="39">
        <f t="shared" si="95"/>
        <v>846275.283084</v>
      </c>
    </row>
    <row r="213" spans="2:39">
      <c r="C213" t="s">
        <v>136</v>
      </c>
      <c r="E213" s="39">
        <f t="shared" ref="E213:P213" si="96">E102+E122+E146+E166+E174+E182</f>
        <v>121.08250000000001</v>
      </c>
      <c r="F213" s="39">
        <f t="shared" si="96"/>
        <v>145.29900000000001</v>
      </c>
      <c r="G213" s="39">
        <f t="shared" si="96"/>
        <v>87.179400000000015</v>
      </c>
      <c r="H213" s="39">
        <f t="shared" si="96"/>
        <v>135.61240000000001</v>
      </c>
      <c r="I213" s="39">
        <f t="shared" si="96"/>
        <v>121.08250000000001</v>
      </c>
      <c r="J213" s="39">
        <f t="shared" si="96"/>
        <v>125.92580000000001</v>
      </c>
      <c r="K213" s="39">
        <f t="shared" si="96"/>
        <v>116.23920000000001</v>
      </c>
      <c r="L213" s="39">
        <f t="shared" si="96"/>
        <v>125.92580000000001</v>
      </c>
      <c r="M213" s="39">
        <f t="shared" si="96"/>
        <v>130.76910000000001</v>
      </c>
      <c r="N213" s="39">
        <f t="shared" si="96"/>
        <v>145.29900000000001</v>
      </c>
      <c r="O213" s="39">
        <f t="shared" si="96"/>
        <v>130.76910000000001</v>
      </c>
      <c r="P213" s="39">
        <f t="shared" si="96"/>
        <v>111.39590000000001</v>
      </c>
      <c r="Z213" t="s">
        <v>136</v>
      </c>
      <c r="AB213" s="39">
        <f t="shared" ref="AB213:AM213" si="97">AB102+AB122+AB146+AB166+AB174+AB182</f>
        <v>109.832184</v>
      </c>
      <c r="AC213" s="39">
        <f t="shared" si="97"/>
        <v>118.984866</v>
      </c>
      <c r="AD213" s="39">
        <f t="shared" si="97"/>
        <v>141.86657100000002</v>
      </c>
      <c r="AE213" s="39">
        <f t="shared" si="97"/>
        <v>128.13754800000001</v>
      </c>
      <c r="AF213" s="39">
        <f t="shared" si="97"/>
        <v>132.71388899999999</v>
      </c>
      <c r="AG213" s="39">
        <f t="shared" si="97"/>
        <v>118.98486600000001</v>
      </c>
      <c r="AH213" s="39">
        <f t="shared" si="97"/>
        <v>187.62998100000002</v>
      </c>
      <c r="AI213" s="39">
        <f t="shared" si="97"/>
        <v>210.511686</v>
      </c>
      <c r="AJ213" s="39">
        <f t="shared" si="97"/>
        <v>187.62998100000002</v>
      </c>
      <c r="AK213" s="39">
        <f t="shared" si="97"/>
        <v>205.93534500000001</v>
      </c>
      <c r="AL213" s="39">
        <f t="shared" si="97"/>
        <v>201.35900400000003</v>
      </c>
      <c r="AM213" s="39">
        <f t="shared" si="97"/>
        <v>178.47729900000002</v>
      </c>
    </row>
    <row r="214" spans="2:39">
      <c r="E214" s="39">
        <f t="shared" ref="E214:P214" si="98">E103+E123+E147+E167+E175+E183</f>
        <v>414416.96450000006</v>
      </c>
      <c r="F214" s="39">
        <f t="shared" si="98"/>
        <v>524335.65800000005</v>
      </c>
      <c r="G214" s="39">
        <f t="shared" si="98"/>
        <v>374929.53960000002</v>
      </c>
      <c r="H214" s="39">
        <f t="shared" si="98"/>
        <v>444456.07975999999</v>
      </c>
      <c r="I214" s="39">
        <f t="shared" si="98"/>
        <v>442608.36081000004</v>
      </c>
      <c r="J214" s="39">
        <f t="shared" si="98"/>
        <v>514644.21470000001</v>
      </c>
      <c r="K214" s="39">
        <f t="shared" si="98"/>
        <v>395237.98083000001</v>
      </c>
      <c r="L214" s="39">
        <f t="shared" si="98"/>
        <v>461257.72962500004</v>
      </c>
      <c r="M214" s="39">
        <f t="shared" si="98"/>
        <v>512924.8432</v>
      </c>
      <c r="N214" s="39">
        <f t="shared" si="98"/>
        <v>475623.19958999997</v>
      </c>
      <c r="O214" s="39">
        <f t="shared" si="98"/>
        <v>491187.62847000005</v>
      </c>
      <c r="P214" s="39">
        <f t="shared" si="98"/>
        <v>435868.58597333333</v>
      </c>
      <c r="AB214" s="39">
        <f t="shared" ref="AB214:AM214" si="99">AB103+AB123+AB147+AB167+AB175+AB183</f>
        <v>208932.84835500002</v>
      </c>
      <c r="AC214" s="39">
        <f t="shared" si="99"/>
        <v>315451.76147100003</v>
      </c>
      <c r="AD214" s="39">
        <f t="shared" si="99"/>
        <v>407303.501682</v>
      </c>
      <c r="AE214" s="39">
        <f t="shared" si="99"/>
        <v>263684.19207900006</v>
      </c>
      <c r="AF214" s="39">
        <f t="shared" si="99"/>
        <v>296839.78262399998</v>
      </c>
      <c r="AG214" s="39">
        <f t="shared" si="99"/>
        <v>368615.11486800003</v>
      </c>
      <c r="AH214" s="39">
        <f t="shared" si="99"/>
        <v>440605.53513900004</v>
      </c>
      <c r="AI214" s="39">
        <f t="shared" si="99"/>
        <v>557032.22652000003</v>
      </c>
      <c r="AJ214" s="39">
        <f t="shared" si="99"/>
        <v>496825.88432400004</v>
      </c>
      <c r="AK214" s="39">
        <f t="shared" si="99"/>
        <v>482090.06630400004</v>
      </c>
      <c r="AL214" s="39">
        <f t="shared" si="99"/>
        <v>488963.73048600001</v>
      </c>
      <c r="AM214" s="39">
        <f t="shared" si="99"/>
        <v>474136.38564600004</v>
      </c>
    </row>
  </sheetData>
  <mergeCells count="2">
    <mergeCell ref="C5:P5"/>
    <mergeCell ref="Z5:AM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7889-5015-4345-9C79-36C48BD92500}">
  <sheetPr>
    <tabColor rgb="FF92D050"/>
    <outlinePr summaryBelow="0" summaryRight="0"/>
  </sheetPr>
  <dimension ref="A1:AK1009"/>
  <sheetViews>
    <sheetView showGridLines="0" topLeftCell="F54" workbookViewId="0">
      <selection activeCell="L78" sqref="L78"/>
    </sheetView>
  </sheetViews>
  <sheetFormatPr defaultColWidth="14.44140625" defaultRowHeight="15" customHeight="1"/>
  <cols>
    <col min="1" max="2" width="14.44140625" style="226"/>
    <col min="3" max="3" width="19.33203125" style="226" bestFit="1" customWidth="1"/>
    <col min="4" max="4" width="14.44140625" style="226"/>
    <col min="5" max="16" width="15.77734375" style="226" customWidth="1"/>
    <col min="17" max="17" width="16.33203125" style="226" bestFit="1" customWidth="1"/>
    <col min="18" max="23" width="14.44140625" style="226"/>
    <col min="24" max="35" width="15.77734375" style="226" customWidth="1"/>
    <col min="36" max="36" width="16.33203125" style="226" bestFit="1" customWidth="1"/>
    <col min="37" max="16384" width="14.44140625" style="226"/>
  </cols>
  <sheetData>
    <row r="1" spans="1:37">
      <c r="A1" s="224"/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5"/>
    </row>
    <row r="2" spans="1:37">
      <c r="A2" s="224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5"/>
    </row>
    <row r="3" spans="1:37">
      <c r="A3" s="224"/>
      <c r="B3" s="224"/>
      <c r="C3" s="224"/>
      <c r="D3" s="224"/>
      <c r="E3" s="224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5"/>
    </row>
    <row r="4" spans="1:37">
      <c r="A4" s="224"/>
      <c r="B4" s="224"/>
      <c r="C4" s="224"/>
      <c r="D4" s="224"/>
      <c r="E4" s="224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5"/>
    </row>
    <row r="5" spans="1:37">
      <c r="A5" s="228"/>
      <c r="B5" s="228"/>
      <c r="C5" s="229" t="s">
        <v>172</v>
      </c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30"/>
      <c r="T5" s="228"/>
      <c r="U5" s="228"/>
      <c r="V5" s="229" t="s">
        <v>108</v>
      </c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30"/>
    </row>
    <row r="6" spans="1:37">
      <c r="A6" s="224"/>
      <c r="B6" s="224"/>
      <c r="C6" s="224"/>
      <c r="D6" s="224"/>
      <c r="E6" s="231" t="s">
        <v>173</v>
      </c>
      <c r="F6" s="231" t="s">
        <v>174</v>
      </c>
      <c r="G6" s="231" t="s">
        <v>175</v>
      </c>
      <c r="H6" s="231" t="s">
        <v>176</v>
      </c>
      <c r="I6" s="231" t="s">
        <v>42</v>
      </c>
      <c r="J6" s="231" t="s">
        <v>177</v>
      </c>
      <c r="K6" s="231" t="s">
        <v>178</v>
      </c>
      <c r="L6" s="231" t="s">
        <v>179</v>
      </c>
      <c r="M6" s="231" t="s">
        <v>180</v>
      </c>
      <c r="N6" s="231" t="s">
        <v>181</v>
      </c>
      <c r="O6" s="231" t="s">
        <v>182</v>
      </c>
      <c r="P6" s="231" t="s">
        <v>183</v>
      </c>
      <c r="Q6" s="225" t="s">
        <v>130</v>
      </c>
      <c r="T6" s="224"/>
      <c r="U6" s="224"/>
      <c r="V6" s="224"/>
      <c r="W6" s="224"/>
      <c r="X6" s="231" t="s">
        <v>173</v>
      </c>
      <c r="Y6" s="231" t="s">
        <v>174</v>
      </c>
      <c r="Z6" s="231" t="s">
        <v>175</v>
      </c>
      <c r="AA6" s="231" t="s">
        <v>176</v>
      </c>
      <c r="AB6" s="231" t="s">
        <v>42</v>
      </c>
      <c r="AC6" s="231" t="s">
        <v>177</v>
      </c>
      <c r="AD6" s="231" t="s">
        <v>178</v>
      </c>
      <c r="AE6" s="231" t="s">
        <v>179</v>
      </c>
      <c r="AF6" s="231" t="s">
        <v>180</v>
      </c>
      <c r="AG6" s="231" t="s">
        <v>181</v>
      </c>
      <c r="AH6" s="231" t="s">
        <v>182</v>
      </c>
      <c r="AI6" s="231" t="s">
        <v>183</v>
      </c>
      <c r="AJ6" s="232" t="s">
        <v>130</v>
      </c>
      <c r="AK6" s="233">
        <v>0.04</v>
      </c>
    </row>
    <row r="7" spans="1:37">
      <c r="A7" s="224"/>
      <c r="B7" s="224"/>
      <c r="C7" s="234" t="s">
        <v>184</v>
      </c>
      <c r="D7" s="235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7"/>
      <c r="T7" s="224"/>
      <c r="U7" s="224"/>
      <c r="V7" s="234" t="s">
        <v>184</v>
      </c>
      <c r="W7" s="235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8"/>
    </row>
    <row r="8" spans="1:37">
      <c r="A8" s="224" t="s">
        <v>185</v>
      </c>
      <c r="B8" s="224"/>
      <c r="C8" s="234" t="s">
        <v>51</v>
      </c>
      <c r="D8" s="234" t="s">
        <v>123</v>
      </c>
      <c r="E8" s="242">
        <v>7</v>
      </c>
      <c r="F8" s="242">
        <v>4</v>
      </c>
      <c r="G8" s="242">
        <v>9</v>
      </c>
      <c r="H8" s="242">
        <v>8</v>
      </c>
      <c r="I8" s="242">
        <v>6</v>
      </c>
      <c r="J8" s="242">
        <v>7</v>
      </c>
      <c r="K8" s="242">
        <v>9</v>
      </c>
      <c r="L8" s="242">
        <v>5</v>
      </c>
      <c r="M8" s="242">
        <v>8</v>
      </c>
      <c r="N8" s="242">
        <v>9</v>
      </c>
      <c r="O8" s="242">
        <v>7</v>
      </c>
      <c r="P8" s="242">
        <v>6</v>
      </c>
      <c r="Q8" s="240">
        <f t="shared" ref="Q8:Q30" si="0">SUM(E8:P8)</f>
        <v>85</v>
      </c>
      <c r="R8" s="241"/>
      <c r="T8" s="224" t="s">
        <v>185</v>
      </c>
      <c r="U8" s="224"/>
      <c r="V8" s="234" t="s">
        <v>51</v>
      </c>
      <c r="W8" s="234" t="s">
        <v>123</v>
      </c>
      <c r="X8" s="242">
        <v>7</v>
      </c>
      <c r="Y8" s="242">
        <v>6</v>
      </c>
      <c r="Z8" s="242">
        <v>9</v>
      </c>
      <c r="AA8" s="242">
        <v>8</v>
      </c>
      <c r="AB8" s="242">
        <v>6</v>
      </c>
      <c r="AC8" s="242">
        <v>7</v>
      </c>
      <c r="AD8" s="242">
        <v>9</v>
      </c>
      <c r="AE8" s="242">
        <v>6</v>
      </c>
      <c r="AF8" s="242">
        <v>8</v>
      </c>
      <c r="AG8" s="242">
        <v>9</v>
      </c>
      <c r="AH8" s="242">
        <v>8</v>
      </c>
      <c r="AI8" s="242">
        <v>6</v>
      </c>
      <c r="AJ8" s="243">
        <f t="shared" ref="AJ8:AJ18" si="1">SUM(X8:AI8)</f>
        <v>89</v>
      </c>
      <c r="AK8" s="241">
        <v>88</v>
      </c>
    </row>
    <row r="9" spans="1:37">
      <c r="A9" s="224" t="s">
        <v>185</v>
      </c>
      <c r="B9" s="224"/>
      <c r="C9" s="235"/>
      <c r="D9" s="234" t="s">
        <v>64</v>
      </c>
      <c r="E9" s="242">
        <v>178208</v>
      </c>
      <c r="F9" s="242">
        <v>38129</v>
      </c>
      <c r="G9" s="242">
        <v>191884</v>
      </c>
      <c r="H9" s="242">
        <v>203666.28571428571</v>
      </c>
      <c r="I9" s="242">
        <v>57193.5</v>
      </c>
      <c r="J9" s="242">
        <v>149243.11111111112</v>
      </c>
      <c r="K9" s="242">
        <v>85790.25</v>
      </c>
      <c r="L9" s="242">
        <v>106602.22222222222</v>
      </c>
      <c r="M9" s="242">
        <v>76258</v>
      </c>
      <c r="N9" s="242">
        <v>191884</v>
      </c>
      <c r="O9" s="242">
        <v>66725.75</v>
      </c>
      <c r="P9" s="242">
        <v>127922.66666666667</v>
      </c>
      <c r="Q9" s="240">
        <f t="shared" si="0"/>
        <v>1473506.7857142857</v>
      </c>
      <c r="R9" s="241"/>
      <c r="T9" s="224" t="s">
        <v>185</v>
      </c>
      <c r="U9" s="224"/>
      <c r="V9" s="235"/>
      <c r="W9" s="234" t="s">
        <v>64</v>
      </c>
      <c r="X9" s="242">
        <v>178208</v>
      </c>
      <c r="Y9" s="242">
        <v>57193.5</v>
      </c>
      <c r="Z9" s="242">
        <v>191884</v>
      </c>
      <c r="AA9" s="242">
        <v>203666.28571428571</v>
      </c>
      <c r="AB9" s="242">
        <v>57193.5</v>
      </c>
      <c r="AC9" s="242">
        <v>149243.11111111112</v>
      </c>
      <c r="AD9" s="242">
        <v>85790.25</v>
      </c>
      <c r="AE9" s="242">
        <v>127922.66666666667</v>
      </c>
      <c r="AF9" s="242">
        <v>76258</v>
      </c>
      <c r="AG9" s="242">
        <v>191884</v>
      </c>
      <c r="AH9" s="242">
        <v>76258</v>
      </c>
      <c r="AI9" s="242">
        <v>127922.66666666667</v>
      </c>
      <c r="AJ9" s="243">
        <f t="shared" si="1"/>
        <v>1523423.9801587302</v>
      </c>
      <c r="AK9" s="241">
        <v>1532447.0571428572</v>
      </c>
    </row>
    <row r="10" spans="1:37">
      <c r="A10" s="224" t="s">
        <v>185</v>
      </c>
      <c r="B10" s="224"/>
      <c r="C10" s="235"/>
      <c r="D10" s="234" t="s">
        <v>186</v>
      </c>
      <c r="E10" s="242">
        <v>1013062.5</v>
      </c>
      <c r="F10" s="242">
        <v>243031.5</v>
      </c>
      <c r="G10" s="242">
        <v>824205.75</v>
      </c>
      <c r="H10" s="242">
        <v>1157785.7142857143</v>
      </c>
      <c r="I10" s="242">
        <v>364547.25</v>
      </c>
      <c r="J10" s="242">
        <v>641048.91666666674</v>
      </c>
      <c r="K10" s="242">
        <v>546820.875</v>
      </c>
      <c r="L10" s="242">
        <v>457892.08333333337</v>
      </c>
      <c r="M10" s="242">
        <v>486063</v>
      </c>
      <c r="N10" s="242">
        <v>824205.75</v>
      </c>
      <c r="O10" s="242">
        <v>425305.125</v>
      </c>
      <c r="P10" s="242">
        <v>549470.5</v>
      </c>
      <c r="Q10" s="240">
        <f t="shared" si="0"/>
        <v>7533438.9642857146</v>
      </c>
      <c r="R10" s="241"/>
      <c r="T10" s="224" t="s">
        <v>185</v>
      </c>
      <c r="U10" s="224"/>
      <c r="V10" s="235"/>
      <c r="W10" s="234" t="s">
        <v>186</v>
      </c>
      <c r="X10" s="242">
        <v>1013062.5</v>
      </c>
      <c r="Y10" s="242">
        <v>364547.25</v>
      </c>
      <c r="Z10" s="242">
        <v>824205.75</v>
      </c>
      <c r="AA10" s="242">
        <v>1157785.7142857143</v>
      </c>
      <c r="AB10" s="242">
        <v>364547.25</v>
      </c>
      <c r="AC10" s="242">
        <v>641048.91666666674</v>
      </c>
      <c r="AD10" s="242">
        <v>546820.875</v>
      </c>
      <c r="AE10" s="242">
        <v>549470.5</v>
      </c>
      <c r="AF10" s="242">
        <v>486063</v>
      </c>
      <c r="AG10" s="242">
        <v>824205.75</v>
      </c>
      <c r="AH10" s="242">
        <v>486063</v>
      </c>
      <c r="AI10" s="242">
        <v>549470.5</v>
      </c>
      <c r="AJ10" s="243">
        <f t="shared" si="1"/>
        <v>7807291.0059523815</v>
      </c>
      <c r="AK10" s="241">
        <v>7834776.5228571435</v>
      </c>
    </row>
    <row r="11" spans="1:37">
      <c r="A11" s="224"/>
      <c r="B11" s="224"/>
      <c r="C11" s="262"/>
      <c r="D11" s="265" t="s">
        <v>66</v>
      </c>
      <c r="E11" s="263">
        <f>E10*0.195*17500</f>
        <v>3457075781.25</v>
      </c>
      <c r="F11" s="263">
        <f t="shared" ref="F11:P11" si="2">F10*0.195*17500</f>
        <v>829344993.75</v>
      </c>
      <c r="G11" s="263">
        <f t="shared" si="2"/>
        <v>2812602121.875</v>
      </c>
      <c r="H11" s="263">
        <f t="shared" si="2"/>
        <v>3950943750</v>
      </c>
      <c r="I11" s="263">
        <f>I10*0.195*17500</f>
        <v>1244017490.625</v>
      </c>
      <c r="J11" s="263">
        <f t="shared" si="2"/>
        <v>2187579428.1250005</v>
      </c>
      <c r="K11" s="263">
        <f t="shared" si="2"/>
        <v>1866026235.9375002</v>
      </c>
      <c r="L11" s="263">
        <f t="shared" si="2"/>
        <v>1562556734.3750002</v>
      </c>
      <c r="M11" s="263">
        <f t="shared" si="2"/>
        <v>1658689987.5</v>
      </c>
      <c r="N11" s="263">
        <f t="shared" si="2"/>
        <v>2812602121.875</v>
      </c>
      <c r="O11" s="263">
        <f t="shared" si="2"/>
        <v>1451353739.0625</v>
      </c>
      <c r="P11" s="263">
        <f t="shared" si="2"/>
        <v>1875068081.25</v>
      </c>
      <c r="Q11" s="264">
        <f>SUM(E11:P11)</f>
        <v>25707860465.625</v>
      </c>
      <c r="R11" s="241"/>
      <c r="T11" s="224"/>
      <c r="U11" s="224"/>
      <c r="V11" s="235"/>
      <c r="W11" s="265" t="s">
        <v>66</v>
      </c>
      <c r="X11" s="263">
        <f>X10*0.195*17500</f>
        <v>3457075781.25</v>
      </c>
      <c r="Y11" s="263">
        <f t="shared" ref="Y11:AI11" si="3">Y10*0.195*17500</f>
        <v>1244017490.625</v>
      </c>
      <c r="Z11" s="263">
        <f t="shared" si="3"/>
        <v>2812602121.875</v>
      </c>
      <c r="AA11" s="263">
        <f t="shared" si="3"/>
        <v>3950943750</v>
      </c>
      <c r="AB11" s="263">
        <f>AB10*0.195*17500</f>
        <v>1244017490.625</v>
      </c>
      <c r="AC11" s="263">
        <f t="shared" si="3"/>
        <v>2187579428.1250005</v>
      </c>
      <c r="AD11" s="263">
        <f t="shared" si="3"/>
        <v>1866026235.9375002</v>
      </c>
      <c r="AE11" s="263">
        <f t="shared" si="3"/>
        <v>1875068081.25</v>
      </c>
      <c r="AF11" s="263">
        <f t="shared" si="3"/>
        <v>1658689987.5</v>
      </c>
      <c r="AG11" s="263">
        <f t="shared" si="3"/>
        <v>2812602121.875</v>
      </c>
      <c r="AH11" s="263">
        <f t="shared" si="3"/>
        <v>1658689987.5</v>
      </c>
      <c r="AI11" s="263">
        <f t="shared" si="3"/>
        <v>1875068081.25</v>
      </c>
      <c r="AJ11" s="264">
        <f>SUM(X11:AI11)</f>
        <v>26642380557.8125</v>
      </c>
      <c r="AK11" s="241"/>
    </row>
    <row r="12" spans="1:37">
      <c r="A12" s="224" t="s">
        <v>187</v>
      </c>
      <c r="B12" s="224"/>
      <c r="C12" s="234" t="s">
        <v>56</v>
      </c>
      <c r="D12" s="234" t="s">
        <v>123</v>
      </c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40">
        <f t="shared" si="0"/>
        <v>0</v>
      </c>
      <c r="T12" s="224" t="s">
        <v>187</v>
      </c>
      <c r="U12" s="224"/>
      <c r="V12" s="234" t="s">
        <v>56</v>
      </c>
      <c r="W12" s="234" t="s">
        <v>123</v>
      </c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3">
        <f t="shared" si="1"/>
        <v>0</v>
      </c>
    </row>
    <row r="13" spans="1:37">
      <c r="A13" s="224" t="s">
        <v>187</v>
      </c>
      <c r="B13" s="224"/>
      <c r="C13" s="235"/>
      <c r="D13" s="234" t="s">
        <v>64</v>
      </c>
      <c r="E13" s="239"/>
      <c r="F13" s="239"/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240">
        <f t="shared" si="0"/>
        <v>0</v>
      </c>
      <c r="T13" s="224" t="s">
        <v>187</v>
      </c>
      <c r="U13" s="224"/>
      <c r="V13" s="235"/>
      <c r="W13" s="234" t="s">
        <v>64</v>
      </c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3">
        <f t="shared" si="1"/>
        <v>0</v>
      </c>
    </row>
    <row r="14" spans="1:37">
      <c r="A14" s="224" t="s">
        <v>187</v>
      </c>
      <c r="B14" s="224"/>
      <c r="C14" s="235"/>
      <c r="D14" s="234" t="s">
        <v>186</v>
      </c>
      <c r="E14" s="256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40">
        <f t="shared" si="0"/>
        <v>0</v>
      </c>
      <c r="T14" s="224" t="s">
        <v>187</v>
      </c>
      <c r="U14" s="224"/>
      <c r="V14" s="235"/>
      <c r="W14" s="234" t="s">
        <v>186</v>
      </c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3">
        <f t="shared" si="1"/>
        <v>0</v>
      </c>
    </row>
    <row r="15" spans="1:37">
      <c r="A15" s="224"/>
      <c r="B15" s="224"/>
      <c r="C15" s="262"/>
      <c r="D15" s="265" t="s">
        <v>66</v>
      </c>
      <c r="E15" s="266"/>
      <c r="F15" s="266"/>
      <c r="G15" s="266"/>
      <c r="H15" s="266"/>
      <c r="I15" s="266"/>
      <c r="J15" s="266"/>
      <c r="K15" s="266"/>
      <c r="L15" s="266"/>
      <c r="M15" s="266"/>
      <c r="N15" s="266"/>
      <c r="O15" s="266"/>
      <c r="P15" s="266"/>
      <c r="Q15" s="264"/>
      <c r="T15" s="224"/>
      <c r="U15" s="224"/>
      <c r="V15" s="235"/>
      <c r="W15" s="265" t="s">
        <v>66</v>
      </c>
      <c r="X15" s="266"/>
      <c r="Y15" s="266"/>
      <c r="Z15" s="266"/>
      <c r="AA15" s="266"/>
      <c r="AB15" s="266"/>
      <c r="AC15" s="266"/>
      <c r="AD15" s="266"/>
      <c r="AE15" s="266"/>
      <c r="AF15" s="266"/>
      <c r="AG15" s="266"/>
      <c r="AH15" s="266"/>
      <c r="AI15" s="266"/>
      <c r="AJ15" s="264"/>
    </row>
    <row r="16" spans="1:37">
      <c r="A16" s="224" t="s">
        <v>188</v>
      </c>
      <c r="B16" s="224"/>
      <c r="C16" s="234" t="s">
        <v>57</v>
      </c>
      <c r="D16" s="234" t="s">
        <v>123</v>
      </c>
      <c r="E16" s="239"/>
      <c r="F16" s="242">
        <v>3</v>
      </c>
      <c r="G16" s="242">
        <v>2</v>
      </c>
      <c r="H16" s="242">
        <v>3</v>
      </c>
      <c r="I16" s="242">
        <v>3</v>
      </c>
      <c r="J16" s="242">
        <v>4</v>
      </c>
      <c r="K16" s="242">
        <v>2</v>
      </c>
      <c r="L16" s="242">
        <v>3</v>
      </c>
      <c r="M16" s="242">
        <v>2</v>
      </c>
      <c r="N16" s="242">
        <v>4</v>
      </c>
      <c r="O16" s="242">
        <v>3</v>
      </c>
      <c r="P16" s="242">
        <v>3</v>
      </c>
      <c r="Q16" s="240">
        <f t="shared" si="0"/>
        <v>32</v>
      </c>
      <c r="R16" s="241"/>
      <c r="T16" s="224" t="s">
        <v>188</v>
      </c>
      <c r="U16" s="224"/>
      <c r="V16" s="234" t="s">
        <v>57</v>
      </c>
      <c r="W16" s="234" t="s">
        <v>123</v>
      </c>
      <c r="X16" s="242">
        <v>2</v>
      </c>
      <c r="Y16" s="242">
        <v>3</v>
      </c>
      <c r="Z16" s="242">
        <v>2</v>
      </c>
      <c r="AA16" s="242">
        <v>3</v>
      </c>
      <c r="AB16" s="242">
        <v>3</v>
      </c>
      <c r="AC16" s="242">
        <v>4</v>
      </c>
      <c r="AD16" s="242">
        <v>4</v>
      </c>
      <c r="AE16" s="242">
        <v>3</v>
      </c>
      <c r="AF16" s="242">
        <v>3</v>
      </c>
      <c r="AG16" s="242">
        <v>4</v>
      </c>
      <c r="AH16" s="242">
        <v>3</v>
      </c>
      <c r="AI16" s="242">
        <v>3</v>
      </c>
      <c r="AJ16" s="243">
        <f t="shared" si="1"/>
        <v>37</v>
      </c>
      <c r="AK16" s="241">
        <v>34</v>
      </c>
    </row>
    <row r="17" spans="1:37">
      <c r="A17" s="224" t="s">
        <v>188</v>
      </c>
      <c r="B17" s="224"/>
      <c r="C17" s="235"/>
      <c r="D17" s="234" t="s">
        <v>64</v>
      </c>
      <c r="E17" s="239"/>
      <c r="F17" s="242">
        <v>57001</v>
      </c>
      <c r="G17" s="242">
        <v>3198</v>
      </c>
      <c r="H17" s="242">
        <v>57001</v>
      </c>
      <c r="I17" s="242">
        <v>4797</v>
      </c>
      <c r="J17" s="242">
        <v>76001.333333333328</v>
      </c>
      <c r="K17" s="242">
        <v>3198</v>
      </c>
      <c r="L17" s="242">
        <v>57001</v>
      </c>
      <c r="M17" s="242">
        <v>3198</v>
      </c>
      <c r="N17" s="242">
        <v>76001.333333333328</v>
      </c>
      <c r="O17" s="242">
        <v>4797</v>
      </c>
      <c r="P17" s="242">
        <v>57001</v>
      </c>
      <c r="Q17" s="240">
        <f t="shared" si="0"/>
        <v>399194.66666666663</v>
      </c>
      <c r="R17" s="241"/>
      <c r="T17" s="224" t="s">
        <v>188</v>
      </c>
      <c r="U17" s="224"/>
      <c r="V17" s="235"/>
      <c r="W17" s="234" t="s">
        <v>64</v>
      </c>
      <c r="X17" s="242">
        <v>38000.666666666664</v>
      </c>
      <c r="Y17" s="242">
        <v>57001</v>
      </c>
      <c r="Z17" s="242">
        <v>3198</v>
      </c>
      <c r="AA17" s="242">
        <v>57001</v>
      </c>
      <c r="AB17" s="242">
        <v>4797</v>
      </c>
      <c r="AC17" s="242">
        <v>76001.333333333328</v>
      </c>
      <c r="AD17" s="242">
        <v>56001</v>
      </c>
      <c r="AE17" s="242">
        <v>57001</v>
      </c>
      <c r="AF17" s="242">
        <v>57001</v>
      </c>
      <c r="AG17" s="242">
        <v>56001</v>
      </c>
      <c r="AH17" s="242">
        <v>4797</v>
      </c>
      <c r="AI17" s="242">
        <v>57001</v>
      </c>
      <c r="AJ17" s="243">
        <f t="shared" si="1"/>
        <v>523801</v>
      </c>
      <c r="AK17" s="241">
        <v>415162.45333333331</v>
      </c>
    </row>
    <row r="18" spans="1:37">
      <c r="A18" s="224" t="s">
        <v>188</v>
      </c>
      <c r="B18" s="224"/>
      <c r="C18" s="235"/>
      <c r="D18" s="234" t="s">
        <v>186</v>
      </c>
      <c r="E18" s="239"/>
      <c r="F18" s="242">
        <v>393623.5</v>
      </c>
      <c r="G18" s="242">
        <v>3597.75</v>
      </c>
      <c r="H18" s="242">
        <v>393623.5</v>
      </c>
      <c r="I18" s="242">
        <v>5396.625</v>
      </c>
      <c r="J18" s="242">
        <v>524831.33333333337</v>
      </c>
      <c r="K18" s="242">
        <v>3597.75</v>
      </c>
      <c r="L18" s="242">
        <v>393623.5</v>
      </c>
      <c r="M18" s="242">
        <v>3597.75</v>
      </c>
      <c r="N18" s="242">
        <v>524831.33333333337</v>
      </c>
      <c r="O18" s="242">
        <v>5396.625</v>
      </c>
      <c r="P18" s="242">
        <v>393623.5</v>
      </c>
      <c r="Q18" s="240">
        <f t="shared" si="0"/>
        <v>2645743.166666667</v>
      </c>
      <c r="R18" s="241"/>
      <c r="T18" s="224" t="s">
        <v>188</v>
      </c>
      <c r="U18" s="224"/>
      <c r="V18" s="235"/>
      <c r="W18" s="234" t="s">
        <v>186</v>
      </c>
      <c r="X18" s="242">
        <v>262415.66666666669</v>
      </c>
      <c r="Y18" s="242">
        <v>393623.5</v>
      </c>
      <c r="Z18" s="242">
        <v>3597.75</v>
      </c>
      <c r="AA18" s="242">
        <v>393623.5</v>
      </c>
      <c r="AB18" s="242">
        <v>5396.625</v>
      </c>
      <c r="AC18" s="242">
        <v>524831.33333333337</v>
      </c>
      <c r="AD18" s="242">
        <v>374831.33333333302</v>
      </c>
      <c r="AE18" s="242">
        <v>393623.5</v>
      </c>
      <c r="AF18" s="242">
        <v>393623.5</v>
      </c>
      <c r="AG18" s="242">
        <v>374831.33333333302</v>
      </c>
      <c r="AH18" s="242">
        <v>5396.625</v>
      </c>
      <c r="AI18" s="242">
        <v>393623.5</v>
      </c>
      <c r="AJ18" s="243">
        <f t="shared" si="1"/>
        <v>3519418.166666666</v>
      </c>
      <c r="AK18" s="241">
        <v>2751572.8933333335</v>
      </c>
    </row>
    <row r="19" spans="1:37">
      <c r="A19" s="224"/>
      <c r="B19" s="224"/>
      <c r="C19" s="267"/>
      <c r="D19" s="265" t="s">
        <v>66</v>
      </c>
      <c r="E19" s="268"/>
      <c r="F19" s="263">
        <f>F18*0.195*17500</f>
        <v>1343240193.75</v>
      </c>
      <c r="G19" s="263">
        <f>G18*0.195*17500</f>
        <v>12277321.875</v>
      </c>
      <c r="H19" s="263">
        <f t="shared" ref="H19:P19" si="4">H18*0.195*17500</f>
        <v>1343240193.75</v>
      </c>
      <c r="I19" s="263">
        <f t="shared" si="4"/>
        <v>18415982.8125</v>
      </c>
      <c r="J19" s="263">
        <f t="shared" si="4"/>
        <v>1790986925.0000002</v>
      </c>
      <c r="K19" s="263">
        <f t="shared" si="4"/>
        <v>12277321.875</v>
      </c>
      <c r="L19" s="263">
        <f t="shared" si="4"/>
        <v>1343240193.75</v>
      </c>
      <c r="M19" s="263">
        <f t="shared" si="4"/>
        <v>12277321.875</v>
      </c>
      <c r="N19" s="263">
        <f t="shared" si="4"/>
        <v>1790986925.0000002</v>
      </c>
      <c r="O19" s="263">
        <f t="shared" si="4"/>
        <v>18415982.8125</v>
      </c>
      <c r="P19" s="263">
        <f t="shared" si="4"/>
        <v>1343240193.75</v>
      </c>
      <c r="Q19" s="269">
        <f>SUM(E19:P19)</f>
        <v>9028598556.25</v>
      </c>
      <c r="R19" s="241"/>
      <c r="T19" s="224"/>
      <c r="U19" s="224"/>
      <c r="V19" s="235"/>
      <c r="W19" s="265" t="s">
        <v>66</v>
      </c>
      <c r="X19" s="263">
        <f>X18*0.195*17500</f>
        <v>895493462.50000012</v>
      </c>
      <c r="Y19" s="263">
        <f>Y18*0.195*17500</f>
        <v>1343240193.75</v>
      </c>
      <c r="Z19" s="263">
        <f>Z18*0.195*17500</f>
        <v>12277321.875</v>
      </c>
      <c r="AA19" s="263">
        <f t="shared" ref="AA19:AI19" si="5">AA18*0.195*17500</f>
        <v>1343240193.75</v>
      </c>
      <c r="AB19" s="263">
        <f t="shared" si="5"/>
        <v>18415982.8125</v>
      </c>
      <c r="AC19" s="263">
        <f t="shared" si="5"/>
        <v>1790986925.0000002</v>
      </c>
      <c r="AD19" s="263">
        <f t="shared" si="5"/>
        <v>1279111924.999999</v>
      </c>
      <c r="AE19" s="263">
        <f t="shared" si="5"/>
        <v>1343240193.75</v>
      </c>
      <c r="AF19" s="263">
        <f t="shared" si="5"/>
        <v>1343240193.75</v>
      </c>
      <c r="AG19" s="263">
        <f t="shared" si="5"/>
        <v>1279111924.999999</v>
      </c>
      <c r="AH19" s="263">
        <f t="shared" si="5"/>
        <v>18415982.8125</v>
      </c>
      <c r="AI19" s="263">
        <f t="shared" si="5"/>
        <v>1343240193.75</v>
      </c>
      <c r="AJ19" s="269">
        <f>SUM(X19:AI19)</f>
        <v>12010014493.75</v>
      </c>
      <c r="AK19" s="241"/>
    </row>
    <row r="20" spans="1:37">
      <c r="A20" s="224" t="s">
        <v>189</v>
      </c>
      <c r="B20" s="224"/>
      <c r="C20" s="234" t="s">
        <v>190</v>
      </c>
      <c r="D20" s="234" t="s">
        <v>123</v>
      </c>
      <c r="E20" s="239"/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7">
        <f t="shared" si="0"/>
        <v>0</v>
      </c>
      <c r="T20" s="224" t="s">
        <v>189</v>
      </c>
      <c r="U20" s="224"/>
      <c r="V20" s="234" t="s">
        <v>190</v>
      </c>
      <c r="W20" s="234" t="s">
        <v>123</v>
      </c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  <c r="AI20" s="242"/>
      <c r="AJ20" s="238"/>
    </row>
    <row r="21" spans="1:37">
      <c r="A21" s="224" t="s">
        <v>189</v>
      </c>
      <c r="B21" s="224"/>
      <c r="C21" s="235"/>
      <c r="D21" s="234" t="s">
        <v>64</v>
      </c>
      <c r="E21" s="239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7">
        <f t="shared" si="0"/>
        <v>0</v>
      </c>
      <c r="T21" s="224" t="s">
        <v>189</v>
      </c>
      <c r="U21" s="224"/>
      <c r="V21" s="235"/>
      <c r="W21" s="234" t="s">
        <v>64</v>
      </c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  <c r="AI21" s="242"/>
      <c r="AJ21" s="238"/>
    </row>
    <row r="22" spans="1:37">
      <c r="A22" s="224" t="s">
        <v>189</v>
      </c>
      <c r="B22" s="224"/>
      <c r="C22" s="235"/>
      <c r="D22" s="234" t="s">
        <v>186</v>
      </c>
      <c r="E22" s="239"/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7">
        <f t="shared" si="0"/>
        <v>0</v>
      </c>
      <c r="T22" s="224" t="s">
        <v>189</v>
      </c>
      <c r="U22" s="224"/>
      <c r="V22" s="235"/>
      <c r="W22" s="234" t="s">
        <v>186</v>
      </c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  <c r="AI22" s="242"/>
      <c r="AJ22" s="238"/>
    </row>
    <row r="23" spans="1:37">
      <c r="A23" s="224"/>
      <c r="B23" s="224"/>
      <c r="C23" s="267"/>
      <c r="D23" s="265" t="s">
        <v>66</v>
      </c>
      <c r="E23" s="26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70"/>
      <c r="T23" s="224"/>
      <c r="U23" s="224"/>
      <c r="V23" s="235"/>
      <c r="W23" s="265" t="s">
        <v>66</v>
      </c>
      <c r="X23" s="266"/>
      <c r="Y23" s="266"/>
      <c r="Z23" s="266"/>
      <c r="AA23" s="266"/>
      <c r="AB23" s="266"/>
      <c r="AC23" s="266"/>
      <c r="AD23" s="266"/>
      <c r="AE23" s="266"/>
      <c r="AF23" s="266"/>
      <c r="AG23" s="266"/>
      <c r="AH23" s="266"/>
      <c r="AI23" s="266"/>
      <c r="AJ23" s="264"/>
    </row>
    <row r="24" spans="1:37">
      <c r="A24" s="224" t="s">
        <v>191</v>
      </c>
      <c r="B24" s="224"/>
      <c r="C24" s="234" t="s">
        <v>192</v>
      </c>
      <c r="D24" s="234" t="s">
        <v>123</v>
      </c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7">
        <f t="shared" si="0"/>
        <v>0</v>
      </c>
      <c r="T24" s="224" t="s">
        <v>191</v>
      </c>
      <c r="U24" s="224"/>
      <c r="V24" s="234" t="s">
        <v>192</v>
      </c>
      <c r="W24" s="234" t="s">
        <v>123</v>
      </c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38"/>
    </row>
    <row r="25" spans="1:37">
      <c r="A25" s="224" t="s">
        <v>191</v>
      </c>
      <c r="B25" s="224"/>
      <c r="C25" s="235"/>
      <c r="D25" s="234" t="s">
        <v>64</v>
      </c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7">
        <f t="shared" si="0"/>
        <v>0</v>
      </c>
      <c r="T25" s="224" t="s">
        <v>191</v>
      </c>
      <c r="U25" s="224"/>
      <c r="V25" s="235"/>
      <c r="W25" s="234" t="s">
        <v>64</v>
      </c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38"/>
    </row>
    <row r="26" spans="1:37">
      <c r="A26" s="224" t="s">
        <v>191</v>
      </c>
      <c r="B26" s="224"/>
      <c r="C26" s="235"/>
      <c r="D26" s="234" t="s">
        <v>186</v>
      </c>
      <c r="E26" s="239"/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237">
        <f t="shared" si="0"/>
        <v>0</v>
      </c>
      <c r="T26" s="224" t="s">
        <v>191</v>
      </c>
      <c r="U26" s="224"/>
      <c r="V26" s="235"/>
      <c r="W26" s="234" t="s">
        <v>186</v>
      </c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38"/>
    </row>
    <row r="27" spans="1:37">
      <c r="A27" s="224"/>
      <c r="B27" s="224"/>
      <c r="C27" s="267"/>
      <c r="D27" s="265" t="s">
        <v>66</v>
      </c>
      <c r="E27" s="268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70"/>
      <c r="T27" s="224"/>
      <c r="U27" s="224"/>
      <c r="V27" s="235"/>
      <c r="W27" s="265" t="s">
        <v>66</v>
      </c>
      <c r="X27" s="266"/>
      <c r="Y27" s="266"/>
      <c r="Z27" s="266"/>
      <c r="AA27" s="266"/>
      <c r="AB27" s="266"/>
      <c r="AC27" s="266"/>
      <c r="AD27" s="266"/>
      <c r="AE27" s="266"/>
      <c r="AF27" s="266"/>
      <c r="AG27" s="266"/>
      <c r="AH27" s="266"/>
      <c r="AI27" s="266"/>
      <c r="AJ27" s="264"/>
    </row>
    <row r="28" spans="1:37">
      <c r="A28" s="224" t="s">
        <v>193</v>
      </c>
      <c r="B28" s="224"/>
      <c r="C28" s="234" t="s">
        <v>194</v>
      </c>
      <c r="D28" s="234" t="s">
        <v>123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7">
        <f t="shared" si="0"/>
        <v>0</v>
      </c>
      <c r="T28" s="224" t="s">
        <v>193</v>
      </c>
      <c r="U28" s="224"/>
      <c r="V28" s="234" t="s">
        <v>194</v>
      </c>
      <c r="W28" s="234" t="s">
        <v>123</v>
      </c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38"/>
    </row>
    <row r="29" spans="1:37">
      <c r="A29" s="224" t="s">
        <v>193</v>
      </c>
      <c r="B29" s="224"/>
      <c r="C29" s="235"/>
      <c r="D29" s="234" t="s">
        <v>64</v>
      </c>
      <c r="E29" s="239"/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7">
        <f t="shared" si="0"/>
        <v>0</v>
      </c>
      <c r="T29" s="224" t="s">
        <v>193</v>
      </c>
      <c r="U29" s="224"/>
      <c r="V29" s="235"/>
      <c r="W29" s="234" t="s">
        <v>64</v>
      </c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38"/>
    </row>
    <row r="30" spans="1:37">
      <c r="A30" s="224" t="s">
        <v>193</v>
      </c>
      <c r="B30" s="224"/>
      <c r="C30" s="235"/>
      <c r="D30" s="234" t="s">
        <v>186</v>
      </c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7">
        <f t="shared" si="0"/>
        <v>0</v>
      </c>
      <c r="T30" s="224" t="s">
        <v>193</v>
      </c>
      <c r="U30" s="224"/>
      <c r="V30" s="235"/>
      <c r="W30" s="234" t="s">
        <v>186</v>
      </c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38"/>
    </row>
    <row r="31" spans="1:37">
      <c r="A31" s="224"/>
      <c r="B31" s="224"/>
      <c r="C31" s="267"/>
      <c r="D31" s="265" t="s">
        <v>66</v>
      </c>
      <c r="E31" s="268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70"/>
      <c r="T31" s="224"/>
      <c r="U31" s="224"/>
      <c r="V31" s="235"/>
      <c r="W31" s="265" t="s">
        <v>66</v>
      </c>
      <c r="X31" s="266"/>
      <c r="Y31" s="266"/>
      <c r="Z31" s="266"/>
      <c r="AA31" s="266"/>
      <c r="AB31" s="266"/>
      <c r="AC31" s="266"/>
      <c r="AD31" s="266"/>
      <c r="AE31" s="266"/>
      <c r="AF31" s="266"/>
      <c r="AG31" s="266"/>
      <c r="AH31" s="266"/>
      <c r="AI31" s="266"/>
      <c r="AJ31" s="264"/>
    </row>
    <row r="32" spans="1:37">
      <c r="A32" s="224"/>
      <c r="B32" s="224"/>
      <c r="C32" s="236"/>
      <c r="D32" s="236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37"/>
      <c r="T32" s="224"/>
      <c r="U32" s="224"/>
      <c r="V32" s="236"/>
      <c r="W32" s="236"/>
      <c r="X32" s="245"/>
      <c r="Y32" s="245"/>
      <c r="Z32" s="245"/>
      <c r="AA32" s="245"/>
      <c r="AB32" s="245"/>
      <c r="AC32" s="245"/>
      <c r="AD32" s="245"/>
      <c r="AE32" s="245"/>
      <c r="AF32" s="245"/>
      <c r="AG32" s="245"/>
      <c r="AH32" s="245"/>
      <c r="AI32" s="245"/>
      <c r="AJ32" s="238"/>
    </row>
    <row r="33" spans="1:37">
      <c r="A33" s="224"/>
      <c r="B33" s="224"/>
      <c r="C33" s="282" t="s">
        <v>195</v>
      </c>
      <c r="D33" s="279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83"/>
      <c r="T33" s="224"/>
      <c r="U33" s="224"/>
      <c r="V33" s="246" t="s">
        <v>195</v>
      </c>
      <c r="W33" s="247"/>
      <c r="X33" s="245"/>
      <c r="Y33" s="245"/>
      <c r="Z33" s="245"/>
      <c r="AA33" s="245"/>
      <c r="AB33" s="245"/>
      <c r="AC33" s="245"/>
      <c r="AD33" s="245"/>
      <c r="AE33" s="245"/>
      <c r="AF33" s="245"/>
      <c r="AG33" s="245"/>
      <c r="AH33" s="245"/>
      <c r="AI33" s="245"/>
      <c r="AJ33" s="238"/>
    </row>
    <row r="34" spans="1:37">
      <c r="A34" s="224" t="s">
        <v>196</v>
      </c>
      <c r="B34" s="224"/>
      <c r="C34" s="282" t="s">
        <v>51</v>
      </c>
      <c r="D34" s="282" t="s">
        <v>123</v>
      </c>
      <c r="E34" s="249">
        <v>2</v>
      </c>
      <c r="F34" s="249">
        <v>5</v>
      </c>
      <c r="G34" s="249">
        <v>6</v>
      </c>
      <c r="H34" s="249">
        <v>5</v>
      </c>
      <c r="I34" s="249">
        <v>4</v>
      </c>
      <c r="J34" s="249">
        <v>6</v>
      </c>
      <c r="K34" s="249">
        <v>3</v>
      </c>
      <c r="L34" s="249">
        <v>5</v>
      </c>
      <c r="M34" s="249">
        <v>4</v>
      </c>
      <c r="N34" s="249">
        <v>6</v>
      </c>
      <c r="O34" s="249">
        <v>5</v>
      </c>
      <c r="P34" s="249">
        <v>4</v>
      </c>
      <c r="Q34" s="284">
        <f t="shared" ref="Q34:Q52" si="6">SUM(E34:P34)</f>
        <v>55</v>
      </c>
      <c r="R34" s="241"/>
      <c r="T34" s="224" t="s">
        <v>196</v>
      </c>
      <c r="U34" s="224"/>
      <c r="V34" s="246" t="s">
        <v>51</v>
      </c>
      <c r="W34" s="246" t="s">
        <v>123</v>
      </c>
      <c r="X34" s="249">
        <v>3</v>
      </c>
      <c r="Y34" s="249">
        <v>5</v>
      </c>
      <c r="Z34" s="249">
        <v>6</v>
      </c>
      <c r="AA34" s="249">
        <v>5</v>
      </c>
      <c r="AB34" s="249">
        <v>4</v>
      </c>
      <c r="AC34" s="249">
        <v>6</v>
      </c>
      <c r="AD34" s="249">
        <v>4</v>
      </c>
      <c r="AE34" s="249">
        <v>5</v>
      </c>
      <c r="AF34" s="249">
        <v>4</v>
      </c>
      <c r="AG34" s="249">
        <v>6</v>
      </c>
      <c r="AH34" s="249">
        <v>5</v>
      </c>
      <c r="AI34" s="249">
        <v>4</v>
      </c>
      <c r="AJ34" s="243">
        <f t="shared" ref="AJ34:AJ52" si="7">SUM(X34:AI34)</f>
        <v>57</v>
      </c>
      <c r="AK34" s="241">
        <v>57</v>
      </c>
    </row>
    <row r="35" spans="1:37">
      <c r="A35" s="224" t="s">
        <v>196</v>
      </c>
      <c r="B35" s="224"/>
      <c r="C35" s="279"/>
      <c r="D35" s="282" t="s">
        <v>64</v>
      </c>
      <c r="E35" s="242">
        <v>5411</v>
      </c>
      <c r="F35" s="242">
        <v>27651</v>
      </c>
      <c r="G35" s="242">
        <v>36616</v>
      </c>
      <c r="H35" s="242">
        <v>13527.5</v>
      </c>
      <c r="I35" s="242">
        <v>22120.799999999999</v>
      </c>
      <c r="J35" s="242">
        <v>36616</v>
      </c>
      <c r="K35" s="242">
        <v>8116.5</v>
      </c>
      <c r="L35" s="242">
        <v>27651</v>
      </c>
      <c r="M35" s="242">
        <v>24410.666666666668</v>
      </c>
      <c r="N35" s="242">
        <v>16233</v>
      </c>
      <c r="O35" s="242">
        <v>27651</v>
      </c>
      <c r="P35" s="242">
        <v>24410.666666666668</v>
      </c>
      <c r="Q35" s="284">
        <f t="shared" si="6"/>
        <v>270415.1333333333</v>
      </c>
      <c r="R35" s="241"/>
      <c r="T35" s="224" t="s">
        <v>196</v>
      </c>
      <c r="U35" s="224"/>
      <c r="V35" s="247"/>
      <c r="W35" s="246" t="s">
        <v>64</v>
      </c>
      <c r="X35" s="242">
        <v>8116.5</v>
      </c>
      <c r="Y35" s="242">
        <v>27651</v>
      </c>
      <c r="Z35" s="242">
        <v>36616</v>
      </c>
      <c r="AA35" s="242">
        <v>13527.5</v>
      </c>
      <c r="AB35" s="242">
        <v>22120.799999999999</v>
      </c>
      <c r="AC35" s="242">
        <v>36616</v>
      </c>
      <c r="AD35" s="242">
        <v>24410.666666666668</v>
      </c>
      <c r="AE35" s="242">
        <v>27651</v>
      </c>
      <c r="AF35" s="242">
        <v>24410.666666666668</v>
      </c>
      <c r="AG35" s="242">
        <v>16233</v>
      </c>
      <c r="AH35" s="242">
        <v>27651</v>
      </c>
      <c r="AI35" s="242">
        <v>24410.666666666668</v>
      </c>
      <c r="AJ35" s="243">
        <f t="shared" si="7"/>
        <v>289414.8</v>
      </c>
      <c r="AK35" s="241">
        <v>281231.73866666667</v>
      </c>
    </row>
    <row r="36" spans="1:37">
      <c r="A36" s="224" t="s">
        <v>196</v>
      </c>
      <c r="B36" s="224"/>
      <c r="C36" s="279"/>
      <c r="D36" s="282" t="s">
        <v>186</v>
      </c>
      <c r="E36" s="242">
        <v>8799.75</v>
      </c>
      <c r="F36" s="242">
        <v>37184.75</v>
      </c>
      <c r="G36" s="242">
        <v>56655.25</v>
      </c>
      <c r="H36" s="242">
        <v>21999.375</v>
      </c>
      <c r="I36" s="242">
        <v>29747.8</v>
      </c>
      <c r="J36" s="242">
        <v>56655.25</v>
      </c>
      <c r="K36" s="242">
        <v>13199.625</v>
      </c>
      <c r="L36" s="242">
        <v>37184.75</v>
      </c>
      <c r="M36" s="242">
        <v>37770.166666666664</v>
      </c>
      <c r="N36" s="242">
        <v>26399.25</v>
      </c>
      <c r="O36" s="242">
        <v>37184.75</v>
      </c>
      <c r="P36" s="242">
        <v>37770.166666666664</v>
      </c>
      <c r="Q36" s="284">
        <f t="shared" si="6"/>
        <v>400550.88333333336</v>
      </c>
      <c r="R36" s="241"/>
      <c r="T36" s="224" t="s">
        <v>196</v>
      </c>
      <c r="U36" s="224"/>
      <c r="V36" s="247"/>
      <c r="W36" s="246" t="s">
        <v>186</v>
      </c>
      <c r="X36" s="242">
        <v>13199.625</v>
      </c>
      <c r="Y36" s="242">
        <v>37184.75</v>
      </c>
      <c r="Z36" s="242">
        <v>56655.25</v>
      </c>
      <c r="AA36" s="242">
        <v>21999.375</v>
      </c>
      <c r="AB36" s="242">
        <v>29747.8</v>
      </c>
      <c r="AC36" s="242">
        <v>56655.25</v>
      </c>
      <c r="AD36" s="242">
        <v>37770.166666666664</v>
      </c>
      <c r="AE36" s="242">
        <v>37184.75</v>
      </c>
      <c r="AF36" s="242">
        <v>37770.166666666664</v>
      </c>
      <c r="AG36" s="242">
        <v>26399.25</v>
      </c>
      <c r="AH36" s="242">
        <v>37184.75</v>
      </c>
      <c r="AI36" s="242">
        <v>37770.166666666664</v>
      </c>
      <c r="AJ36" s="243">
        <f t="shared" si="7"/>
        <v>429521.30000000005</v>
      </c>
      <c r="AK36" s="241">
        <v>416572.91866666672</v>
      </c>
    </row>
    <row r="37" spans="1:37">
      <c r="A37" s="224"/>
      <c r="B37" s="224"/>
      <c r="C37" s="280"/>
      <c r="D37" s="285" t="s">
        <v>66</v>
      </c>
      <c r="E37" s="286">
        <f t="shared" ref="E37:Q37" si="8">E36*90</f>
        <v>791977.5</v>
      </c>
      <c r="F37" s="286">
        <f t="shared" si="8"/>
        <v>3346627.5</v>
      </c>
      <c r="G37" s="286">
        <f t="shared" si="8"/>
        <v>5098972.5</v>
      </c>
      <c r="H37" s="286">
        <f t="shared" si="8"/>
        <v>1979943.75</v>
      </c>
      <c r="I37" s="286">
        <f t="shared" si="8"/>
        <v>2677302</v>
      </c>
      <c r="J37" s="286">
        <f t="shared" si="8"/>
        <v>5098972.5</v>
      </c>
      <c r="K37" s="286">
        <f t="shared" si="8"/>
        <v>1187966.25</v>
      </c>
      <c r="L37" s="286">
        <f t="shared" si="8"/>
        <v>3346627.5</v>
      </c>
      <c r="M37" s="286">
        <f t="shared" si="8"/>
        <v>3399315</v>
      </c>
      <c r="N37" s="286">
        <f t="shared" si="8"/>
        <v>2375932.5</v>
      </c>
      <c r="O37" s="286">
        <f t="shared" si="8"/>
        <v>3346627.5</v>
      </c>
      <c r="P37" s="286">
        <f t="shared" si="8"/>
        <v>3399315</v>
      </c>
      <c r="Q37" s="286">
        <f t="shared" si="8"/>
        <v>36049579.5</v>
      </c>
      <c r="R37" s="241"/>
      <c r="T37" s="224"/>
      <c r="U37" s="224"/>
      <c r="V37" s="247"/>
      <c r="W37" s="285" t="s">
        <v>66</v>
      </c>
      <c r="X37" s="286">
        <f t="shared" ref="X37" si="9">X36*90</f>
        <v>1187966.25</v>
      </c>
      <c r="Y37" s="286">
        <f t="shared" ref="Y37" si="10">Y36*90</f>
        <v>3346627.5</v>
      </c>
      <c r="Z37" s="286">
        <f t="shared" ref="Z37" si="11">Z36*90</f>
        <v>5098972.5</v>
      </c>
      <c r="AA37" s="286">
        <f t="shared" ref="AA37" si="12">AA36*90</f>
        <v>1979943.75</v>
      </c>
      <c r="AB37" s="286">
        <f t="shared" ref="AB37" si="13">AB36*90</f>
        <v>2677302</v>
      </c>
      <c r="AC37" s="286">
        <f t="shared" ref="AC37" si="14">AC36*90</f>
        <v>5098972.5</v>
      </c>
      <c r="AD37" s="286">
        <f t="shared" ref="AD37" si="15">AD36*90</f>
        <v>3399315</v>
      </c>
      <c r="AE37" s="286">
        <f t="shared" ref="AE37" si="16">AE36*90</f>
        <v>3346627.5</v>
      </c>
      <c r="AF37" s="286">
        <f t="shared" ref="AF37" si="17">AF36*90</f>
        <v>3399315</v>
      </c>
      <c r="AG37" s="286">
        <f t="shared" ref="AG37" si="18">AG36*90</f>
        <v>2375932.5</v>
      </c>
      <c r="AH37" s="286">
        <f t="shared" ref="AH37" si="19">AH36*90</f>
        <v>3346627.5</v>
      </c>
      <c r="AI37" s="286">
        <f t="shared" ref="AI37" si="20">AI36*90</f>
        <v>3399315</v>
      </c>
      <c r="AJ37" s="286">
        <f t="shared" ref="AJ37" si="21">AJ36*90</f>
        <v>38656917.000000007</v>
      </c>
      <c r="AK37" s="241"/>
    </row>
    <row r="38" spans="1:37">
      <c r="A38" s="224" t="s">
        <v>197</v>
      </c>
      <c r="B38" s="224"/>
      <c r="C38" s="282" t="s">
        <v>56</v>
      </c>
      <c r="D38" s="282" t="s">
        <v>123</v>
      </c>
      <c r="E38" s="249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83">
        <f t="shared" si="6"/>
        <v>0</v>
      </c>
      <c r="T38" s="224" t="s">
        <v>197</v>
      </c>
      <c r="U38" s="224"/>
      <c r="V38" s="246" t="s">
        <v>56</v>
      </c>
      <c r="W38" s="246" t="s">
        <v>123</v>
      </c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38"/>
    </row>
    <row r="39" spans="1:37">
      <c r="A39" s="224" t="s">
        <v>197</v>
      </c>
      <c r="B39" s="224"/>
      <c r="C39" s="279"/>
      <c r="D39" s="282" t="s">
        <v>64</v>
      </c>
      <c r="E39" s="249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83">
        <f t="shared" si="6"/>
        <v>0</v>
      </c>
      <c r="T39" s="224" t="s">
        <v>197</v>
      </c>
      <c r="U39" s="224"/>
      <c r="V39" s="247"/>
      <c r="W39" s="246" t="s">
        <v>64</v>
      </c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38"/>
    </row>
    <row r="40" spans="1:37">
      <c r="A40" s="224" t="s">
        <v>197</v>
      </c>
      <c r="B40" s="224"/>
      <c r="C40" s="279"/>
      <c r="D40" s="282" t="s">
        <v>186</v>
      </c>
      <c r="E40" s="249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83">
        <f t="shared" si="6"/>
        <v>0</v>
      </c>
      <c r="T40" s="224" t="s">
        <v>197</v>
      </c>
      <c r="U40" s="224"/>
      <c r="V40" s="247"/>
      <c r="W40" s="246" t="s">
        <v>186</v>
      </c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38"/>
    </row>
    <row r="41" spans="1:37">
      <c r="A41" s="224"/>
      <c r="B41" s="224"/>
      <c r="C41" s="280"/>
      <c r="D41" s="285" t="s">
        <v>66</v>
      </c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8"/>
      <c r="T41" s="224"/>
      <c r="U41" s="224"/>
      <c r="V41" s="247"/>
      <c r="W41" s="285" t="s">
        <v>66</v>
      </c>
      <c r="X41" s="286">
        <f t="shared" ref="X41" si="22">X40*90</f>
        <v>0</v>
      </c>
      <c r="Y41" s="286">
        <f t="shared" ref="Y41" si="23">Y40*90</f>
        <v>0</v>
      </c>
      <c r="Z41" s="286">
        <f t="shared" ref="Z41" si="24">Z40*90</f>
        <v>0</v>
      </c>
      <c r="AA41" s="286">
        <f t="shared" ref="AA41" si="25">AA40*90</f>
        <v>0</v>
      </c>
      <c r="AB41" s="286">
        <f t="shared" ref="AB41" si="26">AB40*90</f>
        <v>0</v>
      </c>
      <c r="AC41" s="286">
        <f t="shared" ref="AC41" si="27">AC40*90</f>
        <v>0</v>
      </c>
      <c r="AD41" s="286">
        <f t="shared" ref="AD41" si="28">AD40*90</f>
        <v>0</v>
      </c>
      <c r="AE41" s="286">
        <f t="shared" ref="AE41" si="29">AE40*90</f>
        <v>0</v>
      </c>
      <c r="AF41" s="286">
        <f t="shared" ref="AF41" si="30">AF40*90</f>
        <v>0</v>
      </c>
      <c r="AG41" s="286">
        <f t="shared" ref="AG41" si="31">AG40*90</f>
        <v>0</v>
      </c>
      <c r="AH41" s="286">
        <f t="shared" ref="AH41" si="32">AH40*90</f>
        <v>0</v>
      </c>
      <c r="AI41" s="286">
        <f t="shared" ref="AI41" si="33">AI40*90</f>
        <v>0</v>
      </c>
      <c r="AJ41" s="286">
        <f t="shared" ref="AJ41" si="34">AJ40*90</f>
        <v>0</v>
      </c>
    </row>
    <row r="42" spans="1:37">
      <c r="A42" s="224" t="s">
        <v>198</v>
      </c>
      <c r="B42" s="224"/>
      <c r="C42" s="282" t="s">
        <v>57</v>
      </c>
      <c r="D42" s="282" t="s">
        <v>123</v>
      </c>
      <c r="E42" s="249">
        <v>3</v>
      </c>
      <c r="F42" s="249">
        <v>5</v>
      </c>
      <c r="G42" s="249">
        <v>0</v>
      </c>
      <c r="H42" s="249">
        <v>4</v>
      </c>
      <c r="I42" s="249">
        <v>3</v>
      </c>
      <c r="J42" s="249">
        <v>5</v>
      </c>
      <c r="K42" s="249">
        <v>3</v>
      </c>
      <c r="L42" s="249">
        <v>4</v>
      </c>
      <c r="M42" s="249">
        <v>3</v>
      </c>
      <c r="N42" s="249">
        <v>5</v>
      </c>
      <c r="O42" s="249">
        <v>4</v>
      </c>
      <c r="P42" s="249">
        <v>3</v>
      </c>
      <c r="Q42" s="284">
        <f t="shared" si="6"/>
        <v>42</v>
      </c>
      <c r="R42" s="241"/>
      <c r="T42" s="224" t="s">
        <v>198</v>
      </c>
      <c r="U42" s="224"/>
      <c r="V42" s="246" t="s">
        <v>57</v>
      </c>
      <c r="W42" s="246" t="s">
        <v>123</v>
      </c>
      <c r="X42" s="249">
        <v>3</v>
      </c>
      <c r="Y42" s="249">
        <v>5</v>
      </c>
      <c r="Z42" s="249">
        <v>2</v>
      </c>
      <c r="AA42" s="249">
        <v>4</v>
      </c>
      <c r="AB42" s="249">
        <v>3</v>
      </c>
      <c r="AC42" s="249">
        <v>5</v>
      </c>
      <c r="AD42" s="249">
        <v>3</v>
      </c>
      <c r="AE42" s="249">
        <v>4</v>
      </c>
      <c r="AF42" s="249">
        <v>3</v>
      </c>
      <c r="AG42" s="249">
        <v>5</v>
      </c>
      <c r="AH42" s="249">
        <v>4</v>
      </c>
      <c r="AI42" s="249">
        <v>3</v>
      </c>
      <c r="AJ42" s="243">
        <f t="shared" si="7"/>
        <v>44</v>
      </c>
      <c r="AK42" s="241">
        <v>44</v>
      </c>
    </row>
    <row r="43" spans="1:37">
      <c r="A43" s="224" t="s">
        <v>198</v>
      </c>
      <c r="B43" s="224"/>
      <c r="C43" s="279"/>
      <c r="D43" s="282" t="s">
        <v>64</v>
      </c>
      <c r="E43" s="242">
        <v>13500</v>
      </c>
      <c r="F43" s="242">
        <v>18648</v>
      </c>
      <c r="G43" s="242">
        <v>0</v>
      </c>
      <c r="H43" s="242">
        <v>14918.4</v>
      </c>
      <c r="I43" s="242">
        <v>13500</v>
      </c>
      <c r="J43" s="242">
        <v>18648</v>
      </c>
      <c r="K43" s="242">
        <v>13500</v>
      </c>
      <c r="L43" s="242">
        <v>14918.4</v>
      </c>
      <c r="M43" s="242">
        <v>13500</v>
      </c>
      <c r="N43" s="242">
        <v>18648</v>
      </c>
      <c r="O43" s="242">
        <v>18000</v>
      </c>
      <c r="P43" s="242">
        <v>11188.8</v>
      </c>
      <c r="Q43" s="284">
        <f t="shared" si="6"/>
        <v>168969.59999999998</v>
      </c>
      <c r="R43" s="241"/>
      <c r="T43" s="224" t="s">
        <v>198</v>
      </c>
      <c r="U43" s="224"/>
      <c r="V43" s="247"/>
      <c r="W43" s="246" t="s">
        <v>64</v>
      </c>
      <c r="X43" s="242">
        <v>13500</v>
      </c>
      <c r="Y43" s="242">
        <v>18648</v>
      </c>
      <c r="Z43" s="242">
        <v>9000</v>
      </c>
      <c r="AA43" s="242">
        <v>14918.4</v>
      </c>
      <c r="AB43" s="242">
        <v>13500</v>
      </c>
      <c r="AC43" s="242">
        <v>16648</v>
      </c>
      <c r="AD43" s="242">
        <v>13500</v>
      </c>
      <c r="AE43" s="242">
        <v>14918.4</v>
      </c>
      <c r="AF43" s="242">
        <v>13500</v>
      </c>
      <c r="AG43" s="242">
        <v>18648</v>
      </c>
      <c r="AH43" s="242">
        <v>18000</v>
      </c>
      <c r="AI43" s="242">
        <v>11188.8</v>
      </c>
      <c r="AJ43" s="243">
        <f t="shared" si="7"/>
        <v>175969.59999999998</v>
      </c>
      <c r="AK43" s="241">
        <v>175728.38399999999</v>
      </c>
    </row>
    <row r="44" spans="1:37">
      <c r="A44" s="224" t="s">
        <v>198</v>
      </c>
      <c r="B44" s="224"/>
      <c r="C44" s="279"/>
      <c r="D44" s="282" t="s">
        <v>186</v>
      </c>
      <c r="E44" s="242">
        <v>15750</v>
      </c>
      <c r="F44" s="242">
        <v>122353</v>
      </c>
      <c r="G44" s="242">
        <v>0</v>
      </c>
      <c r="H44" s="242">
        <v>97882.4</v>
      </c>
      <c r="I44" s="242">
        <v>15750</v>
      </c>
      <c r="J44" s="242">
        <v>122353</v>
      </c>
      <c r="K44" s="242">
        <v>15750</v>
      </c>
      <c r="L44" s="242">
        <v>97882.4</v>
      </c>
      <c r="M44" s="242">
        <v>15750</v>
      </c>
      <c r="N44" s="242">
        <v>122353</v>
      </c>
      <c r="O44" s="242">
        <v>21000</v>
      </c>
      <c r="P44" s="242">
        <v>73411.799999999988</v>
      </c>
      <c r="Q44" s="284">
        <f t="shared" si="6"/>
        <v>720235.60000000009</v>
      </c>
      <c r="R44" s="241"/>
      <c r="T44" s="224" t="s">
        <v>198</v>
      </c>
      <c r="U44" s="224"/>
      <c r="V44" s="247"/>
      <c r="W44" s="246" t="s">
        <v>186</v>
      </c>
      <c r="X44" s="242">
        <v>15750</v>
      </c>
      <c r="Y44" s="242">
        <v>122353</v>
      </c>
      <c r="Z44" s="242">
        <v>10500</v>
      </c>
      <c r="AA44" s="242">
        <v>97882.4</v>
      </c>
      <c r="AB44" s="242">
        <v>15750</v>
      </c>
      <c r="AC44" s="242">
        <v>132353</v>
      </c>
      <c r="AD44" s="242">
        <v>15750</v>
      </c>
      <c r="AE44" s="242">
        <v>97882.4</v>
      </c>
      <c r="AF44" s="242">
        <v>15750</v>
      </c>
      <c r="AG44" s="242">
        <v>122353</v>
      </c>
      <c r="AH44" s="242">
        <v>21000</v>
      </c>
      <c r="AI44" s="242">
        <v>73411.799999999988</v>
      </c>
      <c r="AJ44" s="243">
        <f t="shared" si="7"/>
        <v>740735.60000000009</v>
      </c>
      <c r="AK44" s="241">
        <v>749045.02400000009</v>
      </c>
    </row>
    <row r="45" spans="1:37">
      <c r="A45" s="224"/>
      <c r="B45" s="224"/>
      <c r="C45" s="280"/>
      <c r="D45" s="285" t="s">
        <v>66</v>
      </c>
      <c r="E45" s="289">
        <f t="shared" ref="E45:Q45" si="35">E44*90</f>
        <v>1417500</v>
      </c>
      <c r="F45" s="289">
        <f t="shared" si="35"/>
        <v>11011770</v>
      </c>
      <c r="G45" s="289">
        <f t="shared" si="35"/>
        <v>0</v>
      </c>
      <c r="H45" s="289">
        <f t="shared" si="35"/>
        <v>8809416</v>
      </c>
      <c r="I45" s="289">
        <f t="shared" si="35"/>
        <v>1417500</v>
      </c>
      <c r="J45" s="289">
        <f t="shared" si="35"/>
        <v>11011770</v>
      </c>
      <c r="K45" s="289">
        <f t="shared" si="35"/>
        <v>1417500</v>
      </c>
      <c r="L45" s="289">
        <f t="shared" si="35"/>
        <v>8809416</v>
      </c>
      <c r="M45" s="289">
        <f t="shared" si="35"/>
        <v>1417500</v>
      </c>
      <c r="N45" s="289">
        <f t="shared" si="35"/>
        <v>11011770</v>
      </c>
      <c r="O45" s="289">
        <f t="shared" si="35"/>
        <v>1890000</v>
      </c>
      <c r="P45" s="289">
        <f t="shared" si="35"/>
        <v>6607061.9999999991</v>
      </c>
      <c r="Q45" s="289">
        <f t="shared" si="35"/>
        <v>64821204.000000007</v>
      </c>
      <c r="R45" s="241"/>
      <c r="T45" s="224"/>
      <c r="U45" s="224"/>
      <c r="V45" s="247"/>
      <c r="W45" s="285" t="s">
        <v>66</v>
      </c>
      <c r="X45" s="286">
        <f t="shared" ref="X45" si="36">X44*90</f>
        <v>1417500</v>
      </c>
      <c r="Y45" s="286">
        <f t="shared" ref="Y45" si="37">Y44*90</f>
        <v>11011770</v>
      </c>
      <c r="Z45" s="286">
        <f t="shared" ref="Z45" si="38">Z44*90</f>
        <v>945000</v>
      </c>
      <c r="AA45" s="286">
        <f t="shared" ref="AA45" si="39">AA44*90</f>
        <v>8809416</v>
      </c>
      <c r="AB45" s="286">
        <f t="shared" ref="AB45" si="40">AB44*90</f>
        <v>1417500</v>
      </c>
      <c r="AC45" s="286">
        <f t="shared" ref="AC45" si="41">AC44*90</f>
        <v>11911770</v>
      </c>
      <c r="AD45" s="286">
        <f t="shared" ref="AD45" si="42">AD44*90</f>
        <v>1417500</v>
      </c>
      <c r="AE45" s="286">
        <f t="shared" ref="AE45" si="43">AE44*90</f>
        <v>8809416</v>
      </c>
      <c r="AF45" s="286">
        <f t="shared" ref="AF45" si="44">AF44*90</f>
        <v>1417500</v>
      </c>
      <c r="AG45" s="286">
        <f t="shared" ref="AG45" si="45">AG44*90</f>
        <v>11011770</v>
      </c>
      <c r="AH45" s="286">
        <f t="shared" ref="AH45" si="46">AH44*90</f>
        <v>1890000</v>
      </c>
      <c r="AI45" s="286">
        <f t="shared" ref="AI45" si="47">AI44*90</f>
        <v>6607061.9999999991</v>
      </c>
      <c r="AJ45" s="286">
        <f t="shared" ref="AJ45" si="48">AJ44*90</f>
        <v>66666204.000000007</v>
      </c>
      <c r="AK45" s="241"/>
    </row>
    <row r="46" spans="1:37">
      <c r="A46" s="224" t="s">
        <v>199</v>
      </c>
      <c r="B46" s="224"/>
      <c r="C46" s="282" t="s">
        <v>190</v>
      </c>
      <c r="D46" s="282" t="s">
        <v>123</v>
      </c>
      <c r="E46" s="249"/>
      <c r="F46" s="249"/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284"/>
      <c r="T46" s="224" t="s">
        <v>199</v>
      </c>
      <c r="U46" s="224"/>
      <c r="V46" s="246" t="s">
        <v>190</v>
      </c>
      <c r="W46" s="246" t="s">
        <v>123</v>
      </c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3">
        <f t="shared" si="7"/>
        <v>0</v>
      </c>
    </row>
    <row r="47" spans="1:37">
      <c r="A47" s="224" t="s">
        <v>199</v>
      </c>
      <c r="B47" s="224"/>
      <c r="C47" s="279"/>
      <c r="D47" s="282" t="s">
        <v>64</v>
      </c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84"/>
      <c r="T47" s="224" t="s">
        <v>199</v>
      </c>
      <c r="U47" s="224"/>
      <c r="V47" s="247"/>
      <c r="W47" s="246" t="s">
        <v>64</v>
      </c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3">
        <f t="shared" si="7"/>
        <v>0</v>
      </c>
    </row>
    <row r="48" spans="1:37">
      <c r="A48" s="224" t="s">
        <v>199</v>
      </c>
      <c r="B48" s="224"/>
      <c r="C48" s="279"/>
      <c r="D48" s="282" t="s">
        <v>186</v>
      </c>
      <c r="E48" s="249"/>
      <c r="F48" s="249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284"/>
      <c r="T48" s="224" t="s">
        <v>199</v>
      </c>
      <c r="U48" s="224"/>
      <c r="V48" s="247"/>
      <c r="W48" s="246" t="s">
        <v>186</v>
      </c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3">
        <f t="shared" si="7"/>
        <v>0</v>
      </c>
    </row>
    <row r="49" spans="1:37">
      <c r="A49" s="224"/>
      <c r="B49" s="224"/>
      <c r="C49" s="280"/>
      <c r="D49" s="285" t="s">
        <v>66</v>
      </c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90"/>
      <c r="T49" s="224"/>
      <c r="U49" s="224"/>
      <c r="V49" s="247"/>
      <c r="W49" s="285" t="s">
        <v>66</v>
      </c>
      <c r="X49" s="286">
        <f t="shared" ref="X49" si="49">X48*90</f>
        <v>0</v>
      </c>
      <c r="Y49" s="286">
        <f t="shared" ref="Y49" si="50">Y48*90</f>
        <v>0</v>
      </c>
      <c r="Z49" s="286">
        <f t="shared" ref="Z49" si="51">Z48*90</f>
        <v>0</v>
      </c>
      <c r="AA49" s="286">
        <f t="shared" ref="AA49" si="52">AA48*90</f>
        <v>0</v>
      </c>
      <c r="AB49" s="286">
        <f t="shared" ref="AB49" si="53">AB48*90</f>
        <v>0</v>
      </c>
      <c r="AC49" s="286">
        <f t="shared" ref="AC49" si="54">AC48*90</f>
        <v>0</v>
      </c>
      <c r="AD49" s="286">
        <f t="shared" ref="AD49" si="55">AD48*90</f>
        <v>0</v>
      </c>
      <c r="AE49" s="286">
        <f t="shared" ref="AE49" si="56">AE48*90</f>
        <v>0</v>
      </c>
      <c r="AF49" s="286">
        <f t="shared" ref="AF49" si="57">AF48*90</f>
        <v>0</v>
      </c>
      <c r="AG49" s="286">
        <f t="shared" ref="AG49" si="58">AG48*90</f>
        <v>0</v>
      </c>
      <c r="AH49" s="286">
        <f t="shared" ref="AH49" si="59">AH48*90</f>
        <v>0</v>
      </c>
      <c r="AI49" s="286">
        <f t="shared" ref="AI49" si="60">AI48*90</f>
        <v>0</v>
      </c>
      <c r="AJ49" s="286">
        <f t="shared" ref="AJ49" si="61">AJ48*90</f>
        <v>0</v>
      </c>
    </row>
    <row r="50" spans="1:37">
      <c r="A50" s="224" t="s">
        <v>200</v>
      </c>
      <c r="B50" s="224"/>
      <c r="C50" s="282" t="s">
        <v>192</v>
      </c>
      <c r="D50" s="282" t="s">
        <v>123</v>
      </c>
      <c r="E50" s="242">
        <v>20</v>
      </c>
      <c r="F50" s="242">
        <v>20</v>
      </c>
      <c r="G50" s="242">
        <v>12</v>
      </c>
      <c r="H50" s="242">
        <v>19</v>
      </c>
      <c r="I50" s="242">
        <v>18</v>
      </c>
      <c r="J50" s="242">
        <v>15</v>
      </c>
      <c r="K50" s="242">
        <v>18</v>
      </c>
      <c r="L50" s="242">
        <v>17</v>
      </c>
      <c r="M50" s="242">
        <v>20</v>
      </c>
      <c r="N50" s="242">
        <v>19</v>
      </c>
      <c r="O50" s="242">
        <v>18</v>
      </c>
      <c r="P50" s="242">
        <v>16</v>
      </c>
      <c r="Q50" s="284">
        <f t="shared" si="6"/>
        <v>212</v>
      </c>
      <c r="R50" s="241"/>
      <c r="T50" s="224" t="s">
        <v>200</v>
      </c>
      <c r="U50" s="224"/>
      <c r="V50" s="246" t="s">
        <v>192</v>
      </c>
      <c r="W50" s="246" t="s">
        <v>123</v>
      </c>
      <c r="X50" s="242">
        <v>20</v>
      </c>
      <c r="Y50" s="242">
        <v>20</v>
      </c>
      <c r="Z50" s="242">
        <v>12</v>
      </c>
      <c r="AA50" s="242">
        <v>19</v>
      </c>
      <c r="AB50" s="242">
        <v>18</v>
      </c>
      <c r="AC50" s="242">
        <v>20</v>
      </c>
      <c r="AD50" s="242">
        <v>18</v>
      </c>
      <c r="AE50" s="242">
        <v>17</v>
      </c>
      <c r="AF50" s="242">
        <v>20</v>
      </c>
      <c r="AG50" s="242">
        <v>19</v>
      </c>
      <c r="AH50" s="242">
        <v>20</v>
      </c>
      <c r="AI50" s="242">
        <v>17</v>
      </c>
      <c r="AJ50" s="243">
        <f t="shared" si="7"/>
        <v>220</v>
      </c>
      <c r="AK50" s="241">
        <v>220</v>
      </c>
    </row>
    <row r="51" spans="1:37">
      <c r="A51" s="224" t="s">
        <v>200</v>
      </c>
      <c r="B51" s="224"/>
      <c r="C51" s="279"/>
      <c r="D51" s="282" t="s">
        <v>64</v>
      </c>
      <c r="E51" s="242">
        <v>66654</v>
      </c>
      <c r="F51" s="242">
        <v>61961</v>
      </c>
      <c r="G51" s="242">
        <v>40796</v>
      </c>
      <c r="H51" s="242">
        <v>63321.299999999996</v>
      </c>
      <c r="I51" s="242">
        <v>55764.9</v>
      </c>
      <c r="J51" s="242">
        <v>50995</v>
      </c>
      <c r="K51" s="242">
        <v>59988.6</v>
      </c>
      <c r="L51" s="242">
        <v>52666.850000000006</v>
      </c>
      <c r="M51" s="242">
        <v>67993.333333333328</v>
      </c>
      <c r="N51" s="242">
        <v>63321.299999999996</v>
      </c>
      <c r="O51" s="242">
        <v>55764.9</v>
      </c>
      <c r="P51" s="242">
        <v>54394.666666666664</v>
      </c>
      <c r="Q51" s="284">
        <f t="shared" si="6"/>
        <v>693621.85</v>
      </c>
      <c r="R51" s="241"/>
      <c r="T51" s="224" t="s">
        <v>200</v>
      </c>
      <c r="U51" s="224"/>
      <c r="V51" s="247"/>
      <c r="W51" s="246" t="s">
        <v>64</v>
      </c>
      <c r="X51" s="242">
        <v>66654</v>
      </c>
      <c r="Y51" s="242">
        <v>61961</v>
      </c>
      <c r="Z51" s="242">
        <v>40796</v>
      </c>
      <c r="AA51" s="242">
        <v>63321.299999999996</v>
      </c>
      <c r="AB51" s="242">
        <v>55764.9</v>
      </c>
      <c r="AC51" s="242">
        <v>67993.333333333328</v>
      </c>
      <c r="AD51" s="242">
        <v>59988.6</v>
      </c>
      <c r="AE51" s="242">
        <v>52666.850000000006</v>
      </c>
      <c r="AF51" s="242">
        <v>67993.333333333328</v>
      </c>
      <c r="AG51" s="242">
        <v>63321.299999999996</v>
      </c>
      <c r="AH51" s="242">
        <v>67993.333333333328</v>
      </c>
      <c r="AI51" s="242">
        <v>52666.850000000006</v>
      </c>
      <c r="AJ51" s="243">
        <f t="shared" si="7"/>
        <v>721120.8</v>
      </c>
      <c r="AK51" s="241">
        <v>721366.72400000005</v>
      </c>
    </row>
    <row r="52" spans="1:37">
      <c r="A52" s="224" t="s">
        <v>200</v>
      </c>
      <c r="B52" s="224"/>
      <c r="C52" s="279"/>
      <c r="D52" s="282" t="s">
        <v>186</v>
      </c>
      <c r="E52" s="242">
        <v>331160.75</v>
      </c>
      <c r="F52" s="242">
        <v>293848.5</v>
      </c>
      <c r="G52" s="242">
        <v>228510</v>
      </c>
      <c r="H52" s="242">
        <v>314602.71249999997</v>
      </c>
      <c r="I52" s="242">
        <v>264463.64999999997</v>
      </c>
      <c r="J52" s="242">
        <v>285637.5</v>
      </c>
      <c r="K52" s="242">
        <v>298044.67499999999</v>
      </c>
      <c r="L52" s="242">
        <v>249771.22499999998</v>
      </c>
      <c r="M52" s="242">
        <v>380850</v>
      </c>
      <c r="N52" s="242">
        <v>314602.71249999997</v>
      </c>
      <c r="O52" s="242">
        <v>264463.64999999997</v>
      </c>
      <c r="P52" s="242">
        <v>304680</v>
      </c>
      <c r="Q52" s="284">
        <f t="shared" si="6"/>
        <v>3530635.3749999995</v>
      </c>
      <c r="R52" s="241"/>
      <c r="T52" s="224" t="s">
        <v>200</v>
      </c>
      <c r="U52" s="224"/>
      <c r="V52" s="247"/>
      <c r="W52" s="246" t="s">
        <v>186</v>
      </c>
      <c r="X52" s="242">
        <v>331160.75</v>
      </c>
      <c r="Y52" s="242">
        <v>293848.5</v>
      </c>
      <c r="Z52" s="242">
        <v>228510</v>
      </c>
      <c r="AA52" s="242">
        <v>314602.71249999997</v>
      </c>
      <c r="AB52" s="242">
        <v>264463.64999999997</v>
      </c>
      <c r="AC52" s="242">
        <v>370850</v>
      </c>
      <c r="AD52" s="242">
        <v>298044.67499999999</v>
      </c>
      <c r="AE52" s="242">
        <v>249771.22499999998</v>
      </c>
      <c r="AF52" s="242">
        <v>380850</v>
      </c>
      <c r="AG52" s="242">
        <v>314602.71249999997</v>
      </c>
      <c r="AH52" s="242">
        <v>370850</v>
      </c>
      <c r="AI52" s="242">
        <v>249771.22499999998</v>
      </c>
      <c r="AJ52" s="243">
        <f t="shared" si="7"/>
        <v>3667325.4499999997</v>
      </c>
      <c r="AK52" s="241">
        <v>3671860.7899999996</v>
      </c>
    </row>
    <row r="53" spans="1:37">
      <c r="A53" s="224"/>
      <c r="B53" s="224"/>
      <c r="C53" s="280"/>
      <c r="D53" s="285" t="s">
        <v>66</v>
      </c>
      <c r="E53" s="289">
        <f t="shared" ref="E53:Q53" si="62">E52*90</f>
        <v>29804467.5</v>
      </c>
      <c r="F53" s="289">
        <f t="shared" si="62"/>
        <v>26446365</v>
      </c>
      <c r="G53" s="289">
        <f t="shared" si="62"/>
        <v>20565900</v>
      </c>
      <c r="H53" s="289">
        <f t="shared" si="62"/>
        <v>28314244.124999996</v>
      </c>
      <c r="I53" s="289">
        <f t="shared" si="62"/>
        <v>23801728.499999996</v>
      </c>
      <c r="J53" s="289">
        <f t="shared" si="62"/>
        <v>25707375</v>
      </c>
      <c r="K53" s="289">
        <f t="shared" si="62"/>
        <v>26824020.75</v>
      </c>
      <c r="L53" s="289">
        <f t="shared" si="62"/>
        <v>22479410.249999996</v>
      </c>
      <c r="M53" s="289">
        <f t="shared" si="62"/>
        <v>34276500</v>
      </c>
      <c r="N53" s="289">
        <f t="shared" si="62"/>
        <v>28314244.124999996</v>
      </c>
      <c r="O53" s="289">
        <f t="shared" si="62"/>
        <v>23801728.499999996</v>
      </c>
      <c r="P53" s="289">
        <f t="shared" si="62"/>
        <v>27421200</v>
      </c>
      <c r="Q53" s="289">
        <f t="shared" si="62"/>
        <v>317757183.74999994</v>
      </c>
      <c r="R53" s="241"/>
      <c r="T53" s="224"/>
      <c r="U53" s="224"/>
      <c r="V53" s="247"/>
      <c r="W53" s="285" t="s">
        <v>66</v>
      </c>
      <c r="X53" s="286">
        <f t="shared" ref="X53" si="63">X52*90</f>
        <v>29804467.5</v>
      </c>
      <c r="Y53" s="286">
        <f t="shared" ref="Y53" si="64">Y52*90</f>
        <v>26446365</v>
      </c>
      <c r="Z53" s="286">
        <f t="shared" ref="Z53" si="65">Z52*90</f>
        <v>20565900</v>
      </c>
      <c r="AA53" s="286">
        <f t="shared" ref="AA53" si="66">AA52*90</f>
        <v>28314244.124999996</v>
      </c>
      <c r="AB53" s="286">
        <f t="shared" ref="AB53" si="67">AB52*90</f>
        <v>23801728.499999996</v>
      </c>
      <c r="AC53" s="286">
        <f t="shared" ref="AC53" si="68">AC52*90</f>
        <v>33376500</v>
      </c>
      <c r="AD53" s="286">
        <f t="shared" ref="AD53" si="69">AD52*90</f>
        <v>26824020.75</v>
      </c>
      <c r="AE53" s="286">
        <f t="shared" ref="AE53" si="70">AE52*90</f>
        <v>22479410.249999996</v>
      </c>
      <c r="AF53" s="286">
        <f t="shared" ref="AF53" si="71">AF52*90</f>
        <v>34276500</v>
      </c>
      <c r="AG53" s="286">
        <f t="shared" ref="AG53" si="72">AG52*90</f>
        <v>28314244.124999996</v>
      </c>
      <c r="AH53" s="286">
        <f t="shared" ref="AH53" si="73">AH52*90</f>
        <v>33376500</v>
      </c>
      <c r="AI53" s="286">
        <f t="shared" ref="AI53" si="74">AI52*90</f>
        <v>22479410.249999996</v>
      </c>
      <c r="AJ53" s="286">
        <f t="shared" ref="AJ53" si="75">AJ52*90</f>
        <v>330059290.5</v>
      </c>
      <c r="AK53" s="241"/>
    </row>
    <row r="54" spans="1:37">
      <c r="A54" s="224" t="s">
        <v>201</v>
      </c>
      <c r="B54" s="224"/>
      <c r="C54" s="282" t="s">
        <v>194</v>
      </c>
      <c r="D54" s="282" t="s">
        <v>123</v>
      </c>
      <c r="E54" s="249"/>
      <c r="F54" s="249"/>
      <c r="G54" s="249"/>
      <c r="H54" s="249"/>
      <c r="I54" s="249"/>
      <c r="J54" s="249"/>
      <c r="K54" s="249"/>
      <c r="L54" s="249"/>
      <c r="M54" s="249"/>
      <c r="N54" s="249"/>
      <c r="O54" s="249"/>
      <c r="P54" s="249"/>
      <c r="Q54" s="283"/>
      <c r="T54" s="224" t="s">
        <v>201</v>
      </c>
      <c r="U54" s="224"/>
      <c r="V54" s="246" t="s">
        <v>194</v>
      </c>
      <c r="W54" s="246" t="s">
        <v>123</v>
      </c>
      <c r="X54" s="248"/>
      <c r="Y54" s="248"/>
      <c r="Z54" s="248"/>
      <c r="AA54" s="248"/>
      <c r="AB54" s="248"/>
      <c r="AC54" s="248"/>
      <c r="AD54" s="248"/>
      <c r="AE54" s="248"/>
      <c r="AF54" s="248"/>
      <c r="AG54" s="248"/>
      <c r="AH54" s="248"/>
      <c r="AI54" s="248"/>
      <c r="AJ54" s="238"/>
    </row>
    <row r="55" spans="1:37">
      <c r="A55" s="224" t="s">
        <v>201</v>
      </c>
      <c r="B55" s="224"/>
      <c r="C55" s="279"/>
      <c r="D55" s="282" t="s">
        <v>64</v>
      </c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83"/>
      <c r="T55" s="224" t="s">
        <v>201</v>
      </c>
      <c r="U55" s="224"/>
      <c r="V55" s="247"/>
      <c r="W55" s="246" t="s">
        <v>64</v>
      </c>
      <c r="X55" s="248"/>
      <c r="Y55" s="248"/>
      <c r="Z55" s="248"/>
      <c r="AA55" s="248"/>
      <c r="AB55" s="248"/>
      <c r="AC55" s="248"/>
      <c r="AD55" s="248"/>
      <c r="AE55" s="248"/>
      <c r="AF55" s="248"/>
      <c r="AG55" s="248"/>
      <c r="AH55" s="248"/>
      <c r="AI55" s="248"/>
      <c r="AJ55" s="238"/>
    </row>
    <row r="56" spans="1:37">
      <c r="A56" s="224" t="s">
        <v>201</v>
      </c>
      <c r="B56" s="224"/>
      <c r="C56" s="279"/>
      <c r="D56" s="282" t="s">
        <v>186</v>
      </c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83"/>
      <c r="T56" s="224" t="s">
        <v>201</v>
      </c>
      <c r="U56" s="224"/>
      <c r="V56" s="247"/>
      <c r="W56" s="246" t="s">
        <v>186</v>
      </c>
      <c r="X56" s="248"/>
      <c r="Y56" s="248"/>
      <c r="Z56" s="248"/>
      <c r="AA56" s="248"/>
      <c r="AB56" s="248"/>
      <c r="AC56" s="248"/>
      <c r="AD56" s="248"/>
      <c r="AE56" s="248"/>
      <c r="AF56" s="248"/>
      <c r="AG56" s="248"/>
      <c r="AH56" s="248"/>
      <c r="AI56" s="248"/>
      <c r="AJ56" s="238"/>
    </row>
    <row r="57" spans="1:37">
      <c r="A57" s="224"/>
      <c r="B57" s="224"/>
      <c r="C57" s="281"/>
      <c r="D57" s="285" t="s">
        <v>66</v>
      </c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2"/>
      <c r="T57" s="224"/>
      <c r="U57" s="224"/>
      <c r="V57" s="257"/>
      <c r="W57" s="285" t="s">
        <v>66</v>
      </c>
      <c r="X57" s="286">
        <f t="shared" ref="X57" si="76">X56*90</f>
        <v>0</v>
      </c>
      <c r="Y57" s="286">
        <f t="shared" ref="Y57" si="77">Y56*90</f>
        <v>0</v>
      </c>
      <c r="Z57" s="286">
        <f t="shared" ref="Z57" si="78">Z56*90</f>
        <v>0</v>
      </c>
      <c r="AA57" s="286">
        <f t="shared" ref="AA57" si="79">AA56*90</f>
        <v>0</v>
      </c>
      <c r="AB57" s="286">
        <f t="shared" ref="AB57" si="80">AB56*90</f>
        <v>0</v>
      </c>
      <c r="AC57" s="286">
        <f t="shared" ref="AC57" si="81">AC56*90</f>
        <v>0</v>
      </c>
      <c r="AD57" s="286">
        <f t="shared" ref="AD57" si="82">AD56*90</f>
        <v>0</v>
      </c>
      <c r="AE57" s="286">
        <f t="shared" ref="AE57" si="83">AE56*90</f>
        <v>0</v>
      </c>
      <c r="AF57" s="286">
        <f t="shared" ref="AF57" si="84">AF56*90</f>
        <v>0</v>
      </c>
      <c r="AG57" s="286">
        <f t="shared" ref="AG57" si="85">AG56*90</f>
        <v>0</v>
      </c>
      <c r="AH57" s="286">
        <f t="shared" ref="AH57" si="86">AH56*90</f>
        <v>0</v>
      </c>
      <c r="AI57" s="286">
        <f t="shared" ref="AI57" si="87">AI56*90</f>
        <v>0</v>
      </c>
      <c r="AJ57" s="286">
        <f t="shared" ref="AJ57" si="88">AJ56*90</f>
        <v>0</v>
      </c>
    </row>
    <row r="58" spans="1:37"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60"/>
      <c r="AJ58" s="251"/>
    </row>
    <row r="59" spans="1:37"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60"/>
      <c r="AJ59" s="251"/>
    </row>
    <row r="60" spans="1:37">
      <c r="A60" s="224"/>
      <c r="B60" s="224"/>
      <c r="C60" s="252" t="s">
        <v>50</v>
      </c>
      <c r="D60" s="253" t="s">
        <v>123</v>
      </c>
      <c r="E60" s="242">
        <f>SUMIF($D$7:$D$30,D60,$E$7:$E$30)</f>
        <v>7</v>
      </c>
      <c r="F60" s="242">
        <f>SUMIF($D$7:$D$30,D60,$F$7:$F$30)</f>
        <v>7</v>
      </c>
      <c r="G60" s="242">
        <f>SUMIF($D$7:$D$30,D60,$G$7:$G$30)</f>
        <v>11</v>
      </c>
      <c r="H60" s="242">
        <f>SUMIF($D$7:$D$30,D60,$H$7:$H$30)</f>
        <v>11</v>
      </c>
      <c r="I60" s="242">
        <f>SUMIF($D$7:$D$30,D60,$I$7:$I$30)</f>
        <v>9</v>
      </c>
      <c r="J60" s="242">
        <f>SUMIF($D$7:$D$30,D60,$J$7:$J$30)</f>
        <v>11</v>
      </c>
      <c r="K60" s="242">
        <f>SUMIF($D$7:$D$30,D60,$K$7:$K$30)</f>
        <v>11</v>
      </c>
      <c r="L60" s="242">
        <f>SUMIF($D$7:$D$30,D60,$L$7:$L$30)</f>
        <v>8</v>
      </c>
      <c r="M60" s="242">
        <f>SUMIF($D$7:$D$30,D60,$M$7:$M$30)</f>
        <v>10</v>
      </c>
      <c r="N60" s="242">
        <f>SUMIF($D$7:$D$30,D60,$N$7:$N$30)</f>
        <v>13</v>
      </c>
      <c r="O60" s="242">
        <f>SUMIF($D$7:$D$30,D60,$O$7:$O$30)</f>
        <v>10</v>
      </c>
      <c r="P60" s="242">
        <f>SUMIF($D$7:$D$30,D60,$P$7:$P$30)</f>
        <v>9</v>
      </c>
      <c r="Q60" s="258">
        <f t="shared" ref="Q60:Q62" si="89">SUM(E60:P60)</f>
        <v>117</v>
      </c>
      <c r="R60" s="241"/>
      <c r="T60" s="224"/>
      <c r="U60" s="224"/>
      <c r="V60" s="252" t="s">
        <v>50</v>
      </c>
      <c r="W60" s="253" t="s">
        <v>123</v>
      </c>
      <c r="X60" s="242">
        <f>SUMIF($W$7:$W$30,W60,$X$7:$X$30)</f>
        <v>9</v>
      </c>
      <c r="Y60" s="242">
        <f>SUMIF($W$7:$W$30,W60,$Y$7:$Y$30)</f>
        <v>9</v>
      </c>
      <c r="Z60" s="242">
        <f>SUMIF($W$7:$W$30,W60,$X$7:$Z$30)</f>
        <v>9</v>
      </c>
      <c r="AA60" s="242">
        <f>SUMIF($W$7:$W$30,W60,$AA$7:$AA$30)</f>
        <v>11</v>
      </c>
      <c r="AB60" s="242">
        <f>SUMIF($W$7:$W$30,W60,$AB$7:$AB$30)</f>
        <v>9</v>
      </c>
      <c r="AC60" s="242">
        <f>SUMIF($W$7:$W$30,W60,$AB$7:$AB$30)</f>
        <v>9</v>
      </c>
      <c r="AD60" s="242">
        <f>SUMIF($W$7:$W$30,W60,$AD$7:$AD$30)</f>
        <v>13</v>
      </c>
      <c r="AE60" s="242">
        <f>SUMIF($W$7:$W$30,W60,$AE$7:$AE$30)</f>
        <v>9</v>
      </c>
      <c r="AF60" s="242">
        <f>SUMIF($W$7:$W$30,W60,$AF$7:$AF$30)</f>
        <v>11</v>
      </c>
      <c r="AG60" s="242">
        <f>SUMIF($W$7:$W$30,W60,$AG$7:$AG$30)</f>
        <v>13</v>
      </c>
      <c r="AH60" s="242">
        <f>SUMIF($W$7:$W$30,W60,$AH$7:$AH$30)</f>
        <v>11</v>
      </c>
      <c r="AI60" s="242">
        <f>SUMIF($W$7:$W$30,W60,$AI$7:$AI$30)</f>
        <v>9</v>
      </c>
      <c r="AJ60" s="243">
        <f>SUM(X60:AI60)</f>
        <v>122</v>
      </c>
      <c r="AK60" s="241">
        <v>121.68</v>
      </c>
    </row>
    <row r="61" spans="1:37">
      <c r="A61" s="224"/>
      <c r="B61" s="224"/>
      <c r="C61" s="236"/>
      <c r="D61" s="253" t="s">
        <v>64</v>
      </c>
      <c r="E61" s="242">
        <f>SUMIF($D$7:$D$30,D61,$E$7:$E$30)</f>
        <v>178208</v>
      </c>
      <c r="F61" s="242">
        <f>SUMIF($D$7:$D$30,D61,$F$7:$F$30)</f>
        <v>95130</v>
      </c>
      <c r="G61" s="242">
        <f>SUMIF($D$7:$D$30,D61,$G$7:$G$30)</f>
        <v>195082</v>
      </c>
      <c r="H61" s="242">
        <f>SUMIF($D$7:$D$30,D61,$H$7:$H$30)</f>
        <v>260667.28571428571</v>
      </c>
      <c r="I61" s="242">
        <f>SUMIF($D$7:$D$30,D61,$I$7:$I$30)</f>
        <v>61990.5</v>
      </c>
      <c r="J61" s="242">
        <f>SUMIF($D$7:$D$30,D61,$J$7:$J$30)</f>
        <v>225244.44444444444</v>
      </c>
      <c r="K61" s="242">
        <f>SUMIF($D$7:$D$30,D61,$K$7:$K$30)</f>
        <v>88988.25</v>
      </c>
      <c r="L61" s="242">
        <f>SUMIF($D$7:$D$30,D61,$L$7:$L$30)</f>
        <v>163603.22222222222</v>
      </c>
      <c r="M61" s="242">
        <f>SUMIF($D$7:$D$30,D61,$M$7:$M$30)</f>
        <v>79456</v>
      </c>
      <c r="N61" s="242">
        <f>SUMIF($D$7:$D$30,D61,$N$7:$N$30)</f>
        <v>267885.33333333331</v>
      </c>
      <c r="O61" s="242">
        <f>SUMIF($D$7:$D$30,D61,$O$7:$O$30)</f>
        <v>71522.75</v>
      </c>
      <c r="P61" s="242">
        <f>SUMIF($D$7:$D$30,D61,$P$7:$P$30)</f>
        <v>184923.66666666669</v>
      </c>
      <c r="Q61" s="258">
        <f t="shared" si="89"/>
        <v>1872701.4523809524</v>
      </c>
      <c r="R61" s="241"/>
      <c r="T61" s="224"/>
      <c r="U61" s="224"/>
      <c r="V61" s="236"/>
      <c r="W61" s="253" t="s">
        <v>64</v>
      </c>
      <c r="X61" s="242">
        <f>SUMIF($W$7:$W$30,W61,$X$7:$X$30)</f>
        <v>216208.66666666666</v>
      </c>
      <c r="Y61" s="242">
        <f>SUMIF($W$7:$W$30,W61,$Y$7:$Y$30)</f>
        <v>114194.5</v>
      </c>
      <c r="Z61" s="242">
        <f>SUMIF($W$7:$W$30,W61,$Z$7:$Z$30)</f>
        <v>195082</v>
      </c>
      <c r="AA61" s="242">
        <f t="shared" ref="AA61:AA62" si="90">SUMIF($W$7:$W$30,W61,$AA$7:$AA$30)</f>
        <v>260667.28571428571</v>
      </c>
      <c r="AB61" s="242">
        <f t="shared" ref="AB61:AB62" si="91">SUMIF($W$7:$W$30,W61,$AB$7:$AB$30)</f>
        <v>61990.5</v>
      </c>
      <c r="AC61" s="242">
        <f t="shared" ref="AC61:AC62" si="92">SUMIF($W$7:$W$30,W61,$AB$7:$AB$30)</f>
        <v>61990.5</v>
      </c>
      <c r="AD61" s="242">
        <f t="shared" ref="AD61:AD62" si="93">SUMIF($W$7:$W$30,W61,$AD$7:$AD$30)</f>
        <v>141791.25</v>
      </c>
      <c r="AE61" s="242">
        <f t="shared" ref="AE61:AE62" si="94">SUMIF($W$7:$W$30,W61,$AE$7:$AE$30)</f>
        <v>184923.66666666669</v>
      </c>
      <c r="AF61" s="242">
        <f t="shared" ref="AF61:AF62" si="95">SUMIF($W$7:$W$30,W61,$AF$7:$AF$30)</f>
        <v>133259</v>
      </c>
      <c r="AG61" s="242">
        <f t="shared" ref="AG61:AG62" si="96">SUMIF($W$7:$W$30,W61,$AG$7:$AG$30)</f>
        <v>247885</v>
      </c>
      <c r="AH61" s="242">
        <f t="shared" ref="AH61:AH62" si="97">SUMIF($W$7:$W$30,W61,$AH$7:$AH$30)</f>
        <v>81055</v>
      </c>
      <c r="AI61" s="242">
        <f t="shared" ref="AI61:AI62" si="98">SUMIF($W$7:$W$30,W61,$AI$7:$AI$30)</f>
        <v>184923.66666666669</v>
      </c>
      <c r="AJ61" s="243">
        <f>SUM(X61:AI61)</f>
        <v>1883971.0357142859</v>
      </c>
      <c r="AK61" s="241">
        <v>1947609.5104761906</v>
      </c>
    </row>
    <row r="62" spans="1:37">
      <c r="A62" s="224"/>
      <c r="B62" s="224"/>
      <c r="C62" s="236"/>
      <c r="D62" s="253" t="s">
        <v>186</v>
      </c>
      <c r="E62" s="242">
        <f>SUMIF($D$7:$D$30,D62,$E$7:$E$30)</f>
        <v>1013062.5</v>
      </c>
      <c r="F62" s="242">
        <f>SUMIF($D$7:$D$30,D62,$F$7:$F$30)</f>
        <v>636655</v>
      </c>
      <c r="G62" s="242">
        <f>SUMIF($D$7:$D$30,D62,$G$7:$G$30)</f>
        <v>827803.5</v>
      </c>
      <c r="H62" s="242">
        <f>SUMIF($D$7:$D$30,D62,$H$7:$H$30)</f>
        <v>1551409.2142857143</v>
      </c>
      <c r="I62" s="242">
        <f>SUMIF($D$7:$D$30,D62,$I$7:$I$30)</f>
        <v>369943.875</v>
      </c>
      <c r="J62" s="242">
        <f>SUMIF($D$7:$D$30,D62,$J$7:$J$30)</f>
        <v>1165880.25</v>
      </c>
      <c r="K62" s="242">
        <f>SUMIF($D$7:$D$30,D62,$K$7:$K$30)</f>
        <v>550418.625</v>
      </c>
      <c r="L62" s="242">
        <f>SUMIF($D$7:$D$30,D62,$L$7:$L$30)</f>
        <v>851515.58333333337</v>
      </c>
      <c r="M62" s="242">
        <f>SUMIF($D$7:$D$30,D62,$M$7:$M$30)</f>
        <v>489660.75</v>
      </c>
      <c r="N62" s="242">
        <f>SUMIF($D$7:$D$30,D62,$N$7:$N$30)</f>
        <v>1349037.0833333335</v>
      </c>
      <c r="O62" s="242">
        <f>SUMIF($D$7:$D$30,D62,$O$7:$O$30)</f>
        <v>430701.75</v>
      </c>
      <c r="P62" s="242">
        <f>SUMIF($D$7:$D$30,D62,$P$7:$P$30)</f>
        <v>943094</v>
      </c>
      <c r="Q62" s="258">
        <f t="shared" si="89"/>
        <v>10179182.130952381</v>
      </c>
      <c r="R62" s="241"/>
      <c r="T62" s="224"/>
      <c r="U62" s="224"/>
      <c r="V62" s="236"/>
      <c r="W62" s="253" t="s">
        <v>186</v>
      </c>
      <c r="X62" s="242">
        <f>SUMIF($W$7:$W$30,W62,$X$7:$X$30)</f>
        <v>1275478.1666666667</v>
      </c>
      <c r="Y62" s="242">
        <f>SUMIF($W$7:$W$30,W62,$Y$7:$Y$30)</f>
        <v>758170.75</v>
      </c>
      <c r="Z62" s="242">
        <f>SUMIF($W$7:$W$30,W62,$Y$7:$Y$30)</f>
        <v>758170.75</v>
      </c>
      <c r="AA62" s="242">
        <f t="shared" si="90"/>
        <v>1551409.2142857143</v>
      </c>
      <c r="AB62" s="242">
        <f t="shared" si="91"/>
        <v>369943.875</v>
      </c>
      <c r="AC62" s="242">
        <f t="shared" si="92"/>
        <v>369943.875</v>
      </c>
      <c r="AD62" s="242">
        <f t="shared" si="93"/>
        <v>921652.20833333302</v>
      </c>
      <c r="AE62" s="242">
        <f t="shared" si="94"/>
        <v>943094</v>
      </c>
      <c r="AF62" s="242">
        <f t="shared" si="95"/>
        <v>879686.5</v>
      </c>
      <c r="AG62" s="242">
        <f t="shared" si="96"/>
        <v>1199037.083333333</v>
      </c>
      <c r="AH62" s="242">
        <f t="shared" si="97"/>
        <v>491459.625</v>
      </c>
      <c r="AI62" s="242">
        <f t="shared" si="98"/>
        <v>943094</v>
      </c>
      <c r="AJ62" s="243">
        <f>SUM(X62:AI62)</f>
        <v>10461140.047619049</v>
      </c>
      <c r="AK62" s="241">
        <v>10586349.416190477</v>
      </c>
    </row>
    <row r="63" spans="1:37">
      <c r="A63" s="224"/>
      <c r="B63" s="224"/>
      <c r="C63" s="267"/>
      <c r="D63" s="265" t="s">
        <v>66</v>
      </c>
      <c r="E63" s="263">
        <f>E62*0.195*17500</f>
        <v>3457075781.25</v>
      </c>
      <c r="F63" s="263">
        <f t="shared" ref="F63:P63" si="99">F62*0.195*17500</f>
        <v>2172585187.5</v>
      </c>
      <c r="G63" s="263">
        <f t="shared" si="99"/>
        <v>2824879443.75</v>
      </c>
      <c r="H63" s="263">
        <f t="shared" si="99"/>
        <v>5294183943.75</v>
      </c>
      <c r="I63" s="263">
        <f t="shared" si="99"/>
        <v>1262433473.4375002</v>
      </c>
      <c r="J63" s="263">
        <f t="shared" si="99"/>
        <v>3978566353.1250005</v>
      </c>
      <c r="K63" s="263">
        <f t="shared" si="99"/>
        <v>1878303557.8125</v>
      </c>
      <c r="L63" s="263">
        <f t="shared" si="99"/>
        <v>2905796928.125</v>
      </c>
      <c r="M63" s="263">
        <f t="shared" si="99"/>
        <v>1670967309.375</v>
      </c>
      <c r="N63" s="263">
        <f t="shared" si="99"/>
        <v>4603589046.875</v>
      </c>
      <c r="O63" s="263">
        <f t="shared" si="99"/>
        <v>1469769721.875</v>
      </c>
      <c r="P63" s="263">
        <f t="shared" si="99"/>
        <v>3218308275.0000005</v>
      </c>
      <c r="Q63" s="269">
        <f>SUM(E63:P63)</f>
        <v>34736459021.875</v>
      </c>
      <c r="R63" s="241"/>
      <c r="T63" s="224"/>
      <c r="U63" s="224"/>
      <c r="V63" s="295"/>
      <c r="W63" s="267" t="s">
        <v>66</v>
      </c>
      <c r="X63" s="263">
        <f>X62*0.195*17500</f>
        <v>4352569243.75</v>
      </c>
      <c r="Y63" s="263">
        <f t="shared" ref="Y63:AI63" si="100">Y62*0.195*17500</f>
        <v>2587257684.3750005</v>
      </c>
      <c r="Z63" s="263">
        <f t="shared" si="100"/>
        <v>2587257684.3750005</v>
      </c>
      <c r="AA63" s="263">
        <f t="shared" si="100"/>
        <v>5294183943.75</v>
      </c>
      <c r="AB63" s="263">
        <f t="shared" si="100"/>
        <v>1262433473.4375002</v>
      </c>
      <c r="AC63" s="263">
        <f t="shared" si="100"/>
        <v>1262433473.4375002</v>
      </c>
      <c r="AD63" s="263">
        <f t="shared" si="100"/>
        <v>3145138160.937499</v>
      </c>
      <c r="AE63" s="263">
        <f t="shared" si="100"/>
        <v>3218308275.0000005</v>
      </c>
      <c r="AF63" s="263">
        <f t="shared" si="100"/>
        <v>3001930181.25</v>
      </c>
      <c r="AG63" s="263">
        <f t="shared" si="100"/>
        <v>4091714046.874999</v>
      </c>
      <c r="AH63" s="263">
        <f t="shared" si="100"/>
        <v>1677105970.3125</v>
      </c>
      <c r="AI63" s="263">
        <f t="shared" si="100"/>
        <v>3218308275.0000005</v>
      </c>
      <c r="AJ63" s="297">
        <f>SUM(X63:AI63)</f>
        <v>35698640412.5</v>
      </c>
      <c r="AK63" s="241">
        <v>0</v>
      </c>
    </row>
    <row r="64" spans="1:37">
      <c r="A64" s="224"/>
      <c r="B64" s="224"/>
      <c r="C64" s="252" t="s">
        <v>58</v>
      </c>
      <c r="D64" s="253" t="s">
        <v>123</v>
      </c>
      <c r="E64" s="242">
        <f>SUMIF($D$33:$D$56,D64,$E$33:$E$56)</f>
        <v>25</v>
      </c>
      <c r="F64" s="242">
        <f>SUMIF($D$33:$D$56,D64,$F$33:$F$56)</f>
        <v>30</v>
      </c>
      <c r="G64" s="242">
        <f>SUMIF($D$33:$D$56,D64,$G$33:$G$56)</f>
        <v>18</v>
      </c>
      <c r="H64" s="242">
        <f>SUMIF($D$33:$D$56,D64,$H$33:$H$56)</f>
        <v>28</v>
      </c>
      <c r="I64" s="242">
        <f>SUMIF($D$33:$D$56,D64,$I$33:$I$56)</f>
        <v>25</v>
      </c>
      <c r="J64" s="242">
        <f>SUMIF($D$33:$D$56,D64,$J$33:$J$56)</f>
        <v>26</v>
      </c>
      <c r="K64" s="242">
        <f>SUMIF($D$33:$D$56,D64,$K$33:$K$56)</f>
        <v>24</v>
      </c>
      <c r="L64" s="242">
        <f>SUMIF($D$33:$D$56,D64,$L$33:$L$56)</f>
        <v>26</v>
      </c>
      <c r="M64" s="242">
        <f>SUMIF($D$33:$D$56,D64,$M$33:$M$56)</f>
        <v>27</v>
      </c>
      <c r="N64" s="242">
        <f>SUMIF($D$33:$D$56,D64,$N$33:$N$56)</f>
        <v>30</v>
      </c>
      <c r="O64" s="242">
        <f>SUMIF($D$33:$D$56,D64,$O$33:$O$56)</f>
        <v>27</v>
      </c>
      <c r="P64" s="242">
        <f>SUMIF($D$33:$D$56,D64,$P$33:$P$56)</f>
        <v>23</v>
      </c>
      <c r="Q64" s="258">
        <f t="shared" ref="Q64:Q66" si="101">SUM(E64:P64)</f>
        <v>309</v>
      </c>
      <c r="R64" s="241"/>
      <c r="T64" s="224"/>
      <c r="U64" s="224"/>
      <c r="V64" s="252" t="s">
        <v>58</v>
      </c>
      <c r="W64" s="253" t="s">
        <v>123</v>
      </c>
      <c r="X64" s="239">
        <f>SUMIF($W$33:$W$56,W64,$X$33:$X$56)</f>
        <v>26</v>
      </c>
      <c r="Y64" s="239">
        <f>SUMIF($W$33:$W$56,W64,$Y$33:$Y$56)</f>
        <v>30</v>
      </c>
      <c r="Z64" s="239">
        <f>SUMIF($W$33:$W$56,W64,$Z$33:$Z$56)</f>
        <v>20</v>
      </c>
      <c r="AA64" s="239">
        <f>SUMIF($W$33:$W$56,W64,$AA$33:$AA$56)</f>
        <v>28</v>
      </c>
      <c r="AB64" s="239">
        <f>SUMIF($W$33:$W$56,W64,$AB$33:$AB$56)</f>
        <v>25</v>
      </c>
      <c r="AC64" s="239">
        <f>SUMIF($W$33:$W$56,W64,$AC$33:$AC$56)</f>
        <v>31</v>
      </c>
      <c r="AD64" s="239">
        <f>SUMIF($W$33:$W$56,W64,$AD$33:$AD$56)</f>
        <v>25</v>
      </c>
      <c r="AE64" s="239">
        <f>SUMIF($W$33:$W$56,W64,$AE$33:$AE$56)</f>
        <v>26</v>
      </c>
      <c r="AF64" s="239">
        <f>SUMIF($W$33:$W$56,W64,$AF$33:$AF$56)</f>
        <v>27</v>
      </c>
      <c r="AG64" s="239">
        <f>SUMIF($W$33:$W$56,W64,$G$33:$AG$56)</f>
        <v>18</v>
      </c>
      <c r="AH64" s="239">
        <f>SUMIF($W$33:$W$56,W64,$AH$33:$AH$56)</f>
        <v>29</v>
      </c>
      <c r="AI64" s="239">
        <f>SUMIF($W$33:$W$56,W64,$AI$33:$AI$56)</f>
        <v>24</v>
      </c>
      <c r="AJ64" s="243">
        <f t="shared" ref="AJ64:AJ66" si="102">SUM(X64:AI64)</f>
        <v>309</v>
      </c>
      <c r="AK64" s="241">
        <v>321.36</v>
      </c>
    </row>
    <row r="65" spans="1:37">
      <c r="A65" s="224"/>
      <c r="B65" s="224"/>
      <c r="C65" s="236"/>
      <c r="D65" s="253" t="s">
        <v>64</v>
      </c>
      <c r="E65" s="242">
        <f>SUMIF($D$33:$D$56,D65,$E$33:$E$56)</f>
        <v>85565</v>
      </c>
      <c r="F65" s="242">
        <f>SUMIF($D$33:$D$56,D65,$F$33:$F$56)</f>
        <v>108260</v>
      </c>
      <c r="G65" s="242">
        <f>SUMIF($D$33:$D$56,D65,$G$33:$G$56)</f>
        <v>77412</v>
      </c>
      <c r="H65" s="242">
        <f>SUMIF($D$33:$D$56,D65,$H$33:$H$56)</f>
        <v>91767.2</v>
      </c>
      <c r="I65" s="242">
        <f>SUMIF($D$33:$D$56,D65,$I$33:$I$56)</f>
        <v>91385.700000000012</v>
      </c>
      <c r="J65" s="242">
        <f>SUMIF($D$33:$D$56,D65,$J$33:$J$56)</f>
        <v>106259</v>
      </c>
      <c r="K65" s="242">
        <f>SUMIF($D$33:$D$56,D65,$K$33:$K$56)</f>
        <v>81605.100000000006</v>
      </c>
      <c r="L65" s="242">
        <f>SUMIF($D$33:$D$56,D65,$L$33:$L$56)</f>
        <v>95236.25</v>
      </c>
      <c r="M65" s="242">
        <f>SUMIF($D$33:$D$56,D65,$M$33:$M$56)</f>
        <v>105904</v>
      </c>
      <c r="N65" s="242">
        <f>SUMIF($D$33:$D$56,D65,$N$33:$N$56)</f>
        <v>98202.299999999988</v>
      </c>
      <c r="O65" s="242">
        <f>SUMIF($D$33:$D$56,D65,$O$33:$O$56)</f>
        <v>101415.9</v>
      </c>
      <c r="P65" s="242">
        <f>SUMIF($D$33:$D$56,D65,$P$33:$P$56)</f>
        <v>89994.133333333331</v>
      </c>
      <c r="Q65" s="258">
        <f t="shared" si="101"/>
        <v>1133006.5833333335</v>
      </c>
      <c r="R65" s="241"/>
      <c r="T65" s="224"/>
      <c r="U65" s="224"/>
      <c r="V65" s="236"/>
      <c r="W65" s="253" t="s">
        <v>64</v>
      </c>
      <c r="X65" s="239">
        <f t="shared" ref="X65:X66" si="103">SUMIF($W$33:$W$56,W65,$X$33:$X$56)</f>
        <v>88270.5</v>
      </c>
      <c r="Y65" s="239">
        <f t="shared" ref="Y65:Y66" si="104">SUMIF($W$33:$W$56,W65,$Y$33:$Y$56)</f>
        <v>108260</v>
      </c>
      <c r="Z65" s="239">
        <f t="shared" ref="Z65:Z66" si="105">SUMIF($W$33:$W$56,W65,$Z$33:$Z$56)</f>
        <v>86412</v>
      </c>
      <c r="AA65" s="239">
        <f t="shared" ref="AA65:AA66" si="106">SUMIF($W$33:$W$56,W65,$AA$33:$AA$56)</f>
        <v>91767.2</v>
      </c>
      <c r="AB65" s="239">
        <f t="shared" ref="AB65:AB66" si="107">SUMIF($W$33:$W$56,W65,$AB$33:$AB$56)</f>
        <v>91385.700000000012</v>
      </c>
      <c r="AC65" s="239">
        <f t="shared" ref="AC65:AC66" si="108">SUMIF($W$33:$W$56,W65,$AC$33:$AC$56)</f>
        <v>121257.33333333333</v>
      </c>
      <c r="AD65" s="239">
        <f t="shared" ref="AD65:AD66" si="109">SUMIF($W$33:$W$56,W65,$AD$33:$AD$56)</f>
        <v>97899.266666666663</v>
      </c>
      <c r="AE65" s="239">
        <f t="shared" ref="AE65:AE66" si="110">SUMIF($W$33:$W$56,W65,$AE$33:$AE$56)</f>
        <v>95236.25</v>
      </c>
      <c r="AF65" s="239">
        <f t="shared" ref="AF65:AF66" si="111">SUMIF($W$33:$W$56,W65,$AF$33:$AF$56)</f>
        <v>105904</v>
      </c>
      <c r="AG65" s="239">
        <f t="shared" ref="AG65:AG66" si="112">SUMIF($W$33:$W$56,W65,$G$33:$AG$56)</f>
        <v>77412</v>
      </c>
      <c r="AH65" s="239">
        <f t="shared" ref="AH65:AH66" si="113">SUMIF($W$33:$W$56,W65,$AH$33:$AH$56)</f>
        <v>113644.33333333333</v>
      </c>
      <c r="AI65" s="239">
        <f t="shared" ref="AI65:AI66" si="114">SUMIF($W$33:$W$56,W65,$AI$33:$AI$56)</f>
        <v>88266.31666666668</v>
      </c>
      <c r="AJ65" s="243">
        <f t="shared" si="102"/>
        <v>1165714.8999999999</v>
      </c>
      <c r="AK65" s="241">
        <v>1178326.8466666669</v>
      </c>
    </row>
    <row r="66" spans="1:37">
      <c r="A66" s="224"/>
      <c r="B66" s="224"/>
      <c r="C66" s="236"/>
      <c r="D66" s="253" t="s">
        <v>186</v>
      </c>
      <c r="E66" s="242">
        <f>SUMIF($D$33:$D$56,D66,$E$33:$E$56)</f>
        <v>355710.5</v>
      </c>
      <c r="F66" s="242">
        <f>SUMIF($D$33:$D$56,D66,$F$33:$F$56)</f>
        <v>453386.25</v>
      </c>
      <c r="G66" s="242">
        <f>SUMIF($D$33:$D$56,D66,$G$33:$G$56)</f>
        <v>285165.25</v>
      </c>
      <c r="H66" s="242">
        <f>SUMIF($D$33:$D$56,D66,$H$33:$H$56)</f>
        <v>434484.48749999993</v>
      </c>
      <c r="I66" s="242">
        <f>SUMIF($D$33:$D$56,D66,$I$33:$I$56)</f>
        <v>309961.44999999995</v>
      </c>
      <c r="J66" s="242">
        <f>SUMIF($D$33:$D$56,D66,$J$33:$J$56)</f>
        <v>464645.75</v>
      </c>
      <c r="K66" s="242">
        <f>SUMIF($D$33:$D$56,D66,$K$33:$K$56)</f>
        <v>326994.3</v>
      </c>
      <c r="L66" s="242">
        <f>SUMIF($D$33:$D$56,D66,$L$33:$L$56)</f>
        <v>384838.375</v>
      </c>
      <c r="M66" s="242">
        <f>SUMIF($D$33:$D$56,D66,$M$33:$M$56)</f>
        <v>434370.16666666669</v>
      </c>
      <c r="N66" s="242">
        <f>SUMIF($D$33:$D$56,D66,$N$33:$N$56)</f>
        <v>463354.96249999997</v>
      </c>
      <c r="O66" s="242">
        <f>SUMIF($D$33:$D$56,D66,$O$33:$O$56)</f>
        <v>322648.39999999997</v>
      </c>
      <c r="P66" s="242">
        <f>SUMIF($D$33:$D$56,D66,$P$33:$P$56)</f>
        <v>415861.96666666667</v>
      </c>
      <c r="Q66" s="258">
        <f t="shared" si="101"/>
        <v>4651421.8583333334</v>
      </c>
      <c r="R66" s="241"/>
      <c r="T66" s="224"/>
      <c r="U66" s="224"/>
      <c r="V66" s="236"/>
      <c r="W66" s="253" t="s">
        <v>186</v>
      </c>
      <c r="X66" s="239">
        <f t="shared" si="103"/>
        <v>360110.375</v>
      </c>
      <c r="Y66" s="239">
        <f t="shared" si="104"/>
        <v>453386.25</v>
      </c>
      <c r="Z66" s="239">
        <f t="shared" si="105"/>
        <v>295665.25</v>
      </c>
      <c r="AA66" s="239">
        <f t="shared" si="106"/>
        <v>434484.48749999993</v>
      </c>
      <c r="AB66" s="239">
        <f t="shared" si="107"/>
        <v>309961.44999999995</v>
      </c>
      <c r="AC66" s="239">
        <f t="shared" si="108"/>
        <v>559858.25</v>
      </c>
      <c r="AD66" s="239">
        <f t="shared" si="109"/>
        <v>351564.84166666667</v>
      </c>
      <c r="AE66" s="239">
        <f t="shared" si="110"/>
        <v>384838.375</v>
      </c>
      <c r="AF66" s="239">
        <f t="shared" si="111"/>
        <v>434370.16666666669</v>
      </c>
      <c r="AG66" s="239">
        <f t="shared" si="112"/>
        <v>285165.25</v>
      </c>
      <c r="AH66" s="239">
        <f t="shared" si="113"/>
        <v>429034.75</v>
      </c>
      <c r="AI66" s="239">
        <f t="shared" si="114"/>
        <v>360953.19166666665</v>
      </c>
      <c r="AJ66" s="243">
        <f t="shared" si="102"/>
        <v>4659392.6374999993</v>
      </c>
      <c r="AK66" s="241">
        <v>4837478.7326666666</v>
      </c>
    </row>
    <row r="67" spans="1:37">
      <c r="A67" s="224"/>
      <c r="B67" s="224"/>
      <c r="C67" s="271"/>
      <c r="D67" s="272" t="s">
        <v>66</v>
      </c>
      <c r="E67" s="286">
        <f t="shared" ref="E67:Q67" si="115">E66*90</f>
        <v>32013945</v>
      </c>
      <c r="F67" s="286">
        <f t="shared" si="115"/>
        <v>40804762.5</v>
      </c>
      <c r="G67" s="286">
        <f t="shared" si="115"/>
        <v>25664872.5</v>
      </c>
      <c r="H67" s="286">
        <f t="shared" si="115"/>
        <v>39103603.874999993</v>
      </c>
      <c r="I67" s="286">
        <f t="shared" si="115"/>
        <v>27896530.499999996</v>
      </c>
      <c r="J67" s="286">
        <f t="shared" si="115"/>
        <v>41818117.5</v>
      </c>
      <c r="K67" s="286">
        <f t="shared" si="115"/>
        <v>29429487</v>
      </c>
      <c r="L67" s="286">
        <f t="shared" si="115"/>
        <v>34635453.75</v>
      </c>
      <c r="M67" s="286">
        <f t="shared" si="115"/>
        <v>39093315</v>
      </c>
      <c r="N67" s="286">
        <f t="shared" si="115"/>
        <v>41701946.625</v>
      </c>
      <c r="O67" s="286">
        <f t="shared" si="115"/>
        <v>29038355.999999996</v>
      </c>
      <c r="P67" s="286">
        <f t="shared" si="115"/>
        <v>37427577</v>
      </c>
      <c r="Q67" s="273">
        <f t="shared" si="115"/>
        <v>418627967.25</v>
      </c>
      <c r="R67" s="241"/>
      <c r="T67" s="224"/>
      <c r="U67" s="224"/>
      <c r="V67" s="296"/>
      <c r="W67" s="285" t="s">
        <v>66</v>
      </c>
      <c r="X67" s="286">
        <f t="shared" ref="X67" si="116">X66*90</f>
        <v>32409933.75</v>
      </c>
      <c r="Y67" s="286">
        <f t="shared" ref="Y67" si="117">Y66*90</f>
        <v>40804762.5</v>
      </c>
      <c r="Z67" s="286">
        <f t="shared" ref="Z67" si="118">Z66*90</f>
        <v>26609872.5</v>
      </c>
      <c r="AA67" s="286">
        <f t="shared" ref="AA67" si="119">AA66*90</f>
        <v>39103603.874999993</v>
      </c>
      <c r="AB67" s="286">
        <f t="shared" ref="AB67" si="120">AB66*90</f>
        <v>27896530.499999996</v>
      </c>
      <c r="AC67" s="286">
        <f t="shared" ref="AC67" si="121">AC66*90</f>
        <v>50387242.5</v>
      </c>
      <c r="AD67" s="286">
        <f t="shared" ref="AD67" si="122">AD66*90</f>
        <v>31640835.75</v>
      </c>
      <c r="AE67" s="286">
        <f t="shared" ref="AE67" si="123">AE66*90</f>
        <v>34635453.75</v>
      </c>
      <c r="AF67" s="286">
        <f t="shared" ref="AF67" si="124">AF66*90</f>
        <v>39093315</v>
      </c>
      <c r="AG67" s="286">
        <f t="shared" ref="AG67" si="125">AG66*90</f>
        <v>25664872.5</v>
      </c>
      <c r="AH67" s="286">
        <f t="shared" ref="AH67" si="126">AH66*90</f>
        <v>38613127.5</v>
      </c>
      <c r="AI67" s="286">
        <f t="shared" ref="AI67" si="127">AI66*90</f>
        <v>32485787.25</v>
      </c>
      <c r="AJ67" s="286">
        <f t="shared" ref="AJ67" si="128">AJ66*90</f>
        <v>419345337.37499994</v>
      </c>
      <c r="AK67" s="241">
        <v>0</v>
      </c>
    </row>
    <row r="68" spans="1:37">
      <c r="A68" s="224"/>
      <c r="B68" s="224"/>
      <c r="C68" s="261" t="s">
        <v>130</v>
      </c>
      <c r="D68" s="254" t="s">
        <v>123</v>
      </c>
      <c r="E68" s="242">
        <f t="shared" ref="E68:P70" si="129">E64+E60</f>
        <v>32</v>
      </c>
      <c r="F68" s="242">
        <f t="shared" si="129"/>
        <v>37</v>
      </c>
      <c r="G68" s="242">
        <f t="shared" si="129"/>
        <v>29</v>
      </c>
      <c r="H68" s="242">
        <f t="shared" si="129"/>
        <v>39</v>
      </c>
      <c r="I68" s="242">
        <f t="shared" si="129"/>
        <v>34</v>
      </c>
      <c r="J68" s="242">
        <f t="shared" si="129"/>
        <v>37</v>
      </c>
      <c r="K68" s="242">
        <f t="shared" si="129"/>
        <v>35</v>
      </c>
      <c r="L68" s="242">
        <f t="shared" si="129"/>
        <v>34</v>
      </c>
      <c r="M68" s="242">
        <f t="shared" si="129"/>
        <v>37</v>
      </c>
      <c r="N68" s="242">
        <f t="shared" si="129"/>
        <v>43</v>
      </c>
      <c r="O68" s="242">
        <f t="shared" si="129"/>
        <v>37</v>
      </c>
      <c r="P68" s="242">
        <f t="shared" si="129"/>
        <v>32</v>
      </c>
      <c r="Q68" s="258">
        <f t="shared" ref="Q68:Q70" si="130">SUM(E68:P68)</f>
        <v>426</v>
      </c>
      <c r="R68" s="241"/>
      <c r="T68" s="224"/>
      <c r="U68" s="224"/>
      <c r="V68" s="255" t="s">
        <v>130</v>
      </c>
      <c r="W68" s="254" t="s">
        <v>123</v>
      </c>
      <c r="X68" s="239">
        <f t="shared" ref="X68:AJ71" si="131">X64+X60</f>
        <v>35</v>
      </c>
      <c r="Y68" s="239">
        <f t="shared" si="131"/>
        <v>39</v>
      </c>
      <c r="Z68" s="239">
        <f t="shared" si="131"/>
        <v>29</v>
      </c>
      <c r="AA68" s="239">
        <f t="shared" si="131"/>
        <v>39</v>
      </c>
      <c r="AB68" s="239">
        <f t="shared" si="131"/>
        <v>34</v>
      </c>
      <c r="AC68" s="239">
        <f t="shared" si="131"/>
        <v>40</v>
      </c>
      <c r="AD68" s="239">
        <f t="shared" si="131"/>
        <v>38</v>
      </c>
      <c r="AE68" s="239">
        <f t="shared" si="131"/>
        <v>35</v>
      </c>
      <c r="AF68" s="239">
        <f t="shared" si="131"/>
        <v>38</v>
      </c>
      <c r="AG68" s="239">
        <f t="shared" si="131"/>
        <v>31</v>
      </c>
      <c r="AH68" s="239">
        <f t="shared" si="131"/>
        <v>40</v>
      </c>
      <c r="AI68" s="239">
        <f t="shared" si="131"/>
        <v>33</v>
      </c>
      <c r="AJ68" s="243">
        <f t="shared" ref="AJ68:AJ70" si="132">SUM(X68:AI68)</f>
        <v>431</v>
      </c>
      <c r="AK68" s="241">
        <v>443.04</v>
      </c>
    </row>
    <row r="69" spans="1:37">
      <c r="A69" s="224"/>
      <c r="B69" s="224"/>
      <c r="C69" s="236"/>
      <c r="D69" s="254" t="s">
        <v>64</v>
      </c>
      <c r="E69" s="242">
        <f t="shared" si="129"/>
        <v>263773</v>
      </c>
      <c r="F69" s="242">
        <f t="shared" si="129"/>
        <v>203390</v>
      </c>
      <c r="G69" s="242">
        <f t="shared" si="129"/>
        <v>272494</v>
      </c>
      <c r="H69" s="242">
        <f t="shared" si="129"/>
        <v>352434.48571428569</v>
      </c>
      <c r="I69" s="242">
        <f t="shared" si="129"/>
        <v>153376.20000000001</v>
      </c>
      <c r="J69" s="242">
        <f t="shared" si="129"/>
        <v>331503.44444444444</v>
      </c>
      <c r="K69" s="242">
        <f t="shared" si="129"/>
        <v>170593.35</v>
      </c>
      <c r="L69" s="242">
        <f t="shared" si="129"/>
        <v>258839.47222222222</v>
      </c>
      <c r="M69" s="242">
        <f t="shared" si="129"/>
        <v>185360</v>
      </c>
      <c r="N69" s="242">
        <f t="shared" si="129"/>
        <v>366087.6333333333</v>
      </c>
      <c r="O69" s="242">
        <f t="shared" si="129"/>
        <v>172938.65</v>
      </c>
      <c r="P69" s="242">
        <f t="shared" si="129"/>
        <v>274917.80000000005</v>
      </c>
      <c r="Q69" s="258">
        <f t="shared" si="130"/>
        <v>3005708.0357142854</v>
      </c>
      <c r="R69" s="241"/>
      <c r="T69" s="224"/>
      <c r="U69" s="224"/>
      <c r="V69" s="236"/>
      <c r="W69" s="254" t="s">
        <v>64</v>
      </c>
      <c r="X69" s="239">
        <f t="shared" si="131"/>
        <v>304479.16666666663</v>
      </c>
      <c r="Y69" s="239">
        <f t="shared" si="131"/>
        <v>222454.5</v>
      </c>
      <c r="Z69" s="239">
        <f t="shared" si="131"/>
        <v>281494</v>
      </c>
      <c r="AA69" s="239">
        <f t="shared" si="131"/>
        <v>352434.48571428569</v>
      </c>
      <c r="AB69" s="239">
        <f t="shared" si="131"/>
        <v>153376.20000000001</v>
      </c>
      <c r="AC69" s="239">
        <f t="shared" si="131"/>
        <v>183247.83333333331</v>
      </c>
      <c r="AD69" s="239">
        <f t="shared" si="131"/>
        <v>239690.51666666666</v>
      </c>
      <c r="AE69" s="239">
        <f t="shared" si="131"/>
        <v>280159.91666666669</v>
      </c>
      <c r="AF69" s="239">
        <f t="shared" si="131"/>
        <v>239163</v>
      </c>
      <c r="AG69" s="239">
        <f t="shared" si="131"/>
        <v>325297</v>
      </c>
      <c r="AH69" s="239">
        <f t="shared" si="131"/>
        <v>194699.33333333331</v>
      </c>
      <c r="AI69" s="239">
        <f t="shared" si="131"/>
        <v>273189.9833333334</v>
      </c>
      <c r="AJ69" s="243">
        <f t="shared" si="132"/>
        <v>3049685.9357142858</v>
      </c>
      <c r="AK69" s="241">
        <v>3125936.3571428568</v>
      </c>
    </row>
    <row r="70" spans="1:37">
      <c r="A70" s="224"/>
      <c r="B70" s="224"/>
      <c r="C70" s="236"/>
      <c r="D70" s="254" t="s">
        <v>186</v>
      </c>
      <c r="E70" s="242">
        <f>E66+E62</f>
        <v>1368773</v>
      </c>
      <c r="F70" s="242">
        <f t="shared" si="129"/>
        <v>1090041.25</v>
      </c>
      <c r="G70" s="242">
        <f t="shared" si="129"/>
        <v>1112968.75</v>
      </c>
      <c r="H70" s="242">
        <f t="shared" si="129"/>
        <v>1985893.7017857144</v>
      </c>
      <c r="I70" s="242">
        <f t="shared" si="129"/>
        <v>679905.32499999995</v>
      </c>
      <c r="J70" s="242">
        <f t="shared" si="129"/>
        <v>1630526</v>
      </c>
      <c r="K70" s="242">
        <f t="shared" si="129"/>
        <v>877412.92500000005</v>
      </c>
      <c r="L70" s="242">
        <f t="shared" si="129"/>
        <v>1236353.9583333335</v>
      </c>
      <c r="M70" s="242">
        <f t="shared" si="129"/>
        <v>924030.91666666674</v>
      </c>
      <c r="N70" s="242">
        <f t="shared" si="129"/>
        <v>1812392.0458333334</v>
      </c>
      <c r="O70" s="242">
        <f t="shared" si="129"/>
        <v>753350.14999999991</v>
      </c>
      <c r="P70" s="242">
        <f t="shared" si="129"/>
        <v>1358955.9666666668</v>
      </c>
      <c r="Q70" s="258">
        <f t="shared" si="130"/>
        <v>14830603.989285715</v>
      </c>
      <c r="R70" s="241"/>
      <c r="T70" s="224"/>
      <c r="U70" s="224"/>
      <c r="V70" s="236"/>
      <c r="W70" s="254" t="s">
        <v>186</v>
      </c>
      <c r="X70" s="239">
        <f t="shared" si="131"/>
        <v>1635588.5416666667</v>
      </c>
      <c r="Y70" s="239">
        <f t="shared" si="131"/>
        <v>1211557</v>
      </c>
      <c r="Z70" s="239">
        <f t="shared" si="131"/>
        <v>1053836</v>
      </c>
      <c r="AA70" s="239">
        <f t="shared" si="131"/>
        <v>1985893.7017857144</v>
      </c>
      <c r="AB70" s="239">
        <f t="shared" si="131"/>
        <v>679905.32499999995</v>
      </c>
      <c r="AC70" s="239">
        <f t="shared" si="131"/>
        <v>929802.125</v>
      </c>
      <c r="AD70" s="239">
        <f t="shared" si="131"/>
        <v>1273217.0499999998</v>
      </c>
      <c r="AE70" s="239">
        <f t="shared" si="131"/>
        <v>1327932.375</v>
      </c>
      <c r="AF70" s="239">
        <f t="shared" si="131"/>
        <v>1314056.6666666667</v>
      </c>
      <c r="AG70" s="239">
        <f t="shared" si="131"/>
        <v>1484202.333333333</v>
      </c>
      <c r="AH70" s="239">
        <f t="shared" si="131"/>
        <v>920494.375</v>
      </c>
      <c r="AI70" s="239">
        <f t="shared" si="131"/>
        <v>1304047.1916666667</v>
      </c>
      <c r="AJ70" s="243">
        <f t="shared" si="132"/>
        <v>15120532.685119048</v>
      </c>
      <c r="AK70" s="241">
        <v>15423828.148857145</v>
      </c>
    </row>
    <row r="71" spans="1:37">
      <c r="C71" s="274"/>
      <c r="D71" s="275" t="s">
        <v>66</v>
      </c>
      <c r="E71" s="293">
        <f>E67+E63</f>
        <v>3489089726.25</v>
      </c>
      <c r="F71" s="293">
        <f t="shared" ref="F71:Q71" si="133">F67+F63</f>
        <v>2213389950</v>
      </c>
      <c r="G71" s="293">
        <f t="shared" si="133"/>
        <v>2850544316.25</v>
      </c>
      <c r="H71" s="293">
        <f t="shared" si="133"/>
        <v>5333287547.625</v>
      </c>
      <c r="I71" s="293">
        <f t="shared" si="133"/>
        <v>1290330003.9375002</v>
      </c>
      <c r="J71" s="293">
        <f t="shared" si="133"/>
        <v>4020384470.6250005</v>
      </c>
      <c r="K71" s="293">
        <f t="shared" si="133"/>
        <v>1907733044.8125</v>
      </c>
      <c r="L71" s="293">
        <f t="shared" si="133"/>
        <v>2940432381.875</v>
      </c>
      <c r="M71" s="293">
        <f t="shared" si="133"/>
        <v>1710060624.375</v>
      </c>
      <c r="N71" s="293">
        <f t="shared" si="133"/>
        <v>4645290993.5</v>
      </c>
      <c r="O71" s="293">
        <f t="shared" si="133"/>
        <v>1498808077.875</v>
      </c>
      <c r="P71" s="293">
        <f t="shared" si="133"/>
        <v>3255735852.0000005</v>
      </c>
      <c r="Q71" s="276">
        <f t="shared" si="133"/>
        <v>35155086989.125</v>
      </c>
      <c r="V71" s="274"/>
      <c r="W71" s="275" t="s">
        <v>66</v>
      </c>
      <c r="X71" s="293">
        <f>X67+X63</f>
        <v>4384979177.5</v>
      </c>
      <c r="Y71" s="293">
        <f t="shared" si="131"/>
        <v>2628062446.8750005</v>
      </c>
      <c r="Z71" s="293">
        <f t="shared" si="131"/>
        <v>2613867556.8750005</v>
      </c>
      <c r="AA71" s="293">
        <f t="shared" si="131"/>
        <v>5333287547.625</v>
      </c>
      <c r="AB71" s="293">
        <f t="shared" si="131"/>
        <v>1290330003.9375002</v>
      </c>
      <c r="AC71" s="293">
        <f t="shared" si="131"/>
        <v>1312820715.9375002</v>
      </c>
      <c r="AD71" s="293">
        <f t="shared" si="131"/>
        <v>3176778996.687499</v>
      </c>
      <c r="AE71" s="293">
        <f t="shared" si="131"/>
        <v>3252943728.7500005</v>
      </c>
      <c r="AF71" s="293">
        <f t="shared" si="131"/>
        <v>3041023496.25</v>
      </c>
      <c r="AG71" s="293">
        <f t="shared" si="131"/>
        <v>4117378919.374999</v>
      </c>
      <c r="AH71" s="293">
        <f t="shared" si="131"/>
        <v>1715719097.8125</v>
      </c>
      <c r="AI71" s="293">
        <f t="shared" si="131"/>
        <v>3250794062.2500005</v>
      </c>
      <c r="AJ71" s="276">
        <f t="shared" si="131"/>
        <v>36117985749.875</v>
      </c>
    </row>
    <row r="72" spans="1:37">
      <c r="Q72" s="250"/>
    </row>
    <row r="73" spans="1:37">
      <c r="Q73" s="250"/>
    </row>
    <row r="74" spans="1:37">
      <c r="Q74" s="250"/>
    </row>
    <row r="75" spans="1:37">
      <c r="Q75" s="250"/>
    </row>
    <row r="76" spans="1:37">
      <c r="Q76" s="250"/>
    </row>
    <row r="77" spans="1:37">
      <c r="Q77" s="250"/>
    </row>
    <row r="78" spans="1:37">
      <c r="Q78" s="250"/>
    </row>
    <row r="79" spans="1:37">
      <c r="Q79" s="250"/>
    </row>
    <row r="80" spans="1:37">
      <c r="Q80" s="250"/>
    </row>
    <row r="81" spans="17:17">
      <c r="Q81" s="250"/>
    </row>
    <row r="82" spans="17:17">
      <c r="Q82" s="250"/>
    </row>
    <row r="83" spans="17:17">
      <c r="Q83" s="250"/>
    </row>
    <row r="84" spans="17:17">
      <c r="Q84" s="250"/>
    </row>
    <row r="85" spans="17:17">
      <c r="Q85" s="250"/>
    </row>
    <row r="86" spans="17:17">
      <c r="Q86" s="250"/>
    </row>
    <row r="87" spans="17:17">
      <c r="Q87" s="250"/>
    </row>
    <row r="88" spans="17:17">
      <c r="Q88" s="250"/>
    </row>
    <row r="89" spans="17:17">
      <c r="Q89" s="250"/>
    </row>
    <row r="90" spans="17:17">
      <c r="Q90" s="250"/>
    </row>
    <row r="91" spans="17:17">
      <c r="Q91" s="250"/>
    </row>
    <row r="92" spans="17:17">
      <c r="Q92" s="250"/>
    </row>
    <row r="93" spans="17:17">
      <c r="Q93" s="250"/>
    </row>
    <row r="94" spans="17:17">
      <c r="Q94" s="250"/>
    </row>
    <row r="95" spans="17:17">
      <c r="Q95" s="250"/>
    </row>
    <row r="96" spans="17:17">
      <c r="Q96" s="250"/>
    </row>
    <row r="97" spans="17:17">
      <c r="Q97" s="250"/>
    </row>
    <row r="98" spans="17:17">
      <c r="Q98" s="250"/>
    </row>
    <row r="99" spans="17:17">
      <c r="Q99" s="250"/>
    </row>
    <row r="100" spans="17:17">
      <c r="Q100" s="250"/>
    </row>
    <row r="101" spans="17:17">
      <c r="Q101" s="250"/>
    </row>
    <row r="102" spans="17:17">
      <c r="Q102" s="250"/>
    </row>
    <row r="103" spans="17:17">
      <c r="Q103" s="250"/>
    </row>
    <row r="104" spans="17:17">
      <c r="Q104" s="250"/>
    </row>
    <row r="105" spans="17:17">
      <c r="Q105" s="250"/>
    </row>
    <row r="106" spans="17:17">
      <c r="Q106" s="250"/>
    </row>
    <row r="107" spans="17:17">
      <c r="Q107" s="250"/>
    </row>
    <row r="108" spans="17:17">
      <c r="Q108" s="250"/>
    </row>
    <row r="109" spans="17:17">
      <c r="Q109" s="250"/>
    </row>
    <row r="110" spans="17:17">
      <c r="Q110" s="250"/>
    </row>
    <row r="111" spans="17:17">
      <c r="Q111" s="250"/>
    </row>
    <row r="112" spans="17:17">
      <c r="Q112" s="250"/>
    </row>
    <row r="113" spans="17:17">
      <c r="Q113" s="250"/>
    </row>
    <row r="114" spans="17:17">
      <c r="Q114" s="250"/>
    </row>
    <row r="115" spans="17:17">
      <c r="Q115" s="250"/>
    </row>
    <row r="116" spans="17:17">
      <c r="Q116" s="250"/>
    </row>
    <row r="117" spans="17:17">
      <c r="Q117" s="250"/>
    </row>
    <row r="118" spans="17:17">
      <c r="Q118" s="250"/>
    </row>
    <row r="119" spans="17:17">
      <c r="Q119" s="250"/>
    </row>
    <row r="120" spans="17:17">
      <c r="Q120" s="250"/>
    </row>
    <row r="121" spans="17:17">
      <c r="Q121" s="250"/>
    </row>
    <row r="122" spans="17:17">
      <c r="Q122" s="250"/>
    </row>
    <row r="123" spans="17:17">
      <c r="Q123" s="250"/>
    </row>
    <row r="124" spans="17:17">
      <c r="Q124" s="250"/>
    </row>
    <row r="125" spans="17:17">
      <c r="Q125" s="250"/>
    </row>
    <row r="126" spans="17:17">
      <c r="Q126" s="250"/>
    </row>
    <row r="127" spans="17:17">
      <c r="Q127" s="250"/>
    </row>
    <row r="128" spans="17:17">
      <c r="Q128" s="250"/>
    </row>
    <row r="129" spans="17:17">
      <c r="Q129" s="250"/>
    </row>
    <row r="130" spans="17:17">
      <c r="Q130" s="250"/>
    </row>
    <row r="131" spans="17:17">
      <c r="Q131" s="250"/>
    </row>
    <row r="132" spans="17:17">
      <c r="Q132" s="250"/>
    </row>
    <row r="133" spans="17:17">
      <c r="Q133" s="250"/>
    </row>
    <row r="134" spans="17:17">
      <c r="Q134" s="250"/>
    </row>
    <row r="135" spans="17:17">
      <c r="Q135" s="250"/>
    </row>
    <row r="136" spans="17:17">
      <c r="Q136" s="250"/>
    </row>
    <row r="137" spans="17:17">
      <c r="Q137" s="250"/>
    </row>
    <row r="138" spans="17:17">
      <c r="Q138" s="250"/>
    </row>
    <row r="139" spans="17:17">
      <c r="Q139" s="250"/>
    </row>
    <row r="140" spans="17:17">
      <c r="Q140" s="250"/>
    </row>
    <row r="141" spans="17:17">
      <c r="Q141" s="250"/>
    </row>
    <row r="142" spans="17:17">
      <c r="Q142" s="250"/>
    </row>
    <row r="143" spans="17:17">
      <c r="Q143" s="250"/>
    </row>
    <row r="144" spans="17:17">
      <c r="Q144" s="250"/>
    </row>
    <row r="145" spans="17:17">
      <c r="Q145" s="250"/>
    </row>
    <row r="146" spans="17:17">
      <c r="Q146" s="250"/>
    </row>
    <row r="147" spans="17:17">
      <c r="Q147" s="250"/>
    </row>
    <row r="148" spans="17:17">
      <c r="Q148" s="250"/>
    </row>
    <row r="149" spans="17:17">
      <c r="Q149" s="250"/>
    </row>
    <row r="150" spans="17:17">
      <c r="Q150" s="250"/>
    </row>
    <row r="151" spans="17:17">
      <c r="Q151" s="250"/>
    </row>
    <row r="152" spans="17:17">
      <c r="Q152" s="250"/>
    </row>
    <row r="153" spans="17:17">
      <c r="Q153" s="250"/>
    </row>
    <row r="154" spans="17:17">
      <c r="Q154" s="250"/>
    </row>
    <row r="155" spans="17:17">
      <c r="Q155" s="250"/>
    </row>
    <row r="156" spans="17:17">
      <c r="Q156" s="250"/>
    </row>
    <row r="157" spans="17:17">
      <c r="Q157" s="250"/>
    </row>
    <row r="158" spans="17:17">
      <c r="Q158" s="250"/>
    </row>
    <row r="159" spans="17:17">
      <c r="Q159" s="250"/>
    </row>
    <row r="160" spans="17:17">
      <c r="Q160" s="250"/>
    </row>
    <row r="161" spans="17:17">
      <c r="Q161" s="250"/>
    </row>
    <row r="162" spans="17:17">
      <c r="Q162" s="250"/>
    </row>
    <row r="163" spans="17:17">
      <c r="Q163" s="250"/>
    </row>
    <row r="164" spans="17:17">
      <c r="Q164" s="250"/>
    </row>
    <row r="165" spans="17:17">
      <c r="Q165" s="250"/>
    </row>
    <row r="166" spans="17:17">
      <c r="Q166" s="250"/>
    </row>
    <row r="167" spans="17:17">
      <c r="Q167" s="250"/>
    </row>
    <row r="168" spans="17:17">
      <c r="Q168" s="250"/>
    </row>
    <row r="169" spans="17:17">
      <c r="Q169" s="250"/>
    </row>
    <row r="170" spans="17:17">
      <c r="Q170" s="250"/>
    </row>
    <row r="171" spans="17:17">
      <c r="Q171" s="250"/>
    </row>
    <row r="172" spans="17:17">
      <c r="Q172" s="250"/>
    </row>
    <row r="173" spans="17:17">
      <c r="Q173" s="250"/>
    </row>
    <row r="174" spans="17:17">
      <c r="Q174" s="250"/>
    </row>
    <row r="175" spans="17:17">
      <c r="Q175" s="250"/>
    </row>
    <row r="176" spans="17:17">
      <c r="Q176" s="250"/>
    </row>
    <row r="177" spans="17:17">
      <c r="Q177" s="250"/>
    </row>
    <row r="178" spans="17:17">
      <c r="Q178" s="250"/>
    </row>
    <row r="179" spans="17:17">
      <c r="Q179" s="250"/>
    </row>
    <row r="180" spans="17:17">
      <c r="Q180" s="250"/>
    </row>
    <row r="181" spans="17:17">
      <c r="Q181" s="250"/>
    </row>
    <row r="182" spans="17:17">
      <c r="Q182" s="250"/>
    </row>
    <row r="183" spans="17:17">
      <c r="Q183" s="250"/>
    </row>
    <row r="184" spans="17:17">
      <c r="Q184" s="250"/>
    </row>
    <row r="185" spans="17:17">
      <c r="Q185" s="250"/>
    </row>
    <row r="186" spans="17:17">
      <c r="Q186" s="250"/>
    </row>
    <row r="187" spans="17:17">
      <c r="Q187" s="250"/>
    </row>
    <row r="188" spans="17:17">
      <c r="Q188" s="250"/>
    </row>
    <row r="189" spans="17:17">
      <c r="Q189" s="250"/>
    </row>
    <row r="190" spans="17:17">
      <c r="Q190" s="250"/>
    </row>
    <row r="191" spans="17:17">
      <c r="Q191" s="250"/>
    </row>
    <row r="192" spans="17:17">
      <c r="Q192" s="250"/>
    </row>
    <row r="193" spans="17:17">
      <c r="Q193" s="250"/>
    </row>
    <row r="194" spans="17:17">
      <c r="Q194" s="250"/>
    </row>
    <row r="195" spans="17:17">
      <c r="Q195" s="250"/>
    </row>
    <row r="196" spans="17:17">
      <c r="Q196" s="250"/>
    </row>
    <row r="197" spans="17:17">
      <c r="Q197" s="250"/>
    </row>
    <row r="198" spans="17:17">
      <c r="Q198" s="250"/>
    </row>
    <row r="199" spans="17:17">
      <c r="Q199" s="250"/>
    </row>
    <row r="200" spans="17:17">
      <c r="Q200" s="250"/>
    </row>
    <row r="201" spans="17:17">
      <c r="Q201" s="250"/>
    </row>
    <row r="202" spans="17:17">
      <c r="Q202" s="250"/>
    </row>
    <row r="203" spans="17:17">
      <c r="Q203" s="250"/>
    </row>
    <row r="204" spans="17:17">
      <c r="Q204" s="250"/>
    </row>
    <row r="205" spans="17:17">
      <c r="Q205" s="250"/>
    </row>
    <row r="206" spans="17:17">
      <c r="Q206" s="250"/>
    </row>
    <row r="207" spans="17:17">
      <c r="Q207" s="250"/>
    </row>
    <row r="208" spans="17:17">
      <c r="Q208" s="250"/>
    </row>
    <row r="209" spans="17:17">
      <c r="Q209" s="250"/>
    </row>
    <row r="210" spans="17:17">
      <c r="Q210" s="250"/>
    </row>
    <row r="211" spans="17:17">
      <c r="Q211" s="250"/>
    </row>
    <row r="212" spans="17:17">
      <c r="Q212" s="250"/>
    </row>
    <row r="213" spans="17:17">
      <c r="Q213" s="250"/>
    </row>
    <row r="214" spans="17:17">
      <c r="Q214" s="250"/>
    </row>
    <row r="215" spans="17:17">
      <c r="Q215" s="250"/>
    </row>
    <row r="216" spans="17:17">
      <c r="Q216" s="250"/>
    </row>
    <row r="217" spans="17:17">
      <c r="Q217" s="250"/>
    </row>
    <row r="218" spans="17:17">
      <c r="Q218" s="250"/>
    </row>
    <row r="219" spans="17:17">
      <c r="Q219" s="250"/>
    </row>
    <row r="220" spans="17:17">
      <c r="Q220" s="250"/>
    </row>
    <row r="221" spans="17:17">
      <c r="Q221" s="250"/>
    </row>
    <row r="222" spans="17:17">
      <c r="Q222" s="250"/>
    </row>
    <row r="223" spans="17:17">
      <c r="Q223" s="250"/>
    </row>
    <row r="224" spans="17:17">
      <c r="Q224" s="250"/>
    </row>
    <row r="225" spans="17:17">
      <c r="Q225" s="250"/>
    </row>
    <row r="226" spans="17:17">
      <c r="Q226" s="250"/>
    </row>
    <row r="227" spans="17:17">
      <c r="Q227" s="250"/>
    </row>
    <row r="228" spans="17:17">
      <c r="Q228" s="250"/>
    </row>
    <row r="229" spans="17:17">
      <c r="Q229" s="250"/>
    </row>
    <row r="230" spans="17:17">
      <c r="Q230" s="250"/>
    </row>
    <row r="231" spans="17:17">
      <c r="Q231" s="250"/>
    </row>
    <row r="232" spans="17:17">
      <c r="Q232" s="250"/>
    </row>
    <row r="233" spans="17:17">
      <c r="Q233" s="250"/>
    </row>
    <row r="234" spans="17:17">
      <c r="Q234" s="250"/>
    </row>
    <row r="235" spans="17:17">
      <c r="Q235" s="250"/>
    </row>
    <row r="236" spans="17:17">
      <c r="Q236" s="250"/>
    </row>
    <row r="237" spans="17:17">
      <c r="Q237" s="250"/>
    </row>
    <row r="238" spans="17:17">
      <c r="Q238" s="250"/>
    </row>
    <row r="239" spans="17:17">
      <c r="Q239" s="250"/>
    </row>
    <row r="240" spans="17:17">
      <c r="Q240" s="250"/>
    </row>
    <row r="241" spans="17:17">
      <c r="Q241" s="250"/>
    </row>
    <row r="242" spans="17:17">
      <c r="Q242" s="250"/>
    </row>
    <row r="243" spans="17:17">
      <c r="Q243" s="250"/>
    </row>
    <row r="244" spans="17:17">
      <c r="Q244" s="250"/>
    </row>
    <row r="245" spans="17:17">
      <c r="Q245" s="250"/>
    </row>
    <row r="246" spans="17:17">
      <c r="Q246" s="250"/>
    </row>
    <row r="247" spans="17:17">
      <c r="Q247" s="250"/>
    </row>
    <row r="248" spans="17:17">
      <c r="Q248" s="250"/>
    </row>
    <row r="249" spans="17:17">
      <c r="Q249" s="250"/>
    </row>
    <row r="250" spans="17:17">
      <c r="Q250" s="250"/>
    </row>
    <row r="251" spans="17:17">
      <c r="Q251" s="250"/>
    </row>
    <row r="252" spans="17:17">
      <c r="Q252" s="250"/>
    </row>
    <row r="253" spans="17:17">
      <c r="Q253" s="250"/>
    </row>
    <row r="254" spans="17:17">
      <c r="Q254" s="250"/>
    </row>
    <row r="255" spans="17:17">
      <c r="Q255" s="250"/>
    </row>
    <row r="256" spans="17:17">
      <c r="Q256" s="250"/>
    </row>
    <row r="257" spans="17:17">
      <c r="Q257" s="250"/>
    </row>
    <row r="258" spans="17:17">
      <c r="Q258" s="250"/>
    </row>
    <row r="259" spans="17:17">
      <c r="Q259" s="250"/>
    </row>
    <row r="260" spans="17:17">
      <c r="Q260" s="250"/>
    </row>
    <row r="261" spans="17:17">
      <c r="Q261" s="250"/>
    </row>
    <row r="262" spans="17:17">
      <c r="Q262" s="250"/>
    </row>
    <row r="263" spans="17:17">
      <c r="Q263" s="250"/>
    </row>
    <row r="264" spans="17:17">
      <c r="Q264" s="250"/>
    </row>
    <row r="265" spans="17:17">
      <c r="Q265" s="250"/>
    </row>
    <row r="266" spans="17:17">
      <c r="Q266" s="250"/>
    </row>
    <row r="267" spans="17:17">
      <c r="Q267" s="250"/>
    </row>
    <row r="268" spans="17:17">
      <c r="Q268" s="250"/>
    </row>
    <row r="269" spans="17:17">
      <c r="Q269" s="250"/>
    </row>
    <row r="270" spans="17:17">
      <c r="Q270" s="250"/>
    </row>
    <row r="271" spans="17:17">
      <c r="Q271" s="250"/>
    </row>
    <row r="272" spans="17:17">
      <c r="Q272" s="250"/>
    </row>
    <row r="273" spans="17:17">
      <c r="Q273" s="250"/>
    </row>
    <row r="274" spans="17:17">
      <c r="Q274" s="250"/>
    </row>
    <row r="275" spans="17:17">
      <c r="Q275" s="250"/>
    </row>
    <row r="276" spans="17:17">
      <c r="Q276" s="250"/>
    </row>
    <row r="277" spans="17:17">
      <c r="Q277" s="250"/>
    </row>
    <row r="278" spans="17:17">
      <c r="Q278" s="250"/>
    </row>
    <row r="279" spans="17:17">
      <c r="Q279" s="250"/>
    </row>
    <row r="280" spans="17:17">
      <c r="Q280" s="250"/>
    </row>
    <row r="281" spans="17:17">
      <c r="Q281" s="250"/>
    </row>
    <row r="282" spans="17:17">
      <c r="Q282" s="250"/>
    </row>
    <row r="283" spans="17:17">
      <c r="Q283" s="250"/>
    </row>
    <row r="284" spans="17:17">
      <c r="Q284" s="250"/>
    </row>
    <row r="285" spans="17:17">
      <c r="Q285" s="250"/>
    </row>
    <row r="286" spans="17:17">
      <c r="Q286" s="250"/>
    </row>
    <row r="287" spans="17:17">
      <c r="Q287" s="250"/>
    </row>
    <row r="288" spans="17:17">
      <c r="Q288" s="250"/>
    </row>
    <row r="289" spans="17:17">
      <c r="Q289" s="250"/>
    </row>
    <row r="290" spans="17:17">
      <c r="Q290" s="250"/>
    </row>
    <row r="291" spans="17:17">
      <c r="Q291" s="250"/>
    </row>
    <row r="292" spans="17:17">
      <c r="Q292" s="250"/>
    </row>
    <row r="293" spans="17:17">
      <c r="Q293" s="250"/>
    </row>
    <row r="294" spans="17:17">
      <c r="Q294" s="250"/>
    </row>
    <row r="295" spans="17:17">
      <c r="Q295" s="250"/>
    </row>
    <row r="296" spans="17:17">
      <c r="Q296" s="250"/>
    </row>
    <row r="297" spans="17:17">
      <c r="Q297" s="250"/>
    </row>
    <row r="298" spans="17:17">
      <c r="Q298" s="250"/>
    </row>
    <row r="299" spans="17:17">
      <c r="Q299" s="250"/>
    </row>
    <row r="300" spans="17:17">
      <c r="Q300" s="250"/>
    </row>
    <row r="301" spans="17:17">
      <c r="Q301" s="250"/>
    </row>
    <row r="302" spans="17:17">
      <c r="Q302" s="250"/>
    </row>
    <row r="303" spans="17:17">
      <c r="Q303" s="250"/>
    </row>
    <row r="304" spans="17:17">
      <c r="Q304" s="250"/>
    </row>
    <row r="305" spans="17:17">
      <c r="Q305" s="250"/>
    </row>
    <row r="306" spans="17:17">
      <c r="Q306" s="250"/>
    </row>
    <row r="307" spans="17:17">
      <c r="Q307" s="250"/>
    </row>
    <row r="308" spans="17:17">
      <c r="Q308" s="250"/>
    </row>
    <row r="309" spans="17:17">
      <c r="Q309" s="250"/>
    </row>
    <row r="310" spans="17:17">
      <c r="Q310" s="250"/>
    </row>
    <row r="311" spans="17:17">
      <c r="Q311" s="250"/>
    </row>
    <row r="312" spans="17:17">
      <c r="Q312" s="250"/>
    </row>
    <row r="313" spans="17:17">
      <c r="Q313" s="250"/>
    </row>
    <row r="314" spans="17:17">
      <c r="Q314" s="250"/>
    </row>
    <row r="315" spans="17:17">
      <c r="Q315" s="250"/>
    </row>
    <row r="316" spans="17:17">
      <c r="Q316" s="250"/>
    </row>
    <row r="317" spans="17:17">
      <c r="Q317" s="250"/>
    </row>
    <row r="318" spans="17:17">
      <c r="Q318" s="250"/>
    </row>
    <row r="319" spans="17:17">
      <c r="Q319" s="250"/>
    </row>
    <row r="320" spans="17:17">
      <c r="Q320" s="250"/>
    </row>
    <row r="321" spans="17:17">
      <c r="Q321" s="250"/>
    </row>
    <row r="322" spans="17:17">
      <c r="Q322" s="250"/>
    </row>
    <row r="323" spans="17:17">
      <c r="Q323" s="250"/>
    </row>
    <row r="324" spans="17:17">
      <c r="Q324" s="250"/>
    </row>
    <row r="325" spans="17:17">
      <c r="Q325" s="250"/>
    </row>
    <row r="326" spans="17:17">
      <c r="Q326" s="250"/>
    </row>
    <row r="327" spans="17:17">
      <c r="Q327" s="250"/>
    </row>
    <row r="328" spans="17:17">
      <c r="Q328" s="250"/>
    </row>
    <row r="329" spans="17:17">
      <c r="Q329" s="250"/>
    </row>
    <row r="330" spans="17:17">
      <c r="Q330" s="250"/>
    </row>
    <row r="331" spans="17:17">
      <c r="Q331" s="250"/>
    </row>
    <row r="332" spans="17:17">
      <c r="Q332" s="250"/>
    </row>
    <row r="333" spans="17:17">
      <c r="Q333" s="250"/>
    </row>
    <row r="334" spans="17:17">
      <c r="Q334" s="250"/>
    </row>
    <row r="335" spans="17:17">
      <c r="Q335" s="250"/>
    </row>
    <row r="336" spans="17:17">
      <c r="Q336" s="250"/>
    </row>
    <row r="337" spans="17:17">
      <c r="Q337" s="250"/>
    </row>
    <row r="338" spans="17:17">
      <c r="Q338" s="250"/>
    </row>
    <row r="339" spans="17:17">
      <c r="Q339" s="250"/>
    </row>
    <row r="340" spans="17:17">
      <c r="Q340" s="250"/>
    </row>
    <row r="341" spans="17:17">
      <c r="Q341" s="250"/>
    </row>
    <row r="342" spans="17:17">
      <c r="Q342" s="250"/>
    </row>
    <row r="343" spans="17:17">
      <c r="Q343" s="250"/>
    </row>
    <row r="344" spans="17:17">
      <c r="Q344" s="250"/>
    </row>
    <row r="345" spans="17:17">
      <c r="Q345" s="250"/>
    </row>
    <row r="346" spans="17:17">
      <c r="Q346" s="250"/>
    </row>
    <row r="347" spans="17:17">
      <c r="Q347" s="250"/>
    </row>
    <row r="348" spans="17:17">
      <c r="Q348" s="250"/>
    </row>
    <row r="349" spans="17:17">
      <c r="Q349" s="250"/>
    </row>
    <row r="350" spans="17:17">
      <c r="Q350" s="250"/>
    </row>
    <row r="351" spans="17:17">
      <c r="Q351" s="250"/>
    </row>
    <row r="352" spans="17:17">
      <c r="Q352" s="250"/>
    </row>
    <row r="353" spans="17:17">
      <c r="Q353" s="250"/>
    </row>
    <row r="354" spans="17:17">
      <c r="Q354" s="250"/>
    </row>
    <row r="355" spans="17:17">
      <c r="Q355" s="250"/>
    </row>
    <row r="356" spans="17:17">
      <c r="Q356" s="250"/>
    </row>
    <row r="357" spans="17:17">
      <c r="Q357" s="250"/>
    </row>
    <row r="358" spans="17:17">
      <c r="Q358" s="250"/>
    </row>
    <row r="359" spans="17:17">
      <c r="Q359" s="250"/>
    </row>
    <row r="360" spans="17:17">
      <c r="Q360" s="250"/>
    </row>
    <row r="361" spans="17:17">
      <c r="Q361" s="250"/>
    </row>
    <row r="362" spans="17:17">
      <c r="Q362" s="250"/>
    </row>
    <row r="363" spans="17:17">
      <c r="Q363" s="250"/>
    </row>
    <row r="364" spans="17:17">
      <c r="Q364" s="250"/>
    </row>
    <row r="365" spans="17:17">
      <c r="Q365" s="250"/>
    </row>
    <row r="366" spans="17:17">
      <c r="Q366" s="250"/>
    </row>
    <row r="367" spans="17:17">
      <c r="Q367" s="250"/>
    </row>
    <row r="368" spans="17:17">
      <c r="Q368" s="250"/>
    </row>
    <row r="369" spans="17:17">
      <c r="Q369" s="250"/>
    </row>
    <row r="370" spans="17:17">
      <c r="Q370" s="250"/>
    </row>
    <row r="371" spans="17:17">
      <c r="Q371" s="250"/>
    </row>
    <row r="372" spans="17:17">
      <c r="Q372" s="250"/>
    </row>
    <row r="373" spans="17:17">
      <c r="Q373" s="250"/>
    </row>
    <row r="374" spans="17:17">
      <c r="Q374" s="250"/>
    </row>
    <row r="375" spans="17:17">
      <c r="Q375" s="250"/>
    </row>
    <row r="376" spans="17:17">
      <c r="Q376" s="250"/>
    </row>
    <row r="377" spans="17:17">
      <c r="Q377" s="250"/>
    </row>
    <row r="378" spans="17:17">
      <c r="Q378" s="250"/>
    </row>
    <row r="379" spans="17:17">
      <c r="Q379" s="250"/>
    </row>
    <row r="380" spans="17:17">
      <c r="Q380" s="250"/>
    </row>
    <row r="381" spans="17:17">
      <c r="Q381" s="250"/>
    </row>
    <row r="382" spans="17:17">
      <c r="Q382" s="250"/>
    </row>
    <row r="383" spans="17:17">
      <c r="Q383" s="250"/>
    </row>
    <row r="384" spans="17:17">
      <c r="Q384" s="250"/>
    </row>
    <row r="385" spans="17:17">
      <c r="Q385" s="250"/>
    </row>
    <row r="386" spans="17:17">
      <c r="Q386" s="250"/>
    </row>
    <row r="387" spans="17:17">
      <c r="Q387" s="250"/>
    </row>
    <row r="388" spans="17:17">
      <c r="Q388" s="250"/>
    </row>
    <row r="389" spans="17:17">
      <c r="Q389" s="250"/>
    </row>
    <row r="390" spans="17:17">
      <c r="Q390" s="250"/>
    </row>
    <row r="391" spans="17:17">
      <c r="Q391" s="250"/>
    </row>
    <row r="392" spans="17:17">
      <c r="Q392" s="250"/>
    </row>
    <row r="393" spans="17:17">
      <c r="Q393" s="250"/>
    </row>
    <row r="394" spans="17:17">
      <c r="Q394" s="250"/>
    </row>
    <row r="395" spans="17:17">
      <c r="Q395" s="250"/>
    </row>
    <row r="396" spans="17:17">
      <c r="Q396" s="250"/>
    </row>
    <row r="397" spans="17:17">
      <c r="Q397" s="250"/>
    </row>
    <row r="398" spans="17:17">
      <c r="Q398" s="250"/>
    </row>
    <row r="399" spans="17:17">
      <c r="Q399" s="250"/>
    </row>
    <row r="400" spans="17:17">
      <c r="Q400" s="250"/>
    </row>
    <row r="401" spans="17:17">
      <c r="Q401" s="250"/>
    </row>
    <row r="402" spans="17:17">
      <c r="Q402" s="250"/>
    </row>
    <row r="403" spans="17:17">
      <c r="Q403" s="250"/>
    </row>
    <row r="404" spans="17:17">
      <c r="Q404" s="250"/>
    </row>
    <row r="405" spans="17:17">
      <c r="Q405" s="250"/>
    </row>
    <row r="406" spans="17:17">
      <c r="Q406" s="250"/>
    </row>
    <row r="407" spans="17:17">
      <c r="Q407" s="250"/>
    </row>
    <row r="408" spans="17:17">
      <c r="Q408" s="250"/>
    </row>
    <row r="409" spans="17:17">
      <c r="Q409" s="250"/>
    </row>
    <row r="410" spans="17:17">
      <c r="Q410" s="250"/>
    </row>
    <row r="411" spans="17:17">
      <c r="Q411" s="250"/>
    </row>
    <row r="412" spans="17:17">
      <c r="Q412" s="250"/>
    </row>
    <row r="413" spans="17:17">
      <c r="Q413" s="250"/>
    </row>
    <row r="414" spans="17:17">
      <c r="Q414" s="250"/>
    </row>
    <row r="415" spans="17:17">
      <c r="Q415" s="250"/>
    </row>
    <row r="416" spans="17:17">
      <c r="Q416" s="250"/>
    </row>
    <row r="417" spans="17:17">
      <c r="Q417" s="250"/>
    </row>
    <row r="418" spans="17:17">
      <c r="Q418" s="250"/>
    </row>
    <row r="419" spans="17:17">
      <c r="Q419" s="250"/>
    </row>
    <row r="420" spans="17:17">
      <c r="Q420" s="250"/>
    </row>
    <row r="421" spans="17:17">
      <c r="Q421" s="250"/>
    </row>
    <row r="422" spans="17:17">
      <c r="Q422" s="250"/>
    </row>
    <row r="423" spans="17:17">
      <c r="Q423" s="250"/>
    </row>
    <row r="424" spans="17:17">
      <c r="Q424" s="250"/>
    </row>
    <row r="425" spans="17:17">
      <c r="Q425" s="250"/>
    </row>
    <row r="426" spans="17:17">
      <c r="Q426" s="250"/>
    </row>
    <row r="427" spans="17:17">
      <c r="Q427" s="250"/>
    </row>
    <row r="428" spans="17:17">
      <c r="Q428" s="250"/>
    </row>
    <row r="429" spans="17:17">
      <c r="Q429" s="250"/>
    </row>
    <row r="430" spans="17:17">
      <c r="Q430" s="250"/>
    </row>
    <row r="431" spans="17:17">
      <c r="Q431" s="250"/>
    </row>
    <row r="432" spans="17:17">
      <c r="Q432" s="250"/>
    </row>
    <row r="433" spans="17:17">
      <c r="Q433" s="250"/>
    </row>
    <row r="434" spans="17:17">
      <c r="Q434" s="250"/>
    </row>
    <row r="435" spans="17:17">
      <c r="Q435" s="250"/>
    </row>
    <row r="436" spans="17:17">
      <c r="Q436" s="250"/>
    </row>
    <row r="437" spans="17:17">
      <c r="Q437" s="250"/>
    </row>
    <row r="438" spans="17:17">
      <c r="Q438" s="250"/>
    </row>
    <row r="439" spans="17:17">
      <c r="Q439" s="250"/>
    </row>
    <row r="440" spans="17:17">
      <c r="Q440" s="250"/>
    </row>
    <row r="441" spans="17:17">
      <c r="Q441" s="250"/>
    </row>
    <row r="442" spans="17:17">
      <c r="Q442" s="250"/>
    </row>
    <row r="443" spans="17:17">
      <c r="Q443" s="250"/>
    </row>
    <row r="444" spans="17:17">
      <c r="Q444" s="250"/>
    </row>
    <row r="445" spans="17:17">
      <c r="Q445" s="250"/>
    </row>
    <row r="446" spans="17:17">
      <c r="Q446" s="250"/>
    </row>
    <row r="447" spans="17:17">
      <c r="Q447" s="250"/>
    </row>
    <row r="448" spans="17:17">
      <c r="Q448" s="250"/>
    </row>
    <row r="449" spans="17:17">
      <c r="Q449" s="250"/>
    </row>
    <row r="450" spans="17:17">
      <c r="Q450" s="250"/>
    </row>
    <row r="451" spans="17:17">
      <c r="Q451" s="250"/>
    </row>
    <row r="452" spans="17:17">
      <c r="Q452" s="250"/>
    </row>
    <row r="453" spans="17:17">
      <c r="Q453" s="250"/>
    </row>
    <row r="454" spans="17:17">
      <c r="Q454" s="250"/>
    </row>
    <row r="455" spans="17:17">
      <c r="Q455" s="250"/>
    </row>
    <row r="456" spans="17:17">
      <c r="Q456" s="250"/>
    </row>
    <row r="457" spans="17:17">
      <c r="Q457" s="250"/>
    </row>
    <row r="458" spans="17:17">
      <c r="Q458" s="250"/>
    </row>
    <row r="459" spans="17:17">
      <c r="Q459" s="250"/>
    </row>
    <row r="460" spans="17:17">
      <c r="Q460" s="250"/>
    </row>
    <row r="461" spans="17:17">
      <c r="Q461" s="250"/>
    </row>
    <row r="462" spans="17:17">
      <c r="Q462" s="250"/>
    </row>
    <row r="463" spans="17:17">
      <c r="Q463" s="250"/>
    </row>
    <row r="464" spans="17:17">
      <c r="Q464" s="250"/>
    </row>
    <row r="465" spans="17:17">
      <c r="Q465" s="250"/>
    </row>
    <row r="466" spans="17:17">
      <c r="Q466" s="250"/>
    </row>
    <row r="467" spans="17:17">
      <c r="Q467" s="250"/>
    </row>
    <row r="468" spans="17:17">
      <c r="Q468" s="250"/>
    </row>
    <row r="469" spans="17:17">
      <c r="Q469" s="250"/>
    </row>
    <row r="470" spans="17:17">
      <c r="Q470" s="250"/>
    </row>
    <row r="471" spans="17:17">
      <c r="Q471" s="250"/>
    </row>
    <row r="472" spans="17:17">
      <c r="Q472" s="250"/>
    </row>
    <row r="473" spans="17:17">
      <c r="Q473" s="250"/>
    </row>
    <row r="474" spans="17:17">
      <c r="Q474" s="250"/>
    </row>
    <row r="475" spans="17:17">
      <c r="Q475" s="250"/>
    </row>
    <row r="476" spans="17:17">
      <c r="Q476" s="250"/>
    </row>
    <row r="477" spans="17:17">
      <c r="Q477" s="250"/>
    </row>
    <row r="478" spans="17:17">
      <c r="Q478" s="250"/>
    </row>
    <row r="479" spans="17:17">
      <c r="Q479" s="250"/>
    </row>
    <row r="480" spans="17:17">
      <c r="Q480" s="250"/>
    </row>
    <row r="481" spans="17:17">
      <c r="Q481" s="250"/>
    </row>
    <row r="482" spans="17:17">
      <c r="Q482" s="250"/>
    </row>
    <row r="483" spans="17:17">
      <c r="Q483" s="250"/>
    </row>
    <row r="484" spans="17:17">
      <c r="Q484" s="250"/>
    </row>
    <row r="485" spans="17:17">
      <c r="Q485" s="250"/>
    </row>
    <row r="486" spans="17:17">
      <c r="Q486" s="250"/>
    </row>
    <row r="487" spans="17:17">
      <c r="Q487" s="250"/>
    </row>
    <row r="488" spans="17:17">
      <c r="Q488" s="250"/>
    </row>
    <row r="489" spans="17:17">
      <c r="Q489" s="250"/>
    </row>
    <row r="490" spans="17:17">
      <c r="Q490" s="250"/>
    </row>
    <row r="491" spans="17:17">
      <c r="Q491" s="250"/>
    </row>
    <row r="492" spans="17:17">
      <c r="Q492" s="250"/>
    </row>
    <row r="493" spans="17:17">
      <c r="Q493" s="250"/>
    </row>
    <row r="494" spans="17:17">
      <c r="Q494" s="250"/>
    </row>
    <row r="495" spans="17:17">
      <c r="Q495" s="250"/>
    </row>
    <row r="496" spans="17:17">
      <c r="Q496" s="250"/>
    </row>
    <row r="497" spans="17:17">
      <c r="Q497" s="250"/>
    </row>
    <row r="498" spans="17:17">
      <c r="Q498" s="250"/>
    </row>
    <row r="499" spans="17:17">
      <c r="Q499" s="250"/>
    </row>
    <row r="500" spans="17:17">
      <c r="Q500" s="250"/>
    </row>
    <row r="501" spans="17:17">
      <c r="Q501" s="250"/>
    </row>
    <row r="502" spans="17:17">
      <c r="Q502" s="250"/>
    </row>
    <row r="503" spans="17:17">
      <c r="Q503" s="250"/>
    </row>
    <row r="504" spans="17:17">
      <c r="Q504" s="250"/>
    </row>
    <row r="505" spans="17:17">
      <c r="Q505" s="250"/>
    </row>
    <row r="506" spans="17:17">
      <c r="Q506" s="250"/>
    </row>
    <row r="507" spans="17:17">
      <c r="Q507" s="250"/>
    </row>
    <row r="508" spans="17:17">
      <c r="Q508" s="250"/>
    </row>
    <row r="509" spans="17:17">
      <c r="Q509" s="250"/>
    </row>
    <row r="510" spans="17:17">
      <c r="Q510" s="250"/>
    </row>
    <row r="511" spans="17:17">
      <c r="Q511" s="250"/>
    </row>
    <row r="512" spans="17:17">
      <c r="Q512" s="250"/>
    </row>
    <row r="513" spans="17:17">
      <c r="Q513" s="250"/>
    </row>
    <row r="514" spans="17:17">
      <c r="Q514" s="250"/>
    </row>
    <row r="515" spans="17:17">
      <c r="Q515" s="250"/>
    </row>
    <row r="516" spans="17:17">
      <c r="Q516" s="250"/>
    </row>
    <row r="517" spans="17:17">
      <c r="Q517" s="250"/>
    </row>
    <row r="518" spans="17:17">
      <c r="Q518" s="250"/>
    </row>
    <row r="519" spans="17:17">
      <c r="Q519" s="250"/>
    </row>
    <row r="520" spans="17:17">
      <c r="Q520" s="250"/>
    </row>
    <row r="521" spans="17:17">
      <c r="Q521" s="250"/>
    </row>
    <row r="522" spans="17:17">
      <c r="Q522" s="250"/>
    </row>
    <row r="523" spans="17:17">
      <c r="Q523" s="250"/>
    </row>
    <row r="524" spans="17:17">
      <c r="Q524" s="250"/>
    </row>
    <row r="525" spans="17:17">
      <c r="Q525" s="250"/>
    </row>
    <row r="526" spans="17:17">
      <c r="Q526" s="250"/>
    </row>
    <row r="527" spans="17:17">
      <c r="Q527" s="250"/>
    </row>
    <row r="528" spans="17:17">
      <c r="Q528" s="250"/>
    </row>
    <row r="529" spans="17:17">
      <c r="Q529" s="250"/>
    </row>
    <row r="530" spans="17:17">
      <c r="Q530" s="250"/>
    </row>
    <row r="531" spans="17:17">
      <c r="Q531" s="250"/>
    </row>
    <row r="532" spans="17:17">
      <c r="Q532" s="250"/>
    </row>
    <row r="533" spans="17:17">
      <c r="Q533" s="250"/>
    </row>
    <row r="534" spans="17:17">
      <c r="Q534" s="250"/>
    </row>
    <row r="535" spans="17:17">
      <c r="Q535" s="250"/>
    </row>
    <row r="536" spans="17:17">
      <c r="Q536" s="250"/>
    </row>
    <row r="537" spans="17:17">
      <c r="Q537" s="250"/>
    </row>
    <row r="538" spans="17:17">
      <c r="Q538" s="250"/>
    </row>
    <row r="539" spans="17:17">
      <c r="Q539" s="250"/>
    </row>
    <row r="540" spans="17:17">
      <c r="Q540" s="250"/>
    </row>
    <row r="541" spans="17:17">
      <c r="Q541" s="250"/>
    </row>
    <row r="542" spans="17:17">
      <c r="Q542" s="250"/>
    </row>
    <row r="543" spans="17:17">
      <c r="Q543" s="250"/>
    </row>
    <row r="544" spans="17:17">
      <c r="Q544" s="250"/>
    </row>
    <row r="545" spans="17:17">
      <c r="Q545" s="250"/>
    </row>
    <row r="546" spans="17:17">
      <c r="Q546" s="250"/>
    </row>
    <row r="547" spans="17:17">
      <c r="Q547" s="250"/>
    </row>
    <row r="548" spans="17:17">
      <c r="Q548" s="250"/>
    </row>
    <row r="549" spans="17:17">
      <c r="Q549" s="250"/>
    </row>
    <row r="550" spans="17:17">
      <c r="Q550" s="250"/>
    </row>
    <row r="551" spans="17:17">
      <c r="Q551" s="250"/>
    </row>
    <row r="552" spans="17:17">
      <c r="Q552" s="250"/>
    </row>
    <row r="553" spans="17:17">
      <c r="Q553" s="250"/>
    </row>
    <row r="554" spans="17:17">
      <c r="Q554" s="250"/>
    </row>
    <row r="555" spans="17:17">
      <c r="Q555" s="250"/>
    </row>
    <row r="556" spans="17:17">
      <c r="Q556" s="250"/>
    </row>
    <row r="557" spans="17:17">
      <c r="Q557" s="250"/>
    </row>
    <row r="558" spans="17:17">
      <c r="Q558" s="250"/>
    </row>
    <row r="559" spans="17:17">
      <c r="Q559" s="250"/>
    </row>
    <row r="560" spans="17:17">
      <c r="Q560" s="250"/>
    </row>
    <row r="561" spans="17:17">
      <c r="Q561" s="250"/>
    </row>
    <row r="562" spans="17:17">
      <c r="Q562" s="250"/>
    </row>
    <row r="563" spans="17:17">
      <c r="Q563" s="250"/>
    </row>
    <row r="564" spans="17:17">
      <c r="Q564" s="250"/>
    </row>
    <row r="565" spans="17:17">
      <c r="Q565" s="250"/>
    </row>
    <row r="566" spans="17:17">
      <c r="Q566" s="250"/>
    </row>
    <row r="567" spans="17:17">
      <c r="Q567" s="250"/>
    </row>
    <row r="568" spans="17:17">
      <c r="Q568" s="250"/>
    </row>
    <row r="569" spans="17:17">
      <c r="Q569" s="250"/>
    </row>
    <row r="570" spans="17:17">
      <c r="Q570" s="250"/>
    </row>
    <row r="571" spans="17:17">
      <c r="Q571" s="250"/>
    </row>
    <row r="572" spans="17:17">
      <c r="Q572" s="250"/>
    </row>
    <row r="573" spans="17:17">
      <c r="Q573" s="250"/>
    </row>
    <row r="574" spans="17:17">
      <c r="Q574" s="250"/>
    </row>
    <row r="575" spans="17:17">
      <c r="Q575" s="250"/>
    </row>
    <row r="576" spans="17:17">
      <c r="Q576" s="250"/>
    </row>
    <row r="577" spans="17:17">
      <c r="Q577" s="250"/>
    </row>
    <row r="578" spans="17:17">
      <c r="Q578" s="250"/>
    </row>
    <row r="579" spans="17:17">
      <c r="Q579" s="250"/>
    </row>
    <row r="580" spans="17:17">
      <c r="Q580" s="250"/>
    </row>
    <row r="581" spans="17:17">
      <c r="Q581" s="250"/>
    </row>
    <row r="582" spans="17:17">
      <c r="Q582" s="250"/>
    </row>
    <row r="583" spans="17:17">
      <c r="Q583" s="250"/>
    </row>
    <row r="584" spans="17:17">
      <c r="Q584" s="250"/>
    </row>
    <row r="585" spans="17:17">
      <c r="Q585" s="250"/>
    </row>
    <row r="586" spans="17:17">
      <c r="Q586" s="250"/>
    </row>
    <row r="587" spans="17:17">
      <c r="Q587" s="250"/>
    </row>
    <row r="588" spans="17:17">
      <c r="Q588" s="250"/>
    </row>
    <row r="589" spans="17:17">
      <c r="Q589" s="250"/>
    </row>
    <row r="590" spans="17:17">
      <c r="Q590" s="250"/>
    </row>
    <row r="591" spans="17:17">
      <c r="Q591" s="250"/>
    </row>
    <row r="592" spans="17:17">
      <c r="Q592" s="250"/>
    </row>
    <row r="593" spans="17:17">
      <c r="Q593" s="250"/>
    </row>
    <row r="594" spans="17:17">
      <c r="Q594" s="250"/>
    </row>
    <row r="595" spans="17:17">
      <c r="Q595" s="250"/>
    </row>
    <row r="596" spans="17:17">
      <c r="Q596" s="250"/>
    </row>
    <row r="597" spans="17:17">
      <c r="Q597" s="250"/>
    </row>
    <row r="598" spans="17:17">
      <c r="Q598" s="250"/>
    </row>
    <row r="599" spans="17:17">
      <c r="Q599" s="250"/>
    </row>
    <row r="600" spans="17:17">
      <c r="Q600" s="250"/>
    </row>
    <row r="601" spans="17:17">
      <c r="Q601" s="250"/>
    </row>
    <row r="602" spans="17:17">
      <c r="Q602" s="250"/>
    </row>
    <row r="603" spans="17:17">
      <c r="Q603" s="250"/>
    </row>
    <row r="604" spans="17:17">
      <c r="Q604" s="250"/>
    </row>
    <row r="605" spans="17:17">
      <c r="Q605" s="250"/>
    </row>
    <row r="606" spans="17:17">
      <c r="Q606" s="250"/>
    </row>
    <row r="607" spans="17:17">
      <c r="Q607" s="250"/>
    </row>
    <row r="608" spans="17:17">
      <c r="Q608" s="250"/>
    </row>
    <row r="609" spans="17:17">
      <c r="Q609" s="250"/>
    </row>
    <row r="610" spans="17:17">
      <c r="Q610" s="250"/>
    </row>
    <row r="611" spans="17:17">
      <c r="Q611" s="250"/>
    </row>
    <row r="612" spans="17:17">
      <c r="Q612" s="250"/>
    </row>
    <row r="613" spans="17:17">
      <c r="Q613" s="250"/>
    </row>
    <row r="614" spans="17:17">
      <c r="Q614" s="250"/>
    </row>
    <row r="615" spans="17:17">
      <c r="Q615" s="250"/>
    </row>
    <row r="616" spans="17:17">
      <c r="Q616" s="250"/>
    </row>
    <row r="617" spans="17:17">
      <c r="Q617" s="250"/>
    </row>
    <row r="618" spans="17:17">
      <c r="Q618" s="250"/>
    </row>
    <row r="619" spans="17:17">
      <c r="Q619" s="250"/>
    </row>
    <row r="620" spans="17:17">
      <c r="Q620" s="250"/>
    </row>
    <row r="621" spans="17:17">
      <c r="Q621" s="250"/>
    </row>
    <row r="622" spans="17:17">
      <c r="Q622" s="250"/>
    </row>
    <row r="623" spans="17:17">
      <c r="Q623" s="250"/>
    </row>
    <row r="624" spans="17:17">
      <c r="Q624" s="250"/>
    </row>
    <row r="625" spans="17:17">
      <c r="Q625" s="250"/>
    </row>
    <row r="626" spans="17:17">
      <c r="Q626" s="250"/>
    </row>
    <row r="627" spans="17:17">
      <c r="Q627" s="250"/>
    </row>
    <row r="628" spans="17:17">
      <c r="Q628" s="250"/>
    </row>
    <row r="629" spans="17:17">
      <c r="Q629" s="250"/>
    </row>
    <row r="630" spans="17:17">
      <c r="Q630" s="250"/>
    </row>
    <row r="631" spans="17:17">
      <c r="Q631" s="250"/>
    </row>
    <row r="632" spans="17:17">
      <c r="Q632" s="250"/>
    </row>
    <row r="633" spans="17:17">
      <c r="Q633" s="250"/>
    </row>
    <row r="634" spans="17:17">
      <c r="Q634" s="250"/>
    </row>
    <row r="635" spans="17:17">
      <c r="Q635" s="250"/>
    </row>
    <row r="636" spans="17:17">
      <c r="Q636" s="250"/>
    </row>
    <row r="637" spans="17:17">
      <c r="Q637" s="250"/>
    </row>
    <row r="638" spans="17:17">
      <c r="Q638" s="250"/>
    </row>
    <row r="639" spans="17:17">
      <c r="Q639" s="250"/>
    </row>
    <row r="640" spans="17:17">
      <c r="Q640" s="250"/>
    </row>
    <row r="641" spans="17:17">
      <c r="Q641" s="250"/>
    </row>
    <row r="642" spans="17:17">
      <c r="Q642" s="250"/>
    </row>
    <row r="643" spans="17:17">
      <c r="Q643" s="250"/>
    </row>
    <row r="644" spans="17:17">
      <c r="Q644" s="250"/>
    </row>
    <row r="645" spans="17:17">
      <c r="Q645" s="250"/>
    </row>
    <row r="646" spans="17:17">
      <c r="Q646" s="250"/>
    </row>
    <row r="647" spans="17:17">
      <c r="Q647" s="250"/>
    </row>
    <row r="648" spans="17:17">
      <c r="Q648" s="250"/>
    </row>
    <row r="649" spans="17:17">
      <c r="Q649" s="250"/>
    </row>
    <row r="650" spans="17:17">
      <c r="Q650" s="250"/>
    </row>
    <row r="651" spans="17:17">
      <c r="Q651" s="250"/>
    </row>
    <row r="652" spans="17:17">
      <c r="Q652" s="250"/>
    </row>
    <row r="653" spans="17:17">
      <c r="Q653" s="250"/>
    </row>
    <row r="654" spans="17:17">
      <c r="Q654" s="250"/>
    </row>
    <row r="655" spans="17:17">
      <c r="Q655" s="250"/>
    </row>
    <row r="656" spans="17:17">
      <c r="Q656" s="250"/>
    </row>
    <row r="657" spans="17:17">
      <c r="Q657" s="250"/>
    </row>
    <row r="658" spans="17:17">
      <c r="Q658" s="250"/>
    </row>
    <row r="659" spans="17:17">
      <c r="Q659" s="250"/>
    </row>
    <row r="660" spans="17:17">
      <c r="Q660" s="250"/>
    </row>
    <row r="661" spans="17:17">
      <c r="Q661" s="250"/>
    </row>
    <row r="662" spans="17:17">
      <c r="Q662" s="250"/>
    </row>
    <row r="663" spans="17:17">
      <c r="Q663" s="250"/>
    </row>
    <row r="664" spans="17:17">
      <c r="Q664" s="250"/>
    </row>
    <row r="665" spans="17:17">
      <c r="Q665" s="250"/>
    </row>
    <row r="666" spans="17:17">
      <c r="Q666" s="250"/>
    </row>
    <row r="667" spans="17:17">
      <c r="Q667" s="250"/>
    </row>
    <row r="668" spans="17:17">
      <c r="Q668" s="250"/>
    </row>
    <row r="669" spans="17:17">
      <c r="Q669" s="250"/>
    </row>
    <row r="670" spans="17:17">
      <c r="Q670" s="250"/>
    </row>
    <row r="671" spans="17:17">
      <c r="Q671" s="250"/>
    </row>
    <row r="672" spans="17:17">
      <c r="Q672" s="250"/>
    </row>
    <row r="673" spans="17:17">
      <c r="Q673" s="250"/>
    </row>
    <row r="674" spans="17:17">
      <c r="Q674" s="250"/>
    </row>
    <row r="675" spans="17:17">
      <c r="Q675" s="250"/>
    </row>
    <row r="676" spans="17:17">
      <c r="Q676" s="250"/>
    </row>
    <row r="677" spans="17:17">
      <c r="Q677" s="250"/>
    </row>
    <row r="678" spans="17:17">
      <c r="Q678" s="250"/>
    </row>
    <row r="679" spans="17:17">
      <c r="Q679" s="250"/>
    </row>
    <row r="680" spans="17:17">
      <c r="Q680" s="250"/>
    </row>
    <row r="681" spans="17:17">
      <c r="Q681" s="250"/>
    </row>
    <row r="682" spans="17:17">
      <c r="Q682" s="250"/>
    </row>
    <row r="683" spans="17:17">
      <c r="Q683" s="250"/>
    </row>
    <row r="684" spans="17:17">
      <c r="Q684" s="250"/>
    </row>
    <row r="685" spans="17:17">
      <c r="Q685" s="250"/>
    </row>
    <row r="686" spans="17:17">
      <c r="Q686" s="250"/>
    </row>
    <row r="687" spans="17:17">
      <c r="Q687" s="250"/>
    </row>
    <row r="688" spans="17:17">
      <c r="Q688" s="250"/>
    </row>
    <row r="689" spans="17:17">
      <c r="Q689" s="250"/>
    </row>
    <row r="690" spans="17:17">
      <c r="Q690" s="250"/>
    </row>
    <row r="691" spans="17:17">
      <c r="Q691" s="250"/>
    </row>
    <row r="692" spans="17:17">
      <c r="Q692" s="250"/>
    </row>
    <row r="693" spans="17:17">
      <c r="Q693" s="250"/>
    </row>
    <row r="694" spans="17:17">
      <c r="Q694" s="250"/>
    </row>
    <row r="695" spans="17:17">
      <c r="Q695" s="250"/>
    </row>
    <row r="696" spans="17:17">
      <c r="Q696" s="250"/>
    </row>
    <row r="697" spans="17:17">
      <c r="Q697" s="250"/>
    </row>
    <row r="698" spans="17:17">
      <c r="Q698" s="250"/>
    </row>
    <row r="699" spans="17:17">
      <c r="Q699" s="250"/>
    </row>
    <row r="700" spans="17:17">
      <c r="Q700" s="250"/>
    </row>
    <row r="701" spans="17:17">
      <c r="Q701" s="250"/>
    </row>
    <row r="702" spans="17:17">
      <c r="Q702" s="250"/>
    </row>
    <row r="703" spans="17:17">
      <c r="Q703" s="250"/>
    </row>
    <row r="704" spans="17:17">
      <c r="Q704" s="250"/>
    </row>
    <row r="705" spans="17:17">
      <c r="Q705" s="250"/>
    </row>
    <row r="706" spans="17:17">
      <c r="Q706" s="250"/>
    </row>
    <row r="707" spans="17:17">
      <c r="Q707" s="250"/>
    </row>
    <row r="708" spans="17:17">
      <c r="Q708" s="250"/>
    </row>
    <row r="709" spans="17:17">
      <c r="Q709" s="250"/>
    </row>
    <row r="710" spans="17:17">
      <c r="Q710" s="250"/>
    </row>
    <row r="711" spans="17:17">
      <c r="Q711" s="250"/>
    </row>
    <row r="712" spans="17:17">
      <c r="Q712" s="250"/>
    </row>
    <row r="713" spans="17:17">
      <c r="Q713" s="250"/>
    </row>
    <row r="714" spans="17:17">
      <c r="Q714" s="250"/>
    </row>
    <row r="715" spans="17:17">
      <c r="Q715" s="250"/>
    </row>
    <row r="716" spans="17:17">
      <c r="Q716" s="250"/>
    </row>
    <row r="717" spans="17:17">
      <c r="Q717" s="250"/>
    </row>
    <row r="718" spans="17:17">
      <c r="Q718" s="250"/>
    </row>
    <row r="719" spans="17:17">
      <c r="Q719" s="250"/>
    </row>
    <row r="720" spans="17:17">
      <c r="Q720" s="250"/>
    </row>
    <row r="721" spans="17:17">
      <c r="Q721" s="250"/>
    </row>
    <row r="722" spans="17:17">
      <c r="Q722" s="250"/>
    </row>
    <row r="723" spans="17:17">
      <c r="Q723" s="250"/>
    </row>
    <row r="724" spans="17:17">
      <c r="Q724" s="250"/>
    </row>
    <row r="725" spans="17:17">
      <c r="Q725" s="250"/>
    </row>
    <row r="726" spans="17:17">
      <c r="Q726" s="250"/>
    </row>
    <row r="727" spans="17:17">
      <c r="Q727" s="250"/>
    </row>
    <row r="728" spans="17:17">
      <c r="Q728" s="250"/>
    </row>
    <row r="729" spans="17:17">
      <c r="Q729" s="250"/>
    </row>
    <row r="730" spans="17:17">
      <c r="Q730" s="250"/>
    </row>
    <row r="731" spans="17:17">
      <c r="Q731" s="250"/>
    </row>
    <row r="732" spans="17:17">
      <c r="Q732" s="250"/>
    </row>
    <row r="733" spans="17:17">
      <c r="Q733" s="250"/>
    </row>
    <row r="734" spans="17:17">
      <c r="Q734" s="250"/>
    </row>
    <row r="735" spans="17:17">
      <c r="Q735" s="250"/>
    </row>
    <row r="736" spans="17:17">
      <c r="Q736" s="250"/>
    </row>
    <row r="737" spans="17:17">
      <c r="Q737" s="250"/>
    </row>
    <row r="738" spans="17:17">
      <c r="Q738" s="250"/>
    </row>
    <row r="739" spans="17:17">
      <c r="Q739" s="250"/>
    </row>
    <row r="740" spans="17:17">
      <c r="Q740" s="250"/>
    </row>
    <row r="741" spans="17:17">
      <c r="Q741" s="250"/>
    </row>
    <row r="742" spans="17:17">
      <c r="Q742" s="250"/>
    </row>
    <row r="743" spans="17:17">
      <c r="Q743" s="250"/>
    </row>
    <row r="744" spans="17:17">
      <c r="Q744" s="250"/>
    </row>
    <row r="745" spans="17:17">
      <c r="Q745" s="250"/>
    </row>
    <row r="746" spans="17:17">
      <c r="Q746" s="250"/>
    </row>
    <row r="747" spans="17:17">
      <c r="Q747" s="250"/>
    </row>
    <row r="748" spans="17:17">
      <c r="Q748" s="250"/>
    </row>
    <row r="749" spans="17:17">
      <c r="Q749" s="250"/>
    </row>
    <row r="750" spans="17:17">
      <c r="Q750" s="250"/>
    </row>
    <row r="751" spans="17:17">
      <c r="Q751" s="250"/>
    </row>
    <row r="752" spans="17:17">
      <c r="Q752" s="250"/>
    </row>
    <row r="753" spans="17:17">
      <c r="Q753" s="250"/>
    </row>
    <row r="754" spans="17:17">
      <c r="Q754" s="250"/>
    </row>
    <row r="755" spans="17:17">
      <c r="Q755" s="250"/>
    </row>
    <row r="756" spans="17:17">
      <c r="Q756" s="250"/>
    </row>
    <row r="757" spans="17:17">
      <c r="Q757" s="250"/>
    </row>
    <row r="758" spans="17:17">
      <c r="Q758" s="250"/>
    </row>
    <row r="759" spans="17:17">
      <c r="Q759" s="250"/>
    </row>
    <row r="760" spans="17:17">
      <c r="Q760" s="250"/>
    </row>
    <row r="761" spans="17:17">
      <c r="Q761" s="250"/>
    </row>
    <row r="762" spans="17:17">
      <c r="Q762" s="250"/>
    </row>
    <row r="763" spans="17:17">
      <c r="Q763" s="250"/>
    </row>
    <row r="764" spans="17:17">
      <c r="Q764" s="250"/>
    </row>
    <row r="765" spans="17:17">
      <c r="Q765" s="250"/>
    </row>
    <row r="766" spans="17:17">
      <c r="Q766" s="250"/>
    </row>
    <row r="767" spans="17:17">
      <c r="Q767" s="250"/>
    </row>
    <row r="768" spans="17:17">
      <c r="Q768" s="250"/>
    </row>
    <row r="769" spans="17:17">
      <c r="Q769" s="250"/>
    </row>
    <row r="770" spans="17:17">
      <c r="Q770" s="250"/>
    </row>
    <row r="771" spans="17:17">
      <c r="Q771" s="250"/>
    </row>
    <row r="772" spans="17:17">
      <c r="Q772" s="250"/>
    </row>
    <row r="773" spans="17:17">
      <c r="Q773" s="250"/>
    </row>
    <row r="774" spans="17:17">
      <c r="Q774" s="250"/>
    </row>
    <row r="775" spans="17:17">
      <c r="Q775" s="250"/>
    </row>
    <row r="776" spans="17:17">
      <c r="Q776" s="250"/>
    </row>
    <row r="777" spans="17:17">
      <c r="Q777" s="250"/>
    </row>
    <row r="778" spans="17:17">
      <c r="Q778" s="250"/>
    </row>
    <row r="779" spans="17:17">
      <c r="Q779" s="250"/>
    </row>
    <row r="780" spans="17:17">
      <c r="Q780" s="250"/>
    </row>
    <row r="781" spans="17:17">
      <c r="Q781" s="250"/>
    </row>
    <row r="782" spans="17:17">
      <c r="Q782" s="250"/>
    </row>
    <row r="783" spans="17:17">
      <c r="Q783" s="250"/>
    </row>
    <row r="784" spans="17:17">
      <c r="Q784" s="250"/>
    </row>
    <row r="785" spans="17:17">
      <c r="Q785" s="250"/>
    </row>
    <row r="786" spans="17:17">
      <c r="Q786" s="250"/>
    </row>
    <row r="787" spans="17:17">
      <c r="Q787" s="250"/>
    </row>
    <row r="788" spans="17:17">
      <c r="Q788" s="250"/>
    </row>
    <row r="789" spans="17:17">
      <c r="Q789" s="250"/>
    </row>
    <row r="790" spans="17:17">
      <c r="Q790" s="250"/>
    </row>
    <row r="791" spans="17:17">
      <c r="Q791" s="250"/>
    </row>
    <row r="792" spans="17:17">
      <c r="Q792" s="250"/>
    </row>
    <row r="793" spans="17:17">
      <c r="Q793" s="250"/>
    </row>
    <row r="794" spans="17:17">
      <c r="Q794" s="250"/>
    </row>
    <row r="795" spans="17:17">
      <c r="Q795" s="250"/>
    </row>
    <row r="796" spans="17:17">
      <c r="Q796" s="250"/>
    </row>
    <row r="797" spans="17:17">
      <c r="Q797" s="250"/>
    </row>
    <row r="798" spans="17:17">
      <c r="Q798" s="250"/>
    </row>
    <row r="799" spans="17:17">
      <c r="Q799" s="250"/>
    </row>
    <row r="800" spans="17:17">
      <c r="Q800" s="250"/>
    </row>
    <row r="801" spans="17:17">
      <c r="Q801" s="250"/>
    </row>
    <row r="802" spans="17:17">
      <c r="Q802" s="250"/>
    </row>
    <row r="803" spans="17:17">
      <c r="Q803" s="250"/>
    </row>
    <row r="804" spans="17:17">
      <c r="Q804" s="250"/>
    </row>
    <row r="805" spans="17:17">
      <c r="Q805" s="250"/>
    </row>
    <row r="806" spans="17:17">
      <c r="Q806" s="250"/>
    </row>
    <row r="807" spans="17:17">
      <c r="Q807" s="250"/>
    </row>
    <row r="808" spans="17:17">
      <c r="Q808" s="250"/>
    </row>
    <row r="809" spans="17:17">
      <c r="Q809" s="250"/>
    </row>
    <row r="810" spans="17:17">
      <c r="Q810" s="250"/>
    </row>
    <row r="811" spans="17:17">
      <c r="Q811" s="250"/>
    </row>
    <row r="812" spans="17:17">
      <c r="Q812" s="250"/>
    </row>
    <row r="813" spans="17:17">
      <c r="Q813" s="250"/>
    </row>
    <row r="814" spans="17:17">
      <c r="Q814" s="250"/>
    </row>
    <row r="815" spans="17:17">
      <c r="Q815" s="250"/>
    </row>
    <row r="816" spans="17:17">
      <c r="Q816" s="250"/>
    </row>
    <row r="817" spans="17:17">
      <c r="Q817" s="250"/>
    </row>
    <row r="818" spans="17:17">
      <c r="Q818" s="250"/>
    </row>
    <row r="819" spans="17:17">
      <c r="Q819" s="250"/>
    </row>
    <row r="820" spans="17:17">
      <c r="Q820" s="250"/>
    </row>
    <row r="821" spans="17:17">
      <c r="Q821" s="250"/>
    </row>
    <row r="822" spans="17:17">
      <c r="Q822" s="250"/>
    </row>
    <row r="823" spans="17:17">
      <c r="Q823" s="250"/>
    </row>
    <row r="824" spans="17:17">
      <c r="Q824" s="250"/>
    </row>
    <row r="825" spans="17:17">
      <c r="Q825" s="250"/>
    </row>
    <row r="826" spans="17:17">
      <c r="Q826" s="250"/>
    </row>
    <row r="827" spans="17:17">
      <c r="Q827" s="250"/>
    </row>
    <row r="828" spans="17:17">
      <c r="Q828" s="250"/>
    </row>
    <row r="829" spans="17:17">
      <c r="Q829" s="250"/>
    </row>
    <row r="830" spans="17:17">
      <c r="Q830" s="250"/>
    </row>
    <row r="831" spans="17:17">
      <c r="Q831" s="250"/>
    </row>
    <row r="832" spans="17:17">
      <c r="Q832" s="250"/>
    </row>
    <row r="833" spans="17:17">
      <c r="Q833" s="250"/>
    </row>
    <row r="834" spans="17:17">
      <c r="Q834" s="250"/>
    </row>
    <row r="835" spans="17:17">
      <c r="Q835" s="250"/>
    </row>
    <row r="836" spans="17:17">
      <c r="Q836" s="250"/>
    </row>
    <row r="837" spans="17:17">
      <c r="Q837" s="250"/>
    </row>
    <row r="838" spans="17:17">
      <c r="Q838" s="250"/>
    </row>
    <row r="839" spans="17:17">
      <c r="Q839" s="250"/>
    </row>
    <row r="840" spans="17:17">
      <c r="Q840" s="250"/>
    </row>
    <row r="841" spans="17:17">
      <c r="Q841" s="250"/>
    </row>
    <row r="842" spans="17:17">
      <c r="Q842" s="250"/>
    </row>
    <row r="843" spans="17:17">
      <c r="Q843" s="250"/>
    </row>
    <row r="844" spans="17:17">
      <c r="Q844" s="250"/>
    </row>
    <row r="845" spans="17:17">
      <c r="Q845" s="250"/>
    </row>
    <row r="846" spans="17:17">
      <c r="Q846" s="250"/>
    </row>
    <row r="847" spans="17:17">
      <c r="Q847" s="250"/>
    </row>
    <row r="848" spans="17:17">
      <c r="Q848" s="250"/>
    </row>
    <row r="849" spans="17:17">
      <c r="Q849" s="250"/>
    </row>
    <row r="850" spans="17:17">
      <c r="Q850" s="250"/>
    </row>
    <row r="851" spans="17:17">
      <c r="Q851" s="250"/>
    </row>
    <row r="852" spans="17:17">
      <c r="Q852" s="250"/>
    </row>
    <row r="853" spans="17:17">
      <c r="Q853" s="250"/>
    </row>
    <row r="854" spans="17:17">
      <c r="Q854" s="250"/>
    </row>
    <row r="855" spans="17:17">
      <c r="Q855" s="250"/>
    </row>
    <row r="856" spans="17:17">
      <c r="Q856" s="250"/>
    </row>
    <row r="857" spans="17:17">
      <c r="Q857" s="250"/>
    </row>
    <row r="858" spans="17:17">
      <c r="Q858" s="250"/>
    </row>
    <row r="859" spans="17:17">
      <c r="Q859" s="250"/>
    </row>
    <row r="860" spans="17:17">
      <c r="Q860" s="250"/>
    </row>
    <row r="861" spans="17:17">
      <c r="Q861" s="250"/>
    </row>
    <row r="862" spans="17:17">
      <c r="Q862" s="250"/>
    </row>
    <row r="863" spans="17:17">
      <c r="Q863" s="250"/>
    </row>
    <row r="864" spans="17:17">
      <c r="Q864" s="250"/>
    </row>
    <row r="865" spans="17:17">
      <c r="Q865" s="250"/>
    </row>
    <row r="866" spans="17:17">
      <c r="Q866" s="250"/>
    </row>
    <row r="867" spans="17:17">
      <c r="Q867" s="250"/>
    </row>
    <row r="868" spans="17:17">
      <c r="Q868" s="250"/>
    </row>
    <row r="869" spans="17:17">
      <c r="Q869" s="250"/>
    </row>
    <row r="870" spans="17:17">
      <c r="Q870" s="250"/>
    </row>
    <row r="871" spans="17:17">
      <c r="Q871" s="250"/>
    </row>
    <row r="872" spans="17:17">
      <c r="Q872" s="250"/>
    </row>
    <row r="873" spans="17:17">
      <c r="Q873" s="250"/>
    </row>
    <row r="874" spans="17:17">
      <c r="Q874" s="250"/>
    </row>
    <row r="875" spans="17:17">
      <c r="Q875" s="250"/>
    </row>
    <row r="876" spans="17:17">
      <c r="Q876" s="250"/>
    </row>
    <row r="877" spans="17:17">
      <c r="Q877" s="250"/>
    </row>
    <row r="878" spans="17:17">
      <c r="Q878" s="250"/>
    </row>
    <row r="879" spans="17:17">
      <c r="Q879" s="250"/>
    </row>
    <row r="880" spans="17:17">
      <c r="Q880" s="250"/>
    </row>
    <row r="881" spans="17:17">
      <c r="Q881" s="250"/>
    </row>
    <row r="882" spans="17:17">
      <c r="Q882" s="250"/>
    </row>
    <row r="883" spans="17:17">
      <c r="Q883" s="250"/>
    </row>
    <row r="884" spans="17:17">
      <c r="Q884" s="250"/>
    </row>
    <row r="885" spans="17:17">
      <c r="Q885" s="250"/>
    </row>
    <row r="886" spans="17:17">
      <c r="Q886" s="250"/>
    </row>
    <row r="887" spans="17:17">
      <c r="Q887" s="250"/>
    </row>
    <row r="888" spans="17:17">
      <c r="Q888" s="250"/>
    </row>
    <row r="889" spans="17:17">
      <c r="Q889" s="250"/>
    </row>
    <row r="890" spans="17:17">
      <c r="Q890" s="250"/>
    </row>
    <row r="891" spans="17:17">
      <c r="Q891" s="250"/>
    </row>
    <row r="892" spans="17:17">
      <c r="Q892" s="250"/>
    </row>
    <row r="893" spans="17:17">
      <c r="Q893" s="250"/>
    </row>
    <row r="894" spans="17:17">
      <c r="Q894" s="250"/>
    </row>
    <row r="895" spans="17:17">
      <c r="Q895" s="250"/>
    </row>
    <row r="896" spans="17:17">
      <c r="Q896" s="250"/>
    </row>
    <row r="897" spans="17:17">
      <c r="Q897" s="250"/>
    </row>
    <row r="898" spans="17:17">
      <c r="Q898" s="250"/>
    </row>
    <row r="899" spans="17:17">
      <c r="Q899" s="250"/>
    </row>
    <row r="900" spans="17:17">
      <c r="Q900" s="250"/>
    </row>
    <row r="901" spans="17:17">
      <c r="Q901" s="250"/>
    </row>
    <row r="902" spans="17:17">
      <c r="Q902" s="250"/>
    </row>
    <row r="903" spans="17:17">
      <c r="Q903" s="250"/>
    </row>
    <row r="904" spans="17:17">
      <c r="Q904" s="250"/>
    </row>
    <row r="905" spans="17:17">
      <c r="Q905" s="250"/>
    </row>
    <row r="906" spans="17:17">
      <c r="Q906" s="250"/>
    </row>
    <row r="907" spans="17:17">
      <c r="Q907" s="250"/>
    </row>
    <row r="908" spans="17:17">
      <c r="Q908" s="250"/>
    </row>
    <row r="909" spans="17:17">
      <c r="Q909" s="250"/>
    </row>
    <row r="910" spans="17:17">
      <c r="Q910" s="250"/>
    </row>
    <row r="911" spans="17:17">
      <c r="Q911" s="250"/>
    </row>
    <row r="912" spans="17:17">
      <c r="Q912" s="250"/>
    </row>
    <row r="913" spans="17:17">
      <c r="Q913" s="250"/>
    </row>
    <row r="914" spans="17:17">
      <c r="Q914" s="250"/>
    </row>
    <row r="915" spans="17:17">
      <c r="Q915" s="250"/>
    </row>
    <row r="916" spans="17:17">
      <c r="Q916" s="250"/>
    </row>
    <row r="917" spans="17:17">
      <c r="Q917" s="250"/>
    </row>
    <row r="918" spans="17:17">
      <c r="Q918" s="250"/>
    </row>
    <row r="919" spans="17:17">
      <c r="Q919" s="250"/>
    </row>
    <row r="920" spans="17:17">
      <c r="Q920" s="250"/>
    </row>
    <row r="921" spans="17:17">
      <c r="Q921" s="250"/>
    </row>
    <row r="922" spans="17:17">
      <c r="Q922" s="250"/>
    </row>
    <row r="923" spans="17:17">
      <c r="Q923" s="250"/>
    </row>
    <row r="924" spans="17:17">
      <c r="Q924" s="250"/>
    </row>
    <row r="925" spans="17:17">
      <c r="Q925" s="250"/>
    </row>
    <row r="926" spans="17:17">
      <c r="Q926" s="250"/>
    </row>
    <row r="927" spans="17:17">
      <c r="Q927" s="250"/>
    </row>
    <row r="928" spans="17:17">
      <c r="Q928" s="250"/>
    </row>
    <row r="929" spans="17:17">
      <c r="Q929" s="250"/>
    </row>
    <row r="930" spans="17:17">
      <c r="Q930" s="250"/>
    </row>
    <row r="931" spans="17:17">
      <c r="Q931" s="250"/>
    </row>
    <row r="932" spans="17:17">
      <c r="Q932" s="250"/>
    </row>
    <row r="933" spans="17:17">
      <c r="Q933" s="250"/>
    </row>
    <row r="934" spans="17:17">
      <c r="Q934" s="250"/>
    </row>
    <row r="935" spans="17:17">
      <c r="Q935" s="250"/>
    </row>
    <row r="936" spans="17:17">
      <c r="Q936" s="250"/>
    </row>
    <row r="937" spans="17:17">
      <c r="Q937" s="250"/>
    </row>
    <row r="938" spans="17:17">
      <c r="Q938" s="250"/>
    </row>
    <row r="939" spans="17:17">
      <c r="Q939" s="250"/>
    </row>
    <row r="940" spans="17:17">
      <c r="Q940" s="250"/>
    </row>
    <row r="941" spans="17:17">
      <c r="Q941" s="250"/>
    </row>
    <row r="942" spans="17:17">
      <c r="Q942" s="250"/>
    </row>
    <row r="943" spans="17:17">
      <c r="Q943" s="250"/>
    </row>
    <row r="944" spans="17:17">
      <c r="Q944" s="250"/>
    </row>
    <row r="945" spans="17:17">
      <c r="Q945" s="250"/>
    </row>
    <row r="946" spans="17:17">
      <c r="Q946" s="250"/>
    </row>
    <row r="947" spans="17:17">
      <c r="Q947" s="250"/>
    </row>
    <row r="948" spans="17:17">
      <c r="Q948" s="250"/>
    </row>
    <row r="949" spans="17:17">
      <c r="Q949" s="250"/>
    </row>
    <row r="950" spans="17:17">
      <c r="Q950" s="250"/>
    </row>
    <row r="951" spans="17:17">
      <c r="Q951" s="250"/>
    </row>
    <row r="952" spans="17:17">
      <c r="Q952" s="250"/>
    </row>
    <row r="953" spans="17:17">
      <c r="Q953" s="250"/>
    </row>
    <row r="954" spans="17:17">
      <c r="Q954" s="250"/>
    </row>
    <row r="955" spans="17:17">
      <c r="Q955" s="250"/>
    </row>
    <row r="956" spans="17:17">
      <c r="Q956" s="250"/>
    </row>
    <row r="957" spans="17:17">
      <c r="Q957" s="250"/>
    </row>
    <row r="958" spans="17:17">
      <c r="Q958" s="250"/>
    </row>
    <row r="959" spans="17:17">
      <c r="Q959" s="250"/>
    </row>
    <row r="960" spans="17:17">
      <c r="Q960" s="250"/>
    </row>
    <row r="961" spans="17:17">
      <c r="Q961" s="250"/>
    </row>
    <row r="962" spans="17:17">
      <c r="Q962" s="250"/>
    </row>
    <row r="963" spans="17:17">
      <c r="Q963" s="250"/>
    </row>
    <row r="964" spans="17:17">
      <c r="Q964" s="250"/>
    </row>
    <row r="965" spans="17:17">
      <c r="Q965" s="250"/>
    </row>
    <row r="966" spans="17:17">
      <c r="Q966" s="250"/>
    </row>
    <row r="967" spans="17:17">
      <c r="Q967" s="250"/>
    </row>
    <row r="968" spans="17:17">
      <c r="Q968" s="250"/>
    </row>
    <row r="969" spans="17:17">
      <c r="Q969" s="250"/>
    </row>
    <row r="970" spans="17:17">
      <c r="Q970" s="250"/>
    </row>
    <row r="971" spans="17:17">
      <c r="Q971" s="250"/>
    </row>
    <row r="972" spans="17:17">
      <c r="Q972" s="250"/>
    </row>
    <row r="973" spans="17:17">
      <c r="Q973" s="250"/>
    </row>
    <row r="974" spans="17:17">
      <c r="Q974" s="250"/>
    </row>
    <row r="975" spans="17:17">
      <c r="Q975" s="250"/>
    </row>
    <row r="976" spans="17:17">
      <c r="Q976" s="250"/>
    </row>
    <row r="977" spans="17:17">
      <c r="Q977" s="250"/>
    </row>
    <row r="978" spans="17:17">
      <c r="Q978" s="250"/>
    </row>
    <row r="979" spans="17:17">
      <c r="Q979" s="250"/>
    </row>
    <row r="980" spans="17:17">
      <c r="Q980" s="250"/>
    </row>
    <row r="981" spans="17:17">
      <c r="Q981" s="250"/>
    </row>
    <row r="982" spans="17:17">
      <c r="Q982" s="250"/>
    </row>
    <row r="983" spans="17:17">
      <c r="Q983" s="250"/>
    </row>
    <row r="984" spans="17:17">
      <c r="Q984" s="250"/>
    </row>
    <row r="985" spans="17:17">
      <c r="Q985" s="250"/>
    </row>
    <row r="986" spans="17:17">
      <c r="Q986" s="250"/>
    </row>
    <row r="987" spans="17:17">
      <c r="Q987" s="250"/>
    </row>
    <row r="988" spans="17:17">
      <c r="Q988" s="250"/>
    </row>
    <row r="989" spans="17:17">
      <c r="Q989" s="250"/>
    </row>
    <row r="990" spans="17:17">
      <c r="Q990" s="250"/>
    </row>
    <row r="991" spans="17:17">
      <c r="Q991" s="250"/>
    </row>
    <row r="992" spans="17:17">
      <c r="Q992" s="250"/>
    </row>
    <row r="993" spans="17:17">
      <c r="Q993" s="250"/>
    </row>
    <row r="994" spans="17:17">
      <c r="Q994" s="250"/>
    </row>
    <row r="995" spans="17:17">
      <c r="Q995" s="250"/>
    </row>
    <row r="996" spans="17:17">
      <c r="Q996" s="250"/>
    </row>
    <row r="997" spans="17:17">
      <c r="Q997" s="250"/>
    </row>
    <row r="998" spans="17:17">
      <c r="Q998" s="250"/>
    </row>
    <row r="999" spans="17:17">
      <c r="Q999" s="250"/>
    </row>
    <row r="1000" spans="17:17">
      <c r="Q1000" s="250"/>
    </row>
    <row r="1001" spans="17:17">
      <c r="Q1001" s="250"/>
    </row>
    <row r="1002" spans="17:17">
      <c r="Q1002" s="250"/>
    </row>
    <row r="1003" spans="17:17">
      <c r="Q1003" s="250"/>
    </row>
    <row r="1004" spans="17:17">
      <c r="Q1004" s="250"/>
    </row>
    <row r="1005" spans="17:17">
      <c r="Q1005" s="250"/>
    </row>
    <row r="1006" spans="17:17">
      <c r="Q1006" s="250"/>
    </row>
    <row r="1007" spans="17:17">
      <c r="Q1007" s="250"/>
    </row>
    <row r="1008" spans="17:17">
      <c r="Q1008" s="250"/>
    </row>
    <row r="1009" spans="17:17">
      <c r="Q1009" s="250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5B65-E2F5-45C4-8BB4-78CCA3B5A2DF}">
  <sheetPr>
    <tabColor rgb="FFFFC000"/>
  </sheetPr>
  <dimension ref="A1:AL101"/>
  <sheetViews>
    <sheetView zoomScale="70" zoomScaleNormal="60" workbookViewId="0">
      <pane ySplit="3" topLeftCell="A4" activePane="bottomLeft" state="frozen"/>
      <selection activeCell="C71" sqref="C71"/>
      <selection pane="bottomLeft" activeCell="H9" sqref="H9"/>
    </sheetView>
  </sheetViews>
  <sheetFormatPr defaultRowHeight="14.4"/>
  <cols>
    <col min="1" max="1" width="11.5546875" bestFit="1" customWidth="1"/>
    <col min="2" max="2" width="14.109375" bestFit="1" customWidth="1"/>
    <col min="3" max="14" width="15.33203125" bestFit="1" customWidth="1"/>
    <col min="15" max="15" width="15" style="1" bestFit="1" customWidth="1"/>
    <col min="16" max="16" width="17.88671875" style="39" bestFit="1" customWidth="1"/>
    <col min="17" max="17" width="13.33203125" customWidth="1"/>
    <col min="18" max="18" width="17" style="39" bestFit="1" customWidth="1"/>
    <col min="19" max="19" width="10" bestFit="1" customWidth="1"/>
    <col min="21" max="21" width="11.5546875" bestFit="1" customWidth="1"/>
    <col min="22" max="22" width="14.109375" bestFit="1" customWidth="1"/>
    <col min="23" max="34" width="15.33203125" bestFit="1" customWidth="1"/>
    <col min="35" max="35" width="15" style="1" bestFit="1" customWidth="1"/>
    <col min="36" max="36" width="17.88671875" style="39" bestFit="1" customWidth="1"/>
    <col min="37" max="37" width="15.6640625" customWidth="1"/>
    <col min="38" max="38" width="17" style="39" bestFit="1" customWidth="1"/>
  </cols>
  <sheetData>
    <row r="1" spans="1:38">
      <c r="B1" s="56" t="s">
        <v>36</v>
      </c>
      <c r="C1" s="56">
        <v>17500</v>
      </c>
      <c r="F1" s="56" t="s">
        <v>94</v>
      </c>
      <c r="G1" s="56">
        <v>71.5</v>
      </c>
      <c r="I1" s="56" t="s">
        <v>35</v>
      </c>
      <c r="J1" s="57">
        <v>631880</v>
      </c>
      <c r="L1" t="s">
        <v>52</v>
      </c>
      <c r="M1" s="204">
        <v>1</v>
      </c>
      <c r="P1" s="39">
        <f>USULAN!N22</f>
        <v>3079864506</v>
      </c>
      <c r="V1" s="56" t="s">
        <v>36</v>
      </c>
      <c r="W1" s="56">
        <v>17500</v>
      </c>
      <c r="Z1" s="56" t="s">
        <v>94</v>
      </c>
      <c r="AA1" s="56">
        <v>71.5</v>
      </c>
      <c r="AC1" s="56" t="s">
        <v>35</v>
      </c>
      <c r="AD1" s="57">
        <v>631880</v>
      </c>
      <c r="AF1" t="s">
        <v>52</v>
      </c>
      <c r="AG1" s="205">
        <v>1</v>
      </c>
      <c r="AJ1" s="39">
        <f>USULAN!O22</f>
        <v>3172260441.1799998</v>
      </c>
      <c r="AK1" t="str">
        <f>IF(AJ1&lt;1,"LEBIH","KURANG")</f>
        <v>KURANG</v>
      </c>
    </row>
    <row r="2" spans="1:38">
      <c r="B2" s="56" t="s">
        <v>37</v>
      </c>
      <c r="C2" s="56">
        <v>2</v>
      </c>
      <c r="F2" s="56"/>
      <c r="G2" s="56">
        <v>3.2000000000000001E-2</v>
      </c>
      <c r="I2" s="56"/>
      <c r="J2" s="56">
        <v>181</v>
      </c>
      <c r="L2" t="s">
        <v>164</v>
      </c>
      <c r="M2" s="204">
        <f>M1</f>
        <v>1</v>
      </c>
      <c r="N2" s="39"/>
      <c r="O2" s="39"/>
      <c r="Q2" s="39"/>
      <c r="S2" s="39"/>
      <c r="V2" s="56" t="s">
        <v>37</v>
      </c>
      <c r="W2" s="56">
        <v>2</v>
      </c>
      <c r="Z2" s="56"/>
      <c r="AA2" s="56">
        <v>3.2000000000000001E-2</v>
      </c>
      <c r="AC2" s="56"/>
      <c r="AD2" s="56">
        <v>181</v>
      </c>
      <c r="AF2" t="s">
        <v>164</v>
      </c>
      <c r="AG2" s="204">
        <f>AG1</f>
        <v>1</v>
      </c>
    </row>
    <row r="3" spans="1:38">
      <c r="G3" s="27">
        <v>2</v>
      </c>
      <c r="H3" t="s">
        <v>123</v>
      </c>
      <c r="I3">
        <v>0.75</v>
      </c>
      <c r="AA3" s="27">
        <v>2</v>
      </c>
      <c r="AB3" t="s">
        <v>170</v>
      </c>
      <c r="AC3" s="217">
        <v>1</v>
      </c>
    </row>
    <row r="4" spans="1:38">
      <c r="G4" s="55"/>
      <c r="H4" t="s">
        <v>64</v>
      </c>
      <c r="I4">
        <v>0.75</v>
      </c>
      <c r="W4" s="194">
        <v>0</v>
      </c>
      <c r="AA4" s="55"/>
      <c r="AB4" t="s">
        <v>171</v>
      </c>
      <c r="AC4" s="217">
        <v>1</v>
      </c>
    </row>
    <row r="5" spans="1:38">
      <c r="B5" s="333" t="s">
        <v>151</v>
      </c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V5" s="333" t="s">
        <v>107</v>
      </c>
      <c r="W5" s="333"/>
      <c r="X5" s="333"/>
      <c r="Y5" s="333"/>
      <c r="Z5" s="333"/>
      <c r="AA5" s="333"/>
      <c r="AB5" s="333"/>
      <c r="AC5" s="333"/>
      <c r="AD5" s="333"/>
      <c r="AE5" s="333"/>
      <c r="AF5" s="333"/>
      <c r="AG5" s="333"/>
      <c r="AH5" s="333"/>
    </row>
    <row r="6" spans="1:38">
      <c r="B6" s="28" t="s">
        <v>50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s="1" t="s">
        <v>95</v>
      </c>
      <c r="V6" s="28" t="s">
        <v>50</v>
      </c>
      <c r="W6" t="s">
        <v>38</v>
      </c>
      <c r="X6" t="s">
        <v>39</v>
      </c>
      <c r="Y6" t="s">
        <v>40</v>
      </c>
      <c r="Z6" t="s">
        <v>41</v>
      </c>
      <c r="AA6" t="s">
        <v>42</v>
      </c>
      <c r="AB6" t="s">
        <v>43</v>
      </c>
      <c r="AC6" t="s">
        <v>44</v>
      </c>
      <c r="AD6" t="s">
        <v>45</v>
      </c>
      <c r="AE6" t="s">
        <v>46</v>
      </c>
      <c r="AF6" t="s">
        <v>47</v>
      </c>
      <c r="AG6" t="s">
        <v>48</v>
      </c>
      <c r="AH6" t="s">
        <v>49</v>
      </c>
      <c r="AI6" s="1" t="s">
        <v>95</v>
      </c>
    </row>
    <row r="7" spans="1:38">
      <c r="B7" t="s">
        <v>51</v>
      </c>
      <c r="C7" s="277">
        <f>'TAMBAT CWD'!C6</f>
        <v>2</v>
      </c>
      <c r="D7" s="277">
        <f>'TAMBAT CWD'!D6</f>
        <v>6</v>
      </c>
      <c r="E7" s="277">
        <f>'TAMBAT CWD'!E6</f>
        <v>2</v>
      </c>
      <c r="F7" s="277">
        <f>'TAMBAT CWD'!F6</f>
        <v>6</v>
      </c>
      <c r="G7" s="277">
        <f>'TAMBAT CWD'!G6</f>
        <v>5</v>
      </c>
      <c r="H7" s="277">
        <f>'TAMBAT CWD'!H6</f>
        <v>5</v>
      </c>
      <c r="I7" s="277">
        <f>'TAMBAT CWD'!I6</f>
        <v>6</v>
      </c>
      <c r="J7" s="277">
        <f>'TAMBAT CWD'!J6</f>
        <v>6</v>
      </c>
      <c r="K7" s="277">
        <f>'TAMBAT CWD'!K6</f>
        <v>5</v>
      </c>
      <c r="L7" s="277">
        <f>'TAMBAT CWD'!L6</f>
        <v>6</v>
      </c>
      <c r="M7" s="277">
        <f>'TAMBAT CWD'!M6</f>
        <v>5</v>
      </c>
      <c r="N7" s="277">
        <f>'TAMBAT CWD'!N6</f>
        <v>2</v>
      </c>
      <c r="O7" s="61">
        <f>SUM(C7:N7)</f>
        <v>56</v>
      </c>
      <c r="P7" s="54"/>
      <c r="V7" t="s">
        <v>51</v>
      </c>
      <c r="W7" s="96">
        <v>7</v>
      </c>
      <c r="X7" s="96">
        <v>6</v>
      </c>
      <c r="Y7" s="96">
        <v>4</v>
      </c>
      <c r="Z7" s="96">
        <v>4</v>
      </c>
      <c r="AA7" s="96">
        <v>6</v>
      </c>
      <c r="AB7" s="96">
        <v>4</v>
      </c>
      <c r="AC7" s="96">
        <v>7</v>
      </c>
      <c r="AD7" s="96">
        <v>8</v>
      </c>
      <c r="AE7" s="96">
        <v>6</v>
      </c>
      <c r="AF7" s="96">
        <v>6</v>
      </c>
      <c r="AG7" s="96">
        <v>4</v>
      </c>
      <c r="AH7" s="96">
        <v>6</v>
      </c>
      <c r="AI7" s="61">
        <f>SUM(W7:AH7)</f>
        <v>68</v>
      </c>
      <c r="AJ7" s="54"/>
    </row>
    <row r="8" spans="1:38">
      <c r="C8" s="277">
        <f>'TAMBAT CWD'!C7</f>
        <v>57157</v>
      </c>
      <c r="D8" s="277">
        <f>'TAMBAT CWD'!D7</f>
        <v>104594</v>
      </c>
      <c r="E8" s="277">
        <f>'TAMBAT CWD'!E7</f>
        <v>57157</v>
      </c>
      <c r="F8" s="277">
        <f>'TAMBAT CWD'!F7</f>
        <v>104594</v>
      </c>
      <c r="G8" s="277">
        <f>'TAMBAT CWD'!G7</f>
        <v>87161.666666666657</v>
      </c>
      <c r="H8" s="277">
        <f>'TAMBAT CWD'!H7</f>
        <v>87161.666666666657</v>
      </c>
      <c r="I8" s="277">
        <f>'TAMBAT CWD'!I7</f>
        <v>135600.85714285716</v>
      </c>
      <c r="J8" s="277">
        <f>'TAMBAT CWD'!J7</f>
        <v>135600.85714285716</v>
      </c>
      <c r="K8" s="277">
        <f>'TAMBAT CWD'!K7</f>
        <v>87161.666666666657</v>
      </c>
      <c r="L8" s="277">
        <f>'TAMBAT CWD'!L7</f>
        <v>104594</v>
      </c>
      <c r="M8" s="277">
        <f>'TAMBAT CWD'!M7</f>
        <v>87161.666666666657</v>
      </c>
      <c r="N8" s="277">
        <f>'TAMBAT CWD'!N7</f>
        <v>57157</v>
      </c>
      <c r="O8" s="61">
        <f>SUM(C8:N8)</f>
        <v>1105101.3809523808</v>
      </c>
      <c r="W8" s="96">
        <v>106603</v>
      </c>
      <c r="X8" s="96">
        <f t="shared" ref="X8:AH8" si="0">ROUNDUP(D8*$AC$4,)</f>
        <v>104594</v>
      </c>
      <c r="Y8" s="96">
        <f t="shared" si="0"/>
        <v>57157</v>
      </c>
      <c r="Z8" s="96">
        <f t="shared" si="0"/>
        <v>104594</v>
      </c>
      <c r="AA8" s="96">
        <f t="shared" si="0"/>
        <v>87162</v>
      </c>
      <c r="AB8" s="96">
        <f t="shared" si="0"/>
        <v>87162</v>
      </c>
      <c r="AC8" s="96">
        <f>ROUNDUP(I8*$AC$4,)</f>
        <v>135601</v>
      </c>
      <c r="AD8" s="96">
        <f t="shared" si="0"/>
        <v>135601</v>
      </c>
      <c r="AE8" s="96">
        <f t="shared" si="0"/>
        <v>87162</v>
      </c>
      <c r="AF8" s="96">
        <f t="shared" si="0"/>
        <v>104594</v>
      </c>
      <c r="AG8" s="96">
        <f t="shared" si="0"/>
        <v>87162</v>
      </c>
      <c r="AH8" s="96">
        <f t="shared" si="0"/>
        <v>57157</v>
      </c>
      <c r="AI8" s="61">
        <f>SUM(W8:AH8)</f>
        <v>1154549</v>
      </c>
    </row>
    <row r="9" spans="1:38">
      <c r="A9" s="222">
        <f>$M$1</f>
        <v>1</v>
      </c>
      <c r="B9" s="31" t="s">
        <v>52</v>
      </c>
      <c r="C9" s="32">
        <f>C7*$C$2</f>
        <v>4</v>
      </c>
      <c r="D9" s="32">
        <f t="shared" ref="D9:N10" si="1">D7*$C$2</f>
        <v>12</v>
      </c>
      <c r="E9" s="32">
        <f t="shared" si="1"/>
        <v>4</v>
      </c>
      <c r="F9" s="32">
        <f t="shared" si="1"/>
        <v>12</v>
      </c>
      <c r="G9" s="32">
        <f>G7*$C$2</f>
        <v>10</v>
      </c>
      <c r="H9" s="32">
        <f t="shared" si="1"/>
        <v>10</v>
      </c>
      <c r="I9" s="32">
        <f t="shared" si="1"/>
        <v>12</v>
      </c>
      <c r="J9" s="32">
        <f t="shared" si="1"/>
        <v>12</v>
      </c>
      <c r="K9" s="32">
        <f t="shared" si="1"/>
        <v>10</v>
      </c>
      <c r="L9" s="32">
        <f t="shared" si="1"/>
        <v>12</v>
      </c>
      <c r="M9" s="32">
        <f t="shared" si="1"/>
        <v>10</v>
      </c>
      <c r="N9" s="32">
        <f t="shared" si="1"/>
        <v>4</v>
      </c>
      <c r="O9" s="59">
        <f t="shared" ref="O9:O20" si="2">SUM(C9:N9)</f>
        <v>112</v>
      </c>
      <c r="U9" s="54">
        <f>$AG$1</f>
        <v>1</v>
      </c>
      <c r="V9" s="31" t="s">
        <v>52</v>
      </c>
      <c r="W9" s="32">
        <f t="shared" ref="W9:AH10" si="3">W7*$C$2</f>
        <v>14</v>
      </c>
      <c r="X9" s="32">
        <f t="shared" si="3"/>
        <v>12</v>
      </c>
      <c r="Y9" s="32">
        <f t="shared" si="3"/>
        <v>8</v>
      </c>
      <c r="Z9" s="32">
        <f t="shared" si="3"/>
        <v>8</v>
      </c>
      <c r="AA9" s="32">
        <f t="shared" si="3"/>
        <v>12</v>
      </c>
      <c r="AB9" s="32">
        <f t="shared" si="3"/>
        <v>8</v>
      </c>
      <c r="AC9" s="32">
        <f t="shared" si="3"/>
        <v>14</v>
      </c>
      <c r="AD9" s="32">
        <f t="shared" si="3"/>
        <v>16</v>
      </c>
      <c r="AE9" s="32">
        <f t="shared" si="3"/>
        <v>12</v>
      </c>
      <c r="AF9" s="32">
        <f t="shared" si="3"/>
        <v>12</v>
      </c>
      <c r="AG9" s="32">
        <f t="shared" si="3"/>
        <v>8</v>
      </c>
      <c r="AH9" s="32">
        <f t="shared" si="3"/>
        <v>12</v>
      </c>
      <c r="AI9" s="59">
        <f t="shared" ref="AI9:AI20" si="4">SUM(W9:AH9)</f>
        <v>136</v>
      </c>
    </row>
    <row r="10" spans="1:38">
      <c r="A10" s="222">
        <f>$M$2</f>
        <v>1</v>
      </c>
      <c r="B10" s="31" t="s">
        <v>53</v>
      </c>
      <c r="C10" s="32">
        <f>C8*$C$2</f>
        <v>114314</v>
      </c>
      <c r="D10" s="32">
        <f t="shared" si="1"/>
        <v>209188</v>
      </c>
      <c r="E10" s="32">
        <f t="shared" si="1"/>
        <v>114314</v>
      </c>
      <c r="F10" s="32">
        <f t="shared" si="1"/>
        <v>209188</v>
      </c>
      <c r="G10" s="32">
        <f t="shared" si="1"/>
        <v>174323.33333333331</v>
      </c>
      <c r="H10" s="32">
        <f t="shared" si="1"/>
        <v>174323.33333333331</v>
      </c>
      <c r="I10" s="32">
        <f t="shared" si="1"/>
        <v>271201.71428571432</v>
      </c>
      <c r="J10" s="32">
        <f t="shared" si="1"/>
        <v>271201.71428571432</v>
      </c>
      <c r="K10" s="32">
        <f t="shared" si="1"/>
        <v>174323.33333333331</v>
      </c>
      <c r="L10" s="32">
        <f t="shared" si="1"/>
        <v>209188</v>
      </c>
      <c r="M10" s="32">
        <f t="shared" si="1"/>
        <v>174323.33333333331</v>
      </c>
      <c r="N10" s="32">
        <f t="shared" si="1"/>
        <v>114314</v>
      </c>
      <c r="O10" s="59">
        <f t="shared" si="2"/>
        <v>2210202.7619047617</v>
      </c>
      <c r="U10" s="54">
        <f>$AG$2</f>
        <v>1</v>
      </c>
      <c r="V10" s="31" t="s">
        <v>53</v>
      </c>
      <c r="W10" s="182">
        <f t="shared" si="3"/>
        <v>213206</v>
      </c>
      <c r="X10" s="182">
        <f t="shared" si="3"/>
        <v>209188</v>
      </c>
      <c r="Y10" s="182">
        <f t="shared" si="3"/>
        <v>114314</v>
      </c>
      <c r="Z10" s="182">
        <f t="shared" si="3"/>
        <v>209188</v>
      </c>
      <c r="AA10" s="182">
        <f t="shared" si="3"/>
        <v>174324</v>
      </c>
      <c r="AB10" s="182">
        <f t="shared" si="3"/>
        <v>174324</v>
      </c>
      <c r="AC10" s="182">
        <f t="shared" si="3"/>
        <v>271202</v>
      </c>
      <c r="AD10" s="182">
        <f t="shared" si="3"/>
        <v>271202</v>
      </c>
      <c r="AE10" s="182">
        <f t="shared" si="3"/>
        <v>174324</v>
      </c>
      <c r="AF10" s="182">
        <f t="shared" si="3"/>
        <v>209188</v>
      </c>
      <c r="AG10" s="182">
        <f t="shared" si="3"/>
        <v>174324</v>
      </c>
      <c r="AH10" s="182">
        <f t="shared" si="3"/>
        <v>114314</v>
      </c>
      <c r="AI10" s="59">
        <f t="shared" si="4"/>
        <v>2309098</v>
      </c>
    </row>
    <row r="11" spans="1:38">
      <c r="B11" s="31" t="s">
        <v>54</v>
      </c>
      <c r="C11" s="32">
        <f>(C9*$G$1*$C$1)*$A9</f>
        <v>5005000</v>
      </c>
      <c r="D11" s="32">
        <f t="shared" ref="D11:N11" si="5">(D9*$G$1*$C$1)*$A9</f>
        <v>15015000</v>
      </c>
      <c r="E11" s="32">
        <f t="shared" si="5"/>
        <v>5005000</v>
      </c>
      <c r="F11" s="32">
        <f t="shared" si="5"/>
        <v>15015000</v>
      </c>
      <c r="G11" s="32">
        <f t="shared" si="5"/>
        <v>12512500</v>
      </c>
      <c r="H11" s="32">
        <f t="shared" si="5"/>
        <v>12512500</v>
      </c>
      <c r="I11" s="32">
        <f t="shared" si="5"/>
        <v>15015000</v>
      </c>
      <c r="J11" s="32">
        <f t="shared" si="5"/>
        <v>15015000</v>
      </c>
      <c r="K11" s="32">
        <f t="shared" si="5"/>
        <v>12512500</v>
      </c>
      <c r="L11" s="32">
        <f t="shared" si="5"/>
        <v>15015000</v>
      </c>
      <c r="M11" s="32">
        <f t="shared" si="5"/>
        <v>12512500</v>
      </c>
      <c r="N11" s="32">
        <f t="shared" si="5"/>
        <v>5005000</v>
      </c>
      <c r="O11" s="59">
        <f t="shared" si="2"/>
        <v>140140000</v>
      </c>
      <c r="P11" s="82"/>
      <c r="Q11" s="54"/>
      <c r="V11" s="31" t="s">
        <v>54</v>
      </c>
      <c r="W11" s="32">
        <f>(W9*$G$1*$C$1)*$U9</f>
        <v>17517500</v>
      </c>
      <c r="X11" s="32">
        <f t="shared" ref="X11:AH11" si="6">(X9*$G$1*$C$1)*$U9</f>
        <v>15015000</v>
      </c>
      <c r="Y11" s="32">
        <f t="shared" si="6"/>
        <v>10010000</v>
      </c>
      <c r="Z11" s="32">
        <f t="shared" si="6"/>
        <v>10010000</v>
      </c>
      <c r="AA11" s="32">
        <f t="shared" si="6"/>
        <v>15015000</v>
      </c>
      <c r="AB11" s="32">
        <f t="shared" si="6"/>
        <v>10010000</v>
      </c>
      <c r="AC11" s="32">
        <f t="shared" si="6"/>
        <v>17517500</v>
      </c>
      <c r="AD11" s="32">
        <f t="shared" si="6"/>
        <v>20020000</v>
      </c>
      <c r="AE11" s="32">
        <f t="shared" si="6"/>
        <v>15015000</v>
      </c>
      <c r="AF11" s="32">
        <f t="shared" si="6"/>
        <v>15015000</v>
      </c>
      <c r="AG11" s="32">
        <f t="shared" si="6"/>
        <v>10010000</v>
      </c>
      <c r="AH11" s="32">
        <f t="shared" si="6"/>
        <v>15015000</v>
      </c>
      <c r="AI11" s="59">
        <f t="shared" si="4"/>
        <v>170170000</v>
      </c>
      <c r="AJ11" s="82"/>
      <c r="AK11" s="54"/>
    </row>
    <row r="12" spans="1:38">
      <c r="B12" s="31" t="s">
        <v>55</v>
      </c>
      <c r="C12" s="32">
        <f>(C10*$G$2*$C$1)*$A10</f>
        <v>64015840.000000007</v>
      </c>
      <c r="D12" s="32">
        <f t="shared" ref="D12:N12" si="7">(D10*$G$2*$C$1)*$A10</f>
        <v>117145280.00000001</v>
      </c>
      <c r="E12" s="32">
        <f t="shared" si="7"/>
        <v>64015840.000000007</v>
      </c>
      <c r="F12" s="32">
        <f t="shared" si="7"/>
        <v>117145280.00000001</v>
      </c>
      <c r="G12" s="32">
        <f t="shared" si="7"/>
        <v>97621066.666666657</v>
      </c>
      <c r="H12" s="32">
        <f t="shared" si="7"/>
        <v>97621066.666666657</v>
      </c>
      <c r="I12" s="32">
        <f>(I10*$G$2*$C$1)*$A10</f>
        <v>151872960.00000003</v>
      </c>
      <c r="J12" s="32">
        <f t="shared" si="7"/>
        <v>151872960.00000003</v>
      </c>
      <c r="K12" s="32">
        <f t="shared" si="7"/>
        <v>97621066.666666657</v>
      </c>
      <c r="L12" s="32">
        <f t="shared" si="7"/>
        <v>117145280.00000001</v>
      </c>
      <c r="M12" s="32">
        <f t="shared" si="7"/>
        <v>97621066.666666657</v>
      </c>
      <c r="N12" s="32">
        <f t="shared" si="7"/>
        <v>64015840.000000007</v>
      </c>
      <c r="O12" s="59">
        <f t="shared" si="2"/>
        <v>1237713546.6666667</v>
      </c>
      <c r="P12" s="82"/>
      <c r="Q12" s="54"/>
      <c r="V12" s="31" t="s">
        <v>55</v>
      </c>
      <c r="W12" s="32">
        <f>(W10*$G$2*$C$1)*$U10</f>
        <v>119395360.00000001</v>
      </c>
      <c r="X12" s="32">
        <f t="shared" ref="X12:AH12" si="8">(X10*$G$2*$C$1)*$U10</f>
        <v>117145280.00000001</v>
      </c>
      <c r="Y12" s="32">
        <f t="shared" si="8"/>
        <v>64015840.000000007</v>
      </c>
      <c r="Z12" s="32">
        <f t="shared" si="8"/>
        <v>117145280.00000001</v>
      </c>
      <c r="AA12" s="32">
        <f t="shared" si="8"/>
        <v>97621440</v>
      </c>
      <c r="AB12" s="32">
        <f t="shared" si="8"/>
        <v>97621440</v>
      </c>
      <c r="AC12" s="32">
        <f t="shared" si="8"/>
        <v>151873120</v>
      </c>
      <c r="AD12" s="32">
        <f t="shared" si="8"/>
        <v>151873120</v>
      </c>
      <c r="AE12" s="32">
        <f t="shared" si="8"/>
        <v>97621440</v>
      </c>
      <c r="AF12" s="32">
        <f t="shared" si="8"/>
        <v>117145280.00000001</v>
      </c>
      <c r="AG12" s="32">
        <f t="shared" si="8"/>
        <v>97621440</v>
      </c>
      <c r="AH12" s="32">
        <f t="shared" si="8"/>
        <v>64015840.000000007</v>
      </c>
      <c r="AI12" s="59">
        <f t="shared" si="4"/>
        <v>1293094880</v>
      </c>
      <c r="AJ12" s="82"/>
      <c r="AK12" s="54"/>
      <c r="AL12" s="39">
        <v>67737</v>
      </c>
    </row>
    <row r="13" spans="1:38">
      <c r="B13" t="s">
        <v>56</v>
      </c>
      <c r="C13" s="99">
        <f>'TAMBAT CWD'!C10</f>
        <v>5</v>
      </c>
      <c r="D13" s="99">
        <f>'TAMBAT CWD'!D10</f>
        <v>5</v>
      </c>
      <c r="E13" s="99">
        <f>'TAMBAT CWD'!E10</f>
        <v>4</v>
      </c>
      <c r="F13" s="99">
        <f>'TAMBAT CWD'!F10</f>
        <v>5</v>
      </c>
      <c r="G13" s="99">
        <f>'TAMBAT CWD'!G10</f>
        <v>4</v>
      </c>
      <c r="H13" s="99">
        <f>'TAMBAT CWD'!H10</f>
        <v>5</v>
      </c>
      <c r="I13" s="99">
        <f>'TAMBAT CWD'!I10</f>
        <v>6</v>
      </c>
      <c r="J13" s="99">
        <f>'TAMBAT CWD'!J10</f>
        <v>5</v>
      </c>
      <c r="K13" s="99">
        <f>'TAMBAT CWD'!K10</f>
        <v>4</v>
      </c>
      <c r="L13" s="99">
        <f>'TAMBAT CWD'!L10</f>
        <v>6</v>
      </c>
      <c r="M13" s="99">
        <f>'TAMBAT CWD'!M10</f>
        <v>5</v>
      </c>
      <c r="N13" s="99">
        <f>'TAMBAT CWD'!N10</f>
        <v>4</v>
      </c>
      <c r="O13" s="61">
        <f t="shared" si="2"/>
        <v>58</v>
      </c>
      <c r="V13" t="s">
        <v>56</v>
      </c>
      <c r="W13" s="99">
        <f>'TAMBAT CWD'!W10</f>
        <v>5</v>
      </c>
      <c r="X13" s="99">
        <f>'TAMBAT CWD'!X10</f>
        <v>4</v>
      </c>
      <c r="Y13" s="99">
        <f>'TAMBAT CWD'!Y10</f>
        <v>5</v>
      </c>
      <c r="Z13" s="99">
        <f>'TAMBAT CWD'!Z10</f>
        <v>6</v>
      </c>
      <c r="AA13" s="99">
        <f>'TAMBAT CWD'!AA10</f>
        <v>5</v>
      </c>
      <c r="AB13" s="99">
        <f>'TAMBAT CWD'!AB10</f>
        <v>4</v>
      </c>
      <c r="AC13" s="99">
        <f>'TAMBAT CWD'!AC10</f>
        <v>5</v>
      </c>
      <c r="AD13" s="99">
        <f>'TAMBAT CWD'!AD10</f>
        <v>6</v>
      </c>
      <c r="AE13" s="99">
        <f>'TAMBAT CWD'!AE10</f>
        <v>2</v>
      </c>
      <c r="AF13" s="99">
        <f>'TAMBAT CWD'!AF10</f>
        <v>57</v>
      </c>
      <c r="AG13" s="99">
        <v>5</v>
      </c>
      <c r="AH13" s="99">
        <v>4</v>
      </c>
      <c r="AI13" s="61">
        <f t="shared" si="4"/>
        <v>108</v>
      </c>
      <c r="AL13" s="39">
        <f>AL12/12</f>
        <v>5644.75</v>
      </c>
    </row>
    <row r="14" spans="1:38">
      <c r="C14" s="99">
        <f>'TAMBAT CWD'!C11</f>
        <v>27518</v>
      </c>
      <c r="D14" s="99">
        <f>'TAMBAT CWD'!D11</f>
        <v>27297</v>
      </c>
      <c r="E14" s="99">
        <f>'TAMBAT CWD'!E11</f>
        <v>20109</v>
      </c>
      <c r="F14" s="99">
        <f>'TAMBAT CWD'!F11</f>
        <v>33615</v>
      </c>
      <c r="G14" s="99">
        <f>'TAMBAT CWD'!G11</f>
        <v>22014.400000000001</v>
      </c>
      <c r="H14" s="99">
        <f>'TAMBAT CWD'!H11</f>
        <v>27297</v>
      </c>
      <c r="I14" s="99">
        <f>'TAMBAT CWD'!I11</f>
        <v>30163.5</v>
      </c>
      <c r="J14" s="99">
        <f>'TAMBAT CWD'!J11</f>
        <v>33615</v>
      </c>
      <c r="K14" s="99">
        <f>'TAMBAT CWD'!K11</f>
        <v>22014.400000000001</v>
      </c>
      <c r="L14" s="99">
        <f>'TAMBAT CWD'!L11</f>
        <v>32756.399999999998</v>
      </c>
      <c r="M14" s="99">
        <f>'TAMBAT CWD'!M11</f>
        <v>25136.25</v>
      </c>
      <c r="N14" s="99">
        <f>'TAMBAT CWD'!N11</f>
        <v>22014.400000000001</v>
      </c>
      <c r="O14" s="61">
        <f t="shared" si="2"/>
        <v>323550.35000000003</v>
      </c>
      <c r="W14" s="99">
        <f>'TAMBAT CWD'!W11</f>
        <v>33615</v>
      </c>
      <c r="X14" s="99">
        <f>'TAMBAT CWD'!X11</f>
        <v>22014.400000000001</v>
      </c>
      <c r="Y14" s="99">
        <f>'TAMBAT CWD'!Y11</f>
        <v>27297</v>
      </c>
      <c r="Z14" s="99">
        <f>'TAMBAT CWD'!Z11</f>
        <v>30163.5</v>
      </c>
      <c r="AA14" s="99">
        <f>'TAMBAT CWD'!AA11</f>
        <v>33615</v>
      </c>
      <c r="AB14" s="99">
        <f>'TAMBAT CWD'!AB11</f>
        <v>22014.400000000001</v>
      </c>
      <c r="AC14" s="99">
        <f>'TAMBAT CWD'!AC11</f>
        <v>32756.399999999998</v>
      </c>
      <c r="AD14" s="99">
        <f>'TAMBAT CWD'!AD11</f>
        <v>30163.5</v>
      </c>
      <c r="AE14" s="99">
        <f>'TAMBAT CWD'!AE11</f>
        <v>13615</v>
      </c>
      <c r="AF14" s="99">
        <f>'TAMBAT CWD'!AF11</f>
        <v>322823.7</v>
      </c>
      <c r="AG14" s="99">
        <v>25136.25</v>
      </c>
      <c r="AH14" s="99">
        <v>22014.400000000001</v>
      </c>
      <c r="AI14" s="193">
        <f t="shared" si="4"/>
        <v>615228.55000000005</v>
      </c>
    </row>
    <row r="15" spans="1:38">
      <c r="A15" s="54">
        <f>$M$1</f>
        <v>1</v>
      </c>
      <c r="B15" s="31" t="s">
        <v>52</v>
      </c>
      <c r="C15" s="32">
        <f>C13*$C$2</f>
        <v>10</v>
      </c>
      <c r="D15" s="32">
        <f t="shared" ref="D15:N15" si="9">D13*$C$2</f>
        <v>10</v>
      </c>
      <c r="E15" s="32">
        <f t="shared" si="9"/>
        <v>8</v>
      </c>
      <c r="F15" s="32">
        <f t="shared" si="9"/>
        <v>10</v>
      </c>
      <c r="G15" s="32">
        <f t="shared" si="9"/>
        <v>8</v>
      </c>
      <c r="H15" s="32">
        <f t="shared" si="9"/>
        <v>10</v>
      </c>
      <c r="I15" s="32">
        <f t="shared" si="9"/>
        <v>12</v>
      </c>
      <c r="J15" s="32">
        <f t="shared" si="9"/>
        <v>10</v>
      </c>
      <c r="K15" s="32">
        <f t="shared" si="9"/>
        <v>8</v>
      </c>
      <c r="L15" s="32">
        <f t="shared" si="9"/>
        <v>12</v>
      </c>
      <c r="M15" s="32">
        <f t="shared" si="9"/>
        <v>10</v>
      </c>
      <c r="N15" s="32">
        <f t="shared" si="9"/>
        <v>8</v>
      </c>
      <c r="O15" s="59">
        <f t="shared" si="2"/>
        <v>116</v>
      </c>
      <c r="U15" s="54">
        <f>$AG$1</f>
        <v>1</v>
      </c>
      <c r="V15" s="31" t="s">
        <v>52</v>
      </c>
      <c r="W15" s="32">
        <f t="shared" ref="W15:AH16" si="10">W13*$C$2</f>
        <v>10</v>
      </c>
      <c r="X15" s="32">
        <f t="shared" si="10"/>
        <v>8</v>
      </c>
      <c r="Y15" s="32">
        <f t="shared" si="10"/>
        <v>10</v>
      </c>
      <c r="Z15" s="32">
        <f t="shared" si="10"/>
        <v>12</v>
      </c>
      <c r="AA15" s="32">
        <f t="shared" si="10"/>
        <v>10</v>
      </c>
      <c r="AB15" s="32">
        <f t="shared" si="10"/>
        <v>8</v>
      </c>
      <c r="AC15" s="32">
        <f t="shared" si="10"/>
        <v>10</v>
      </c>
      <c r="AD15" s="32">
        <f t="shared" si="10"/>
        <v>12</v>
      </c>
      <c r="AE15" s="32">
        <f t="shared" si="10"/>
        <v>4</v>
      </c>
      <c r="AF15" s="32">
        <f t="shared" si="10"/>
        <v>114</v>
      </c>
      <c r="AG15" s="32">
        <f t="shared" si="10"/>
        <v>10</v>
      </c>
      <c r="AH15" s="32">
        <f t="shared" si="10"/>
        <v>8</v>
      </c>
      <c r="AI15" s="59">
        <f t="shared" si="4"/>
        <v>216</v>
      </c>
    </row>
    <row r="16" spans="1:38">
      <c r="A16" s="54">
        <f>$M$2</f>
        <v>1</v>
      </c>
      <c r="B16" s="31" t="s">
        <v>53</v>
      </c>
      <c r="C16" s="32">
        <f>C14*$C$2</f>
        <v>55036</v>
      </c>
      <c r="D16" s="32">
        <f t="shared" ref="D16:N16" si="11">D14*$C$2</f>
        <v>54594</v>
      </c>
      <c r="E16" s="32">
        <f t="shared" si="11"/>
        <v>40218</v>
      </c>
      <c r="F16" s="32">
        <f t="shared" si="11"/>
        <v>67230</v>
      </c>
      <c r="G16" s="32">
        <f t="shared" si="11"/>
        <v>44028.800000000003</v>
      </c>
      <c r="H16" s="32">
        <f t="shared" si="11"/>
        <v>54594</v>
      </c>
      <c r="I16" s="32">
        <f t="shared" si="11"/>
        <v>60327</v>
      </c>
      <c r="J16" s="32">
        <f t="shared" si="11"/>
        <v>67230</v>
      </c>
      <c r="K16" s="32">
        <f t="shared" si="11"/>
        <v>44028.800000000003</v>
      </c>
      <c r="L16" s="32">
        <f t="shared" si="11"/>
        <v>65512.799999999996</v>
      </c>
      <c r="M16" s="32">
        <f t="shared" si="11"/>
        <v>50272.5</v>
      </c>
      <c r="N16" s="32">
        <f t="shared" si="11"/>
        <v>44028.800000000003</v>
      </c>
      <c r="O16" s="59">
        <f t="shared" si="2"/>
        <v>647100.70000000007</v>
      </c>
      <c r="U16" s="54">
        <f>$AG$2</f>
        <v>1</v>
      </c>
      <c r="V16" s="31" t="s">
        <v>53</v>
      </c>
      <c r="W16" s="32">
        <f t="shared" si="10"/>
        <v>67230</v>
      </c>
      <c r="X16" s="32">
        <f t="shared" si="10"/>
        <v>44028.800000000003</v>
      </c>
      <c r="Y16" s="32">
        <f t="shared" si="10"/>
        <v>54594</v>
      </c>
      <c r="Z16" s="32">
        <f t="shared" si="10"/>
        <v>60327</v>
      </c>
      <c r="AA16" s="32">
        <f t="shared" si="10"/>
        <v>67230</v>
      </c>
      <c r="AB16" s="32">
        <f t="shared" si="10"/>
        <v>44028.800000000003</v>
      </c>
      <c r="AC16" s="32">
        <f t="shared" si="10"/>
        <v>65512.799999999996</v>
      </c>
      <c r="AD16" s="32">
        <f t="shared" si="10"/>
        <v>60327</v>
      </c>
      <c r="AE16" s="32">
        <f t="shared" si="10"/>
        <v>27230</v>
      </c>
      <c r="AF16" s="32">
        <f t="shared" si="10"/>
        <v>645647.4</v>
      </c>
      <c r="AG16" s="32">
        <f t="shared" si="10"/>
        <v>50272.5</v>
      </c>
      <c r="AH16" s="32">
        <f t="shared" si="10"/>
        <v>44028.800000000003</v>
      </c>
      <c r="AI16" s="59">
        <f t="shared" si="4"/>
        <v>1230457.1000000001</v>
      </c>
    </row>
    <row r="17" spans="1:37">
      <c r="B17" s="31" t="s">
        <v>54</v>
      </c>
      <c r="C17" s="32">
        <f>(C15*$G$1*$C$1)*$A15</f>
        <v>12512500</v>
      </c>
      <c r="D17" s="32">
        <f t="shared" ref="D17:N17" si="12">(D15*$G$1*$C$1)*$A15</f>
        <v>12512500</v>
      </c>
      <c r="E17" s="32">
        <f t="shared" si="12"/>
        <v>10010000</v>
      </c>
      <c r="F17" s="32">
        <f t="shared" si="12"/>
        <v>12512500</v>
      </c>
      <c r="G17" s="32">
        <f t="shared" si="12"/>
        <v>10010000</v>
      </c>
      <c r="H17" s="32">
        <f t="shared" si="12"/>
        <v>12512500</v>
      </c>
      <c r="I17" s="32">
        <f t="shared" si="12"/>
        <v>15015000</v>
      </c>
      <c r="J17" s="32">
        <f t="shared" si="12"/>
        <v>12512500</v>
      </c>
      <c r="K17" s="32">
        <f t="shared" si="12"/>
        <v>10010000</v>
      </c>
      <c r="L17" s="32">
        <f t="shared" si="12"/>
        <v>15015000</v>
      </c>
      <c r="M17" s="32">
        <f t="shared" si="12"/>
        <v>12512500</v>
      </c>
      <c r="N17" s="32">
        <f t="shared" si="12"/>
        <v>10010000</v>
      </c>
      <c r="O17" s="59">
        <f t="shared" si="2"/>
        <v>145145000</v>
      </c>
      <c r="Q17" s="54"/>
      <c r="V17" s="31" t="s">
        <v>54</v>
      </c>
      <c r="W17" s="32">
        <f>(W15*$G$1*$C$1)*$U15</f>
        <v>12512500</v>
      </c>
      <c r="X17" s="32">
        <f t="shared" ref="X17:AH17" si="13">(X15*$G$1*$C$1)*$U15</f>
        <v>10010000</v>
      </c>
      <c r="Y17" s="32">
        <f t="shared" si="13"/>
        <v>12512500</v>
      </c>
      <c r="Z17" s="32">
        <f t="shared" si="13"/>
        <v>15015000</v>
      </c>
      <c r="AA17" s="32">
        <f t="shared" si="13"/>
        <v>12512500</v>
      </c>
      <c r="AB17" s="32">
        <f t="shared" si="13"/>
        <v>10010000</v>
      </c>
      <c r="AC17" s="32">
        <f t="shared" si="13"/>
        <v>12512500</v>
      </c>
      <c r="AD17" s="32">
        <f t="shared" si="13"/>
        <v>15015000</v>
      </c>
      <c r="AE17" s="32">
        <f t="shared" si="13"/>
        <v>5005000</v>
      </c>
      <c r="AF17" s="32">
        <f t="shared" si="13"/>
        <v>142642500</v>
      </c>
      <c r="AG17" s="32">
        <f t="shared" si="13"/>
        <v>12512500</v>
      </c>
      <c r="AH17" s="32">
        <f t="shared" si="13"/>
        <v>10010000</v>
      </c>
      <c r="AI17" s="59">
        <f t="shared" si="4"/>
        <v>270270000</v>
      </c>
      <c r="AK17" s="54"/>
    </row>
    <row r="18" spans="1:37">
      <c r="B18" s="31" t="s">
        <v>55</v>
      </c>
      <c r="C18" s="32">
        <f>(C16*$G$2*$C$1)*$A16</f>
        <v>30820160</v>
      </c>
      <c r="D18" s="32">
        <f t="shared" ref="D18:N18" si="14">(D16*$G$2*$C$1)*$A16</f>
        <v>30572640</v>
      </c>
      <c r="E18" s="32">
        <f>(E16*$G$2*$C$1)*$A16</f>
        <v>22522080.000000004</v>
      </c>
      <c r="F18" s="32">
        <f t="shared" si="14"/>
        <v>37648800</v>
      </c>
      <c r="G18" s="32">
        <f t="shared" si="14"/>
        <v>24656128.000000004</v>
      </c>
      <c r="H18" s="32">
        <f t="shared" si="14"/>
        <v>30572640</v>
      </c>
      <c r="I18" s="32">
        <f t="shared" si="14"/>
        <v>33783120</v>
      </c>
      <c r="J18" s="32">
        <f t="shared" si="14"/>
        <v>37648800</v>
      </c>
      <c r="K18" s="32">
        <f t="shared" si="14"/>
        <v>24656128.000000004</v>
      </c>
      <c r="L18" s="32">
        <f t="shared" si="14"/>
        <v>36687168</v>
      </c>
      <c r="M18" s="32">
        <f t="shared" si="14"/>
        <v>28152600</v>
      </c>
      <c r="N18" s="32">
        <f t="shared" si="14"/>
        <v>24656128.000000004</v>
      </c>
      <c r="O18" s="59">
        <f t="shared" si="2"/>
        <v>362376392</v>
      </c>
      <c r="Q18" s="54"/>
      <c r="V18" s="31" t="s">
        <v>55</v>
      </c>
      <c r="W18" s="32">
        <f>(W16*$G$2*$C$1)*$U16</f>
        <v>37648800</v>
      </c>
      <c r="X18" s="32">
        <f t="shared" ref="X18:AH18" si="15">(X16*$G$2*$C$1)*$U16</f>
        <v>24656128.000000004</v>
      </c>
      <c r="Y18" s="32">
        <f t="shared" si="15"/>
        <v>30572640</v>
      </c>
      <c r="Z18" s="32">
        <f t="shared" si="15"/>
        <v>33783120</v>
      </c>
      <c r="AA18" s="32">
        <f t="shared" si="15"/>
        <v>37648800</v>
      </c>
      <c r="AB18" s="32">
        <f t="shared" si="15"/>
        <v>24656128.000000004</v>
      </c>
      <c r="AC18" s="32">
        <f t="shared" si="15"/>
        <v>36687168</v>
      </c>
      <c r="AD18" s="32">
        <f t="shared" si="15"/>
        <v>33783120</v>
      </c>
      <c r="AE18" s="32">
        <f t="shared" si="15"/>
        <v>15248800</v>
      </c>
      <c r="AF18" s="32">
        <f t="shared" si="15"/>
        <v>361562544.00000006</v>
      </c>
      <c r="AG18" s="32">
        <f t="shared" si="15"/>
        <v>28152600</v>
      </c>
      <c r="AH18" s="32">
        <f t="shared" si="15"/>
        <v>24656128.000000004</v>
      </c>
      <c r="AI18" s="59">
        <f t="shared" si="4"/>
        <v>689055976</v>
      </c>
      <c r="AK18" s="54"/>
    </row>
    <row r="19" spans="1:37">
      <c r="B19" t="s">
        <v>57</v>
      </c>
      <c r="C19" s="278">
        <f>'TAMBAT CWD'!C14</f>
        <v>5</v>
      </c>
      <c r="D19" s="278">
        <f>'TAMBAT CWD'!D14</f>
        <v>5</v>
      </c>
      <c r="E19" s="278">
        <f>'TAMBAT CWD'!E14</f>
        <v>2</v>
      </c>
      <c r="F19" s="278">
        <f>'TAMBAT CWD'!F14</f>
        <v>3</v>
      </c>
      <c r="G19" s="278">
        <f>'TAMBAT CWD'!G14</f>
        <v>4</v>
      </c>
      <c r="H19" s="278">
        <f>'TAMBAT CWD'!H14</f>
        <v>4</v>
      </c>
      <c r="I19" s="278">
        <f>'TAMBAT CWD'!I14</f>
        <v>3</v>
      </c>
      <c r="J19" s="278">
        <f>'TAMBAT CWD'!J14</f>
        <v>4</v>
      </c>
      <c r="K19" s="278">
        <f>'TAMBAT CWD'!K14</f>
        <v>3</v>
      </c>
      <c r="L19" s="278">
        <f>'TAMBAT CWD'!L14</f>
        <v>4</v>
      </c>
      <c r="M19" s="278">
        <f>'TAMBAT CWD'!M14</f>
        <v>3</v>
      </c>
      <c r="N19" s="278">
        <f>'TAMBAT CWD'!N14</f>
        <v>2</v>
      </c>
      <c r="O19" s="61">
        <f t="shared" si="2"/>
        <v>42</v>
      </c>
      <c r="R19" s="39">
        <f>TRAFIK!U6</f>
        <v>-1514127.5476190476</v>
      </c>
      <c r="V19" t="s">
        <v>57</v>
      </c>
      <c r="W19" s="96">
        <v>6</v>
      </c>
      <c r="X19" s="96">
        <v>5</v>
      </c>
      <c r="Y19" s="96">
        <v>2</v>
      </c>
      <c r="Z19" s="96">
        <v>4</v>
      </c>
      <c r="AA19" s="96">
        <v>1</v>
      </c>
      <c r="AB19" s="96">
        <v>3</v>
      </c>
      <c r="AC19" s="96">
        <v>4</v>
      </c>
      <c r="AD19" s="96">
        <v>6</v>
      </c>
      <c r="AE19" s="96">
        <v>5</v>
      </c>
      <c r="AF19" s="96">
        <v>6</v>
      </c>
      <c r="AG19" s="96">
        <v>4</v>
      </c>
      <c r="AH19" s="96">
        <v>5</v>
      </c>
      <c r="AI19" s="61">
        <f t="shared" si="4"/>
        <v>51</v>
      </c>
    </row>
    <row r="20" spans="1:37">
      <c r="C20" s="278">
        <f>'TAMBAT CWD'!C15</f>
        <v>132752</v>
      </c>
      <c r="D20" s="278">
        <f>'TAMBAT CWD'!D15</f>
        <v>173165</v>
      </c>
      <c r="E20" s="278">
        <f>'TAMBAT CWD'!E15</f>
        <v>67759</v>
      </c>
      <c r="F20" s="278">
        <f>'TAMBAT CWD'!F15</f>
        <v>97843</v>
      </c>
      <c r="G20" s="278">
        <f>'TAMBAT CWD'!G15</f>
        <v>106201.60000000001</v>
      </c>
      <c r="H20" s="278">
        <f>'TAMBAT CWD'!H15</f>
        <v>130457.33333333333</v>
      </c>
      <c r="I20" s="278">
        <f>'TAMBAT CWD'!I15</f>
        <v>97759</v>
      </c>
      <c r="J20" s="278">
        <f>'TAMBAT CWD'!J15</f>
        <v>130457.33333333333</v>
      </c>
      <c r="K20" s="278">
        <f>'TAMBAT CWD'!K15</f>
        <v>79651.200000000012</v>
      </c>
      <c r="L20" s="278">
        <f>'TAMBAT CWD'!L15</f>
        <v>130457.33333333333</v>
      </c>
      <c r="M20" s="278">
        <f>'TAMBAT CWD'!M15</f>
        <v>97843</v>
      </c>
      <c r="N20" s="278">
        <f>'TAMBAT CWD'!N15</f>
        <v>67759</v>
      </c>
      <c r="O20" s="61">
        <f t="shared" si="2"/>
        <v>1312104.8</v>
      </c>
      <c r="W20" s="96">
        <v>76002</v>
      </c>
      <c r="X20" s="96">
        <f t="shared" ref="X20:AH20" si="16">ROUNDUP(D20*$AC$4,)</f>
        <v>173165</v>
      </c>
      <c r="Y20" s="96">
        <f t="shared" si="16"/>
        <v>67759</v>
      </c>
      <c r="Z20" s="96">
        <f t="shared" si="16"/>
        <v>97843</v>
      </c>
      <c r="AA20" s="96">
        <f t="shared" si="16"/>
        <v>106202</v>
      </c>
      <c r="AB20" s="96">
        <f t="shared" si="16"/>
        <v>130458</v>
      </c>
      <c r="AC20" s="96">
        <f t="shared" si="16"/>
        <v>97759</v>
      </c>
      <c r="AD20" s="96">
        <f t="shared" si="16"/>
        <v>130458</v>
      </c>
      <c r="AE20" s="96">
        <f t="shared" si="16"/>
        <v>79652</v>
      </c>
      <c r="AF20" s="96">
        <f t="shared" si="16"/>
        <v>130458</v>
      </c>
      <c r="AG20" s="96">
        <f t="shared" si="16"/>
        <v>97843</v>
      </c>
      <c r="AH20" s="96">
        <f t="shared" si="16"/>
        <v>67759</v>
      </c>
      <c r="AI20" s="193">
        <f t="shared" si="4"/>
        <v>1255358</v>
      </c>
    </row>
    <row r="21" spans="1:37">
      <c r="A21" s="54">
        <f>$M$1</f>
        <v>1</v>
      </c>
      <c r="B21" s="31" t="s">
        <v>52</v>
      </c>
      <c r="C21" s="32">
        <f t="shared" ref="C21:N22" si="17">C19*$C$2</f>
        <v>10</v>
      </c>
      <c r="D21" s="32">
        <f t="shared" si="17"/>
        <v>10</v>
      </c>
      <c r="E21" s="32">
        <f t="shared" si="17"/>
        <v>4</v>
      </c>
      <c r="F21" s="32">
        <f t="shared" si="17"/>
        <v>6</v>
      </c>
      <c r="G21" s="32">
        <f t="shared" si="17"/>
        <v>8</v>
      </c>
      <c r="H21" s="32">
        <f t="shared" si="17"/>
        <v>8</v>
      </c>
      <c r="I21" s="32">
        <f t="shared" si="17"/>
        <v>6</v>
      </c>
      <c r="J21" s="32">
        <f t="shared" si="17"/>
        <v>8</v>
      </c>
      <c r="K21" s="32">
        <f t="shared" si="17"/>
        <v>6</v>
      </c>
      <c r="L21" s="32">
        <f t="shared" si="17"/>
        <v>8</v>
      </c>
      <c r="M21" s="32">
        <f t="shared" si="17"/>
        <v>6</v>
      </c>
      <c r="N21" s="32">
        <f t="shared" si="17"/>
        <v>4</v>
      </c>
      <c r="O21" s="60">
        <f>SUM(C21:N21)</f>
        <v>84</v>
      </c>
      <c r="U21" s="54">
        <f>$AG$1</f>
        <v>1</v>
      </c>
      <c r="V21" s="31" t="s">
        <v>52</v>
      </c>
      <c r="W21" s="32">
        <f t="shared" ref="W21:AH22" si="18">W19*$C$2</f>
        <v>12</v>
      </c>
      <c r="X21" s="32">
        <f t="shared" si="18"/>
        <v>10</v>
      </c>
      <c r="Y21" s="32">
        <f t="shared" si="18"/>
        <v>4</v>
      </c>
      <c r="Z21" s="32">
        <f t="shared" si="18"/>
        <v>8</v>
      </c>
      <c r="AA21" s="32">
        <f t="shared" si="18"/>
        <v>2</v>
      </c>
      <c r="AB21" s="32">
        <f t="shared" si="18"/>
        <v>6</v>
      </c>
      <c r="AC21" s="32">
        <f t="shared" si="18"/>
        <v>8</v>
      </c>
      <c r="AD21" s="32">
        <f t="shared" si="18"/>
        <v>12</v>
      </c>
      <c r="AE21" s="32">
        <f t="shared" si="18"/>
        <v>10</v>
      </c>
      <c r="AF21" s="32">
        <f t="shared" si="18"/>
        <v>12</v>
      </c>
      <c r="AG21" s="32">
        <f t="shared" si="18"/>
        <v>8</v>
      </c>
      <c r="AH21" s="32">
        <f t="shared" si="18"/>
        <v>10</v>
      </c>
      <c r="AI21" s="60">
        <f>SUM(W21:AH21)</f>
        <v>102</v>
      </c>
    </row>
    <row r="22" spans="1:37">
      <c r="A22" s="54">
        <f>$M$2</f>
        <v>1</v>
      </c>
      <c r="B22" s="31" t="s">
        <v>53</v>
      </c>
      <c r="C22" s="32">
        <f t="shared" si="17"/>
        <v>265504</v>
      </c>
      <c r="D22" s="32">
        <f t="shared" si="17"/>
        <v>346330</v>
      </c>
      <c r="E22" s="32">
        <f t="shared" si="17"/>
        <v>135518</v>
      </c>
      <c r="F22" s="32">
        <f t="shared" si="17"/>
        <v>195686</v>
      </c>
      <c r="G22" s="32">
        <f t="shared" si="17"/>
        <v>212403.20000000001</v>
      </c>
      <c r="H22" s="32">
        <f t="shared" si="17"/>
        <v>260914.66666666666</v>
      </c>
      <c r="I22" s="32">
        <f t="shared" si="17"/>
        <v>195518</v>
      </c>
      <c r="J22" s="32">
        <f t="shared" si="17"/>
        <v>260914.66666666666</v>
      </c>
      <c r="K22" s="32">
        <f t="shared" si="17"/>
        <v>159302.40000000002</v>
      </c>
      <c r="L22" s="32">
        <f t="shared" si="17"/>
        <v>260914.66666666666</v>
      </c>
      <c r="M22" s="32">
        <f t="shared" si="17"/>
        <v>195686</v>
      </c>
      <c r="N22" s="32">
        <f t="shared" si="17"/>
        <v>135518</v>
      </c>
      <c r="O22" s="60">
        <f>SUM(C22:N22)</f>
        <v>2624209.6</v>
      </c>
      <c r="U22" s="54">
        <f>$AG$2</f>
        <v>1</v>
      </c>
      <c r="V22" s="31" t="s">
        <v>53</v>
      </c>
      <c r="W22" s="32">
        <f t="shared" si="18"/>
        <v>152004</v>
      </c>
      <c r="X22" s="32">
        <f t="shared" si="18"/>
        <v>346330</v>
      </c>
      <c r="Y22" s="32">
        <f t="shared" si="18"/>
        <v>135518</v>
      </c>
      <c r="Z22" s="32">
        <f t="shared" si="18"/>
        <v>195686</v>
      </c>
      <c r="AA22" s="32">
        <f t="shared" si="18"/>
        <v>212404</v>
      </c>
      <c r="AB22" s="32">
        <f t="shared" si="18"/>
        <v>260916</v>
      </c>
      <c r="AC22" s="32">
        <f t="shared" si="18"/>
        <v>195518</v>
      </c>
      <c r="AD22" s="32">
        <f t="shared" si="18"/>
        <v>260916</v>
      </c>
      <c r="AE22" s="32">
        <f t="shared" si="18"/>
        <v>159304</v>
      </c>
      <c r="AF22" s="32">
        <f t="shared" si="18"/>
        <v>260916</v>
      </c>
      <c r="AG22" s="32">
        <f t="shared" si="18"/>
        <v>195686</v>
      </c>
      <c r="AH22" s="32">
        <f t="shared" si="18"/>
        <v>135518</v>
      </c>
      <c r="AI22" s="60">
        <f>SUM(W22:AH22)</f>
        <v>2510716</v>
      </c>
    </row>
    <row r="23" spans="1:37">
      <c r="B23" s="31" t="s">
        <v>54</v>
      </c>
      <c r="C23" s="32">
        <f>(C21*$G$1*$C$1)*$A21</f>
        <v>12512500</v>
      </c>
      <c r="D23" s="32">
        <f t="shared" ref="D23:N23" si="19">(D21*$G$1*$C$1)*$A21</f>
        <v>12512500</v>
      </c>
      <c r="E23" s="32">
        <f t="shared" si="19"/>
        <v>5005000</v>
      </c>
      <c r="F23" s="32">
        <f t="shared" si="19"/>
        <v>7507500</v>
      </c>
      <c r="G23" s="32">
        <f t="shared" si="19"/>
        <v>10010000</v>
      </c>
      <c r="H23" s="32">
        <f t="shared" si="19"/>
        <v>10010000</v>
      </c>
      <c r="I23" s="32">
        <f t="shared" si="19"/>
        <v>7507500</v>
      </c>
      <c r="J23" s="32">
        <f t="shared" si="19"/>
        <v>10010000</v>
      </c>
      <c r="K23" s="32">
        <f t="shared" si="19"/>
        <v>7507500</v>
      </c>
      <c r="L23" s="32">
        <f t="shared" si="19"/>
        <v>10010000</v>
      </c>
      <c r="M23" s="32">
        <f t="shared" si="19"/>
        <v>7507500</v>
      </c>
      <c r="N23" s="32">
        <f t="shared" si="19"/>
        <v>5005000</v>
      </c>
      <c r="O23" s="60">
        <f t="shared" ref="O23:O69" si="20">SUM(C23:N23)</f>
        <v>105105000</v>
      </c>
      <c r="Q23" s="54"/>
      <c r="V23" s="31" t="s">
        <v>54</v>
      </c>
      <c r="W23" s="32">
        <f>(W21*$G$1*$C$1)*$U21</f>
        <v>15015000</v>
      </c>
      <c r="X23" s="32">
        <f t="shared" ref="X23:AH23" si="21">(X21*$G$1*$C$1)*$U21</f>
        <v>12512500</v>
      </c>
      <c r="Y23" s="32">
        <f t="shared" si="21"/>
        <v>5005000</v>
      </c>
      <c r="Z23" s="32">
        <f t="shared" si="21"/>
        <v>10010000</v>
      </c>
      <c r="AA23" s="32">
        <f t="shared" si="21"/>
        <v>2502500</v>
      </c>
      <c r="AB23" s="32">
        <f t="shared" si="21"/>
        <v>7507500</v>
      </c>
      <c r="AC23" s="32">
        <f t="shared" si="21"/>
        <v>10010000</v>
      </c>
      <c r="AD23" s="32">
        <f t="shared" si="21"/>
        <v>15015000</v>
      </c>
      <c r="AE23" s="32">
        <f t="shared" si="21"/>
        <v>12512500</v>
      </c>
      <c r="AF23" s="32">
        <f t="shared" si="21"/>
        <v>15015000</v>
      </c>
      <c r="AG23" s="32">
        <f t="shared" si="21"/>
        <v>10010000</v>
      </c>
      <c r="AH23" s="32">
        <f t="shared" si="21"/>
        <v>12512500</v>
      </c>
      <c r="AI23" s="60">
        <f t="shared" ref="AI23:AI25" si="22">SUM(W23:AH23)</f>
        <v>127627500</v>
      </c>
      <c r="AK23" s="54"/>
    </row>
    <row r="24" spans="1:37">
      <c r="B24" s="31" t="s">
        <v>55</v>
      </c>
      <c r="C24" s="32">
        <f>(C22*$G$2*$C$1)*$A22</f>
        <v>148682240</v>
      </c>
      <c r="D24" s="32">
        <f t="shared" ref="D24:H24" si="23">(D22*$G$2*$C$1)*$A22</f>
        <v>193944800</v>
      </c>
      <c r="E24" s="32">
        <f t="shared" si="23"/>
        <v>75890080</v>
      </c>
      <c r="F24" s="32">
        <f t="shared" si="23"/>
        <v>109584160</v>
      </c>
      <c r="G24" s="32">
        <f t="shared" si="23"/>
        <v>118945792.00000001</v>
      </c>
      <c r="H24" s="32">
        <f t="shared" si="23"/>
        <v>146112213.33333334</v>
      </c>
      <c r="I24" s="32">
        <f>(I22*$G$2*$C$1)*$A22</f>
        <v>109490080</v>
      </c>
      <c r="J24" s="32">
        <f t="shared" ref="J24:N24" si="24">(J22*$G$2*$C$1)*$A22</f>
        <v>146112213.33333334</v>
      </c>
      <c r="K24" s="32">
        <f t="shared" si="24"/>
        <v>89209344.000000015</v>
      </c>
      <c r="L24" s="32">
        <f t="shared" si="24"/>
        <v>146112213.33333334</v>
      </c>
      <c r="M24" s="32">
        <f t="shared" si="24"/>
        <v>109584160</v>
      </c>
      <c r="N24" s="32">
        <f t="shared" si="24"/>
        <v>75890080</v>
      </c>
      <c r="O24" s="63">
        <f t="shared" si="20"/>
        <v>1469557376</v>
      </c>
      <c r="Q24" s="54"/>
      <c r="V24" s="31" t="s">
        <v>55</v>
      </c>
      <c r="W24" s="32">
        <f>(W22*$G$2*$C$1)*$U22</f>
        <v>85122240</v>
      </c>
      <c r="X24" s="32">
        <f t="shared" ref="X24:AH24" si="25">(X22*$G$2*$C$1)*$U22</f>
        <v>193944800</v>
      </c>
      <c r="Y24" s="32">
        <f t="shared" si="25"/>
        <v>75890080</v>
      </c>
      <c r="Z24" s="32">
        <f t="shared" si="25"/>
        <v>109584160</v>
      </c>
      <c r="AA24" s="32">
        <f t="shared" si="25"/>
        <v>118946240</v>
      </c>
      <c r="AB24" s="32">
        <f t="shared" si="25"/>
        <v>146112960</v>
      </c>
      <c r="AC24" s="32">
        <f t="shared" si="25"/>
        <v>109490080</v>
      </c>
      <c r="AD24" s="32">
        <f t="shared" si="25"/>
        <v>146112960</v>
      </c>
      <c r="AE24" s="32">
        <f t="shared" si="25"/>
        <v>89210240</v>
      </c>
      <c r="AF24" s="32">
        <f t="shared" si="25"/>
        <v>146112960</v>
      </c>
      <c r="AG24" s="32">
        <f t="shared" si="25"/>
        <v>109584160</v>
      </c>
      <c r="AH24" s="32">
        <f t="shared" si="25"/>
        <v>75890080</v>
      </c>
      <c r="AI24" s="63">
        <f t="shared" si="22"/>
        <v>1406000960</v>
      </c>
      <c r="AK24" s="54"/>
    </row>
    <row r="25" spans="1:37">
      <c r="B25" t="s">
        <v>208</v>
      </c>
      <c r="C25" s="99">
        <f>'TAMBAT CWD'!C22</f>
        <v>1</v>
      </c>
      <c r="D25" s="99">
        <f>'TAMBAT CWD'!D22</f>
        <v>0</v>
      </c>
      <c r="E25" s="99">
        <f>'TAMBAT CWD'!E22</f>
        <v>0</v>
      </c>
      <c r="F25" s="99">
        <f>'TAMBAT CWD'!F22</f>
        <v>0</v>
      </c>
      <c r="G25" s="99">
        <f>'TAMBAT CWD'!G22</f>
        <v>1</v>
      </c>
      <c r="H25" s="99">
        <f>'TAMBAT CWD'!H22</f>
        <v>0</v>
      </c>
      <c r="I25" s="99">
        <f>'TAMBAT CWD'!I22</f>
        <v>0</v>
      </c>
      <c r="J25" s="99">
        <f>'TAMBAT CWD'!J22</f>
        <v>0</v>
      </c>
      <c r="K25" s="99">
        <f>'TAMBAT CWD'!K22</f>
        <v>1</v>
      </c>
      <c r="L25" s="99">
        <f>'TAMBAT CWD'!L22</f>
        <v>0</v>
      </c>
      <c r="M25" s="99">
        <f>'TAMBAT CWD'!M22</f>
        <v>0</v>
      </c>
      <c r="N25" s="99">
        <f>'TAMBAT CWD'!N22</f>
        <v>0</v>
      </c>
      <c r="O25" s="61">
        <f t="shared" ref="O25:O26" si="26">SUM(C25:N25)</f>
        <v>3</v>
      </c>
      <c r="Q25" s="54"/>
      <c r="V25" t="s">
        <v>61</v>
      </c>
      <c r="W25" s="96">
        <f>IF(ROUND((C25*$AC$3),)=1,1,IF($AC$3&gt;1,ROUNDUP((C25*$AC$3),),ROUNDDOWN((C25*$AC$3),)))</f>
        <v>1</v>
      </c>
      <c r="X25" s="96">
        <f t="shared" ref="X25:AH25" si="27">IF(ROUND((D25*$AC$3),)=1,1,IF($AC$3&gt;1,ROUNDUP((D25*$AC$3),),ROUNDDOWN((D25*$AC$3),)))</f>
        <v>0</v>
      </c>
      <c r="Y25" s="96">
        <f t="shared" si="27"/>
        <v>0</v>
      </c>
      <c r="Z25" s="96">
        <f t="shared" si="27"/>
        <v>0</v>
      </c>
      <c r="AA25" s="96">
        <f t="shared" si="27"/>
        <v>1</v>
      </c>
      <c r="AB25" s="96">
        <f t="shared" si="27"/>
        <v>0</v>
      </c>
      <c r="AC25" s="96">
        <f t="shared" si="27"/>
        <v>0</v>
      </c>
      <c r="AD25" s="96">
        <f t="shared" si="27"/>
        <v>0</v>
      </c>
      <c r="AE25" s="96">
        <f t="shared" si="27"/>
        <v>1</v>
      </c>
      <c r="AF25" s="96">
        <f t="shared" si="27"/>
        <v>0</v>
      </c>
      <c r="AG25" s="96">
        <f t="shared" si="27"/>
        <v>0</v>
      </c>
      <c r="AH25" s="96">
        <f t="shared" si="27"/>
        <v>0</v>
      </c>
      <c r="AI25" s="61">
        <f t="shared" si="22"/>
        <v>3</v>
      </c>
      <c r="AK25" s="54"/>
    </row>
    <row r="26" spans="1:37">
      <c r="C26" s="99">
        <f>'TAMBAT CWD'!C23</f>
        <v>4153</v>
      </c>
      <c r="D26" s="99">
        <f>'TAMBAT CWD'!D23</f>
        <v>0</v>
      </c>
      <c r="E26" s="99">
        <f>'TAMBAT CWD'!E23</f>
        <v>0</v>
      </c>
      <c r="F26" s="99">
        <f>'TAMBAT CWD'!F23</f>
        <v>0</v>
      </c>
      <c r="G26" s="99">
        <f>'TAMBAT CWD'!G23</f>
        <v>4153</v>
      </c>
      <c r="H26" s="99">
        <f>'TAMBAT CWD'!H23</f>
        <v>0</v>
      </c>
      <c r="I26" s="99">
        <f>'TAMBAT CWD'!I23</f>
        <v>0</v>
      </c>
      <c r="J26" s="99">
        <f>'TAMBAT CWD'!J23</f>
        <v>0</v>
      </c>
      <c r="K26" s="99">
        <f>'TAMBAT CWD'!K23</f>
        <v>4153</v>
      </c>
      <c r="L26" s="99">
        <f>'TAMBAT CWD'!L23</f>
        <v>0</v>
      </c>
      <c r="M26" s="99">
        <f>'TAMBAT CWD'!M23</f>
        <v>0</v>
      </c>
      <c r="N26" s="99">
        <f>'TAMBAT CWD'!N23</f>
        <v>0</v>
      </c>
      <c r="O26" s="61">
        <f t="shared" si="26"/>
        <v>12459</v>
      </c>
      <c r="Q26" s="54"/>
      <c r="W26" s="96">
        <f>ROUNDUP(C26*$AC$4,)</f>
        <v>4153</v>
      </c>
      <c r="X26" s="96">
        <f t="shared" ref="X26:AH26" si="28">ROUNDUP(D26*$AC$4,)</f>
        <v>0</v>
      </c>
      <c r="Y26" s="96">
        <f t="shared" si="28"/>
        <v>0</v>
      </c>
      <c r="Z26" s="96">
        <f t="shared" si="28"/>
        <v>0</v>
      </c>
      <c r="AA26" s="96">
        <f t="shared" si="28"/>
        <v>4153</v>
      </c>
      <c r="AB26" s="96">
        <f t="shared" si="28"/>
        <v>0</v>
      </c>
      <c r="AC26" s="96">
        <f t="shared" si="28"/>
        <v>0</v>
      </c>
      <c r="AD26" s="96">
        <f t="shared" si="28"/>
        <v>0</v>
      </c>
      <c r="AE26" s="96">
        <f t="shared" si="28"/>
        <v>4153</v>
      </c>
      <c r="AF26" s="96">
        <f t="shared" si="28"/>
        <v>0</v>
      </c>
      <c r="AG26" s="96">
        <f t="shared" si="28"/>
        <v>0</v>
      </c>
      <c r="AH26" s="96">
        <f t="shared" si="28"/>
        <v>0</v>
      </c>
      <c r="AI26" s="193"/>
      <c r="AK26" s="54"/>
    </row>
    <row r="27" spans="1:37">
      <c r="A27" s="54">
        <f>$M$1</f>
        <v>1</v>
      </c>
      <c r="B27" s="31" t="s">
        <v>52</v>
      </c>
      <c r="C27" s="32">
        <f t="shared" ref="C27:N28" si="29">C25*$C$2</f>
        <v>2</v>
      </c>
      <c r="D27" s="32">
        <f t="shared" si="29"/>
        <v>0</v>
      </c>
      <c r="E27" s="32">
        <f t="shared" si="29"/>
        <v>0</v>
      </c>
      <c r="F27" s="32">
        <f t="shared" si="29"/>
        <v>0</v>
      </c>
      <c r="G27" s="32">
        <f t="shared" si="29"/>
        <v>2</v>
      </c>
      <c r="H27" s="32">
        <f t="shared" si="29"/>
        <v>0</v>
      </c>
      <c r="I27" s="32">
        <f t="shared" si="29"/>
        <v>0</v>
      </c>
      <c r="J27" s="32">
        <f t="shared" si="29"/>
        <v>0</v>
      </c>
      <c r="K27" s="32">
        <f t="shared" si="29"/>
        <v>2</v>
      </c>
      <c r="L27" s="32">
        <f t="shared" si="29"/>
        <v>0</v>
      </c>
      <c r="M27" s="32">
        <f t="shared" si="29"/>
        <v>0</v>
      </c>
      <c r="N27" s="32">
        <f t="shared" si="29"/>
        <v>0</v>
      </c>
      <c r="O27" s="60">
        <f>SUM(C27:N27)</f>
        <v>6</v>
      </c>
      <c r="Q27" s="54"/>
      <c r="U27" s="54">
        <f>$AG$1</f>
        <v>1</v>
      </c>
      <c r="V27" s="31" t="s">
        <v>52</v>
      </c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71"/>
      <c r="AK27" s="54"/>
    </row>
    <row r="28" spans="1:37">
      <c r="A28" s="54">
        <f>$M$2</f>
        <v>1</v>
      </c>
      <c r="B28" s="31" t="s">
        <v>53</v>
      </c>
      <c r="C28" s="32">
        <f t="shared" si="29"/>
        <v>8306</v>
      </c>
      <c r="D28" s="32">
        <f t="shared" si="29"/>
        <v>0</v>
      </c>
      <c r="E28" s="32">
        <f t="shared" si="29"/>
        <v>0</v>
      </c>
      <c r="F28" s="32">
        <f t="shared" si="29"/>
        <v>0</v>
      </c>
      <c r="G28" s="32">
        <f t="shared" si="29"/>
        <v>8306</v>
      </c>
      <c r="H28" s="32">
        <f t="shared" si="29"/>
        <v>0</v>
      </c>
      <c r="I28" s="32">
        <f t="shared" si="29"/>
        <v>0</v>
      </c>
      <c r="J28" s="32">
        <f t="shared" si="29"/>
        <v>0</v>
      </c>
      <c r="K28" s="32">
        <f t="shared" si="29"/>
        <v>8306</v>
      </c>
      <c r="L28" s="32">
        <f t="shared" si="29"/>
        <v>0</v>
      </c>
      <c r="M28" s="32">
        <f t="shared" si="29"/>
        <v>0</v>
      </c>
      <c r="N28" s="32">
        <f t="shared" si="29"/>
        <v>0</v>
      </c>
      <c r="O28" s="60">
        <f>SUM(C28:N28)</f>
        <v>24918</v>
      </c>
      <c r="Q28" s="54"/>
      <c r="U28" s="54">
        <f>$AG$2</f>
        <v>1</v>
      </c>
      <c r="V28" s="31" t="s">
        <v>53</v>
      </c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71"/>
      <c r="AK28" s="54"/>
    </row>
    <row r="29" spans="1:37">
      <c r="B29" s="31" t="s">
        <v>54</v>
      </c>
      <c r="C29" s="32">
        <f>C27*$G$1*$C$1</f>
        <v>2502500</v>
      </c>
      <c r="D29" s="32">
        <f t="shared" ref="D29:N29" si="30">D27*$G$1*$C$1</f>
        <v>0</v>
      </c>
      <c r="E29" s="32">
        <f t="shared" si="30"/>
        <v>0</v>
      </c>
      <c r="F29" s="32">
        <f t="shared" si="30"/>
        <v>0</v>
      </c>
      <c r="G29" s="32">
        <f t="shared" si="30"/>
        <v>2502500</v>
      </c>
      <c r="H29" s="32">
        <f t="shared" si="30"/>
        <v>0</v>
      </c>
      <c r="I29" s="32">
        <f t="shared" si="30"/>
        <v>0</v>
      </c>
      <c r="J29" s="32">
        <f t="shared" si="30"/>
        <v>0</v>
      </c>
      <c r="K29" s="32">
        <f t="shared" si="30"/>
        <v>2502500</v>
      </c>
      <c r="L29" s="32">
        <f t="shared" si="30"/>
        <v>0</v>
      </c>
      <c r="M29" s="32">
        <f t="shared" si="30"/>
        <v>0</v>
      </c>
      <c r="N29" s="32">
        <f t="shared" si="30"/>
        <v>0</v>
      </c>
      <c r="O29" s="60">
        <f t="shared" ref="O29:O30" si="31">SUM(C29:N29)</f>
        <v>7507500</v>
      </c>
      <c r="Q29" s="54"/>
      <c r="V29" s="31" t="s">
        <v>54</v>
      </c>
      <c r="W29" s="32">
        <f>(W27*$G$1*$C$1)*$U27</f>
        <v>0</v>
      </c>
      <c r="X29" s="32">
        <f t="shared" ref="X29:AH29" si="32">(X27*$G$1*$C$1)*$U27</f>
        <v>0</v>
      </c>
      <c r="Y29" s="32">
        <f t="shared" si="32"/>
        <v>0</v>
      </c>
      <c r="Z29" s="32">
        <f t="shared" si="32"/>
        <v>0</v>
      </c>
      <c r="AA29" s="32">
        <f t="shared" si="32"/>
        <v>0</v>
      </c>
      <c r="AB29" s="32">
        <f t="shared" si="32"/>
        <v>0</v>
      </c>
      <c r="AC29" s="32">
        <f t="shared" si="32"/>
        <v>0</v>
      </c>
      <c r="AD29" s="32">
        <f t="shared" si="32"/>
        <v>0</v>
      </c>
      <c r="AE29" s="32">
        <f t="shared" si="32"/>
        <v>0</v>
      </c>
      <c r="AF29" s="32">
        <f t="shared" si="32"/>
        <v>0</v>
      </c>
      <c r="AG29" s="32">
        <f t="shared" si="32"/>
        <v>0</v>
      </c>
      <c r="AH29" s="32">
        <f t="shared" si="32"/>
        <v>0</v>
      </c>
      <c r="AI29" s="71"/>
      <c r="AK29" s="54"/>
    </row>
    <row r="30" spans="1:37">
      <c r="B30" s="31" t="s">
        <v>55</v>
      </c>
      <c r="C30" s="32">
        <f>C28*$G$2*$C$1</f>
        <v>4651360.0000000009</v>
      </c>
      <c r="D30" s="32">
        <f t="shared" ref="D30:N30" si="33">D28*$G$2*$C$1</f>
        <v>0</v>
      </c>
      <c r="E30" s="32">
        <f t="shared" si="33"/>
        <v>0</v>
      </c>
      <c r="F30" s="32">
        <f t="shared" si="33"/>
        <v>0</v>
      </c>
      <c r="G30" s="32">
        <f t="shared" si="33"/>
        <v>4651360.0000000009</v>
      </c>
      <c r="H30" s="32">
        <f t="shared" si="33"/>
        <v>0</v>
      </c>
      <c r="I30" s="32">
        <f t="shared" si="33"/>
        <v>0</v>
      </c>
      <c r="J30" s="32">
        <f t="shared" si="33"/>
        <v>0</v>
      </c>
      <c r="K30" s="32">
        <f t="shared" si="33"/>
        <v>4651360.0000000009</v>
      </c>
      <c r="L30" s="32">
        <f t="shared" si="33"/>
        <v>0</v>
      </c>
      <c r="M30" s="32">
        <f t="shared" si="33"/>
        <v>0</v>
      </c>
      <c r="N30" s="32">
        <f t="shared" si="33"/>
        <v>0</v>
      </c>
      <c r="O30" s="63">
        <f t="shared" si="31"/>
        <v>13954080.000000004</v>
      </c>
      <c r="Q30" s="54"/>
      <c r="V30" s="31" t="s">
        <v>55</v>
      </c>
      <c r="W30" s="32">
        <f>(W28*$G$2*$C$1)*$U28</f>
        <v>0</v>
      </c>
      <c r="X30" s="32">
        <f t="shared" ref="X30:AH30" si="34">(X28*$G$2*$C$1)*$U28</f>
        <v>0</v>
      </c>
      <c r="Y30" s="32">
        <f t="shared" si="34"/>
        <v>0</v>
      </c>
      <c r="Z30" s="32">
        <f t="shared" si="34"/>
        <v>0</v>
      </c>
      <c r="AA30" s="32">
        <f t="shared" si="34"/>
        <v>0</v>
      </c>
      <c r="AB30" s="32">
        <f t="shared" si="34"/>
        <v>0</v>
      </c>
      <c r="AC30" s="32">
        <f t="shared" si="34"/>
        <v>0</v>
      </c>
      <c r="AD30" s="32">
        <f t="shared" si="34"/>
        <v>0</v>
      </c>
      <c r="AE30" s="32">
        <f t="shared" si="34"/>
        <v>0</v>
      </c>
      <c r="AF30" s="32">
        <f t="shared" si="34"/>
        <v>0</v>
      </c>
      <c r="AG30" s="32">
        <f t="shared" si="34"/>
        <v>0</v>
      </c>
      <c r="AH30" s="32">
        <f t="shared" si="34"/>
        <v>0</v>
      </c>
      <c r="AI30" s="71"/>
      <c r="AK30" s="54"/>
    </row>
    <row r="31" spans="1:37">
      <c r="A31" s="33"/>
      <c r="B31" s="34"/>
      <c r="C31" s="34">
        <f>C14/C13</f>
        <v>5503.6</v>
      </c>
      <c r="D31" s="34">
        <f t="shared" ref="D31:H31" si="35">D14/D13</f>
        <v>5459.4</v>
      </c>
      <c r="E31" s="34">
        <f t="shared" si="35"/>
        <v>5027.25</v>
      </c>
      <c r="F31" s="34">
        <f t="shared" si="35"/>
        <v>6723</v>
      </c>
      <c r="G31" s="34">
        <f t="shared" si="35"/>
        <v>5503.6</v>
      </c>
      <c r="H31" s="34">
        <f t="shared" si="35"/>
        <v>5459.4</v>
      </c>
      <c r="I31" s="34">
        <f>I13*8645</f>
        <v>51870</v>
      </c>
      <c r="J31" s="34">
        <f t="shared" ref="J31:N31" si="36">J13*8645</f>
        <v>43225</v>
      </c>
      <c r="K31" s="34">
        <f t="shared" si="36"/>
        <v>34580</v>
      </c>
      <c r="L31" s="34">
        <f t="shared" si="36"/>
        <v>51870</v>
      </c>
      <c r="M31" s="34">
        <f t="shared" si="36"/>
        <v>43225</v>
      </c>
      <c r="N31" s="34">
        <f t="shared" si="36"/>
        <v>34580</v>
      </c>
      <c r="O31" s="83">
        <f>O11+O17+O23+O29</f>
        <v>397897500</v>
      </c>
      <c r="P31" s="85"/>
      <c r="Q31" s="54"/>
      <c r="U31" s="33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83">
        <f>AI11+AI17+AI23</f>
        <v>568067500</v>
      </c>
      <c r="AJ31" s="85"/>
      <c r="AK31" s="54"/>
    </row>
    <row r="32" spans="1:37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83">
        <f>O12+O18+O24+O30</f>
        <v>3083601394.666667</v>
      </c>
      <c r="P32" s="86"/>
      <c r="Q32" s="54"/>
      <c r="U32" s="33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83">
        <f>AI12+AI18+AI24</f>
        <v>3388151816</v>
      </c>
      <c r="AJ32" s="86"/>
      <c r="AK32" s="54"/>
    </row>
    <row r="33" spans="1:38">
      <c r="B33" s="28" t="s">
        <v>58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44</v>
      </c>
      <c r="J33" t="s">
        <v>45</v>
      </c>
      <c r="K33" t="s">
        <v>46</v>
      </c>
      <c r="L33" t="s">
        <v>47</v>
      </c>
      <c r="M33" t="s">
        <v>48</v>
      </c>
      <c r="N33" t="s">
        <v>49</v>
      </c>
      <c r="O33" s="65"/>
      <c r="V33" s="28" t="s">
        <v>58</v>
      </c>
      <c r="W33" t="s">
        <v>38</v>
      </c>
      <c r="X33" t="s">
        <v>39</v>
      </c>
      <c r="Y33" t="s">
        <v>40</v>
      </c>
      <c r="Z33" t="s">
        <v>41</v>
      </c>
      <c r="AA33" t="s">
        <v>42</v>
      </c>
      <c r="AB33" t="s">
        <v>43</v>
      </c>
      <c r="AC33" t="s">
        <v>44</v>
      </c>
      <c r="AD33" t="s">
        <v>45</v>
      </c>
      <c r="AE33" t="s">
        <v>46</v>
      </c>
      <c r="AF33" t="s">
        <v>47</v>
      </c>
      <c r="AG33" t="s">
        <v>48</v>
      </c>
      <c r="AH33" t="s">
        <v>49</v>
      </c>
      <c r="AI33" s="65"/>
    </row>
    <row r="34" spans="1:38">
      <c r="B34" t="s">
        <v>51</v>
      </c>
      <c r="C34" s="100">
        <f>'TAMBAT CWD'!C32</f>
        <v>1</v>
      </c>
      <c r="D34" s="100">
        <f>'TAMBAT CWD'!D32</f>
        <v>4</v>
      </c>
      <c r="E34" s="100">
        <f>'TAMBAT CWD'!E32</f>
        <v>1</v>
      </c>
      <c r="F34" s="100">
        <f>'TAMBAT CWD'!F32</f>
        <v>3</v>
      </c>
      <c r="G34" s="100">
        <f>'TAMBAT CWD'!G32</f>
        <v>2</v>
      </c>
      <c r="H34" s="100">
        <f>'TAMBAT CWD'!H32</f>
        <v>4</v>
      </c>
      <c r="I34" s="100">
        <f>'TAMBAT CWD'!I32</f>
        <v>1</v>
      </c>
      <c r="J34" s="100">
        <f>'TAMBAT CWD'!J32</f>
        <v>3</v>
      </c>
      <c r="K34" s="100">
        <f>'TAMBAT CWD'!K32</f>
        <v>2</v>
      </c>
      <c r="L34" s="100">
        <f>'TAMBAT CWD'!L32</f>
        <v>4</v>
      </c>
      <c r="M34" s="100">
        <f>'TAMBAT CWD'!M32</f>
        <v>3</v>
      </c>
      <c r="N34" s="100">
        <f>'TAMBAT CWD'!N32</f>
        <v>2</v>
      </c>
      <c r="O34" s="64">
        <f t="shared" si="20"/>
        <v>30</v>
      </c>
      <c r="V34" t="s">
        <v>51</v>
      </c>
      <c r="W34" s="96">
        <f>IF(ROUND((C34*$AC$3),)=1,1,IF($AC$3&gt;1,ROUNDUP((C34*$AC$3),),ROUNDDOWN((C34*$AC$3),)))</f>
        <v>1</v>
      </c>
      <c r="X34" s="96">
        <f t="shared" ref="X34:Z34" si="37">IF(ROUND((D34*$AC$3),)=1,1,IF($AC$3&gt;1,ROUNDUP((D34*$AC$3),),ROUNDDOWN((D34*$AC$3),)))</f>
        <v>4</v>
      </c>
      <c r="Y34" s="96">
        <f t="shared" si="37"/>
        <v>1</v>
      </c>
      <c r="Z34" s="96">
        <f t="shared" si="37"/>
        <v>3</v>
      </c>
      <c r="AA34" s="96">
        <v>4</v>
      </c>
      <c r="AB34" s="96">
        <f t="shared" ref="AB34" si="38">IF(ROUND((H34*$AC$3),)=1,1,IF($AC$3&gt;1,ROUNDUP((H34*$AC$3),),ROUNDDOWN((H34*$AC$3),)))</f>
        <v>4</v>
      </c>
      <c r="AC34" s="96">
        <v>4</v>
      </c>
      <c r="AD34" s="96">
        <v>4</v>
      </c>
      <c r="AE34" s="96">
        <f t="shared" ref="AE34" si="39">IF(ROUND((K34*$AC$3),)=1,1,IF($AC$3&gt;1,ROUNDUP((K34*$AC$3),),ROUNDDOWN((K34*$AC$3),)))</f>
        <v>2</v>
      </c>
      <c r="AF34" s="96">
        <v>4</v>
      </c>
      <c r="AG34" s="96">
        <v>4</v>
      </c>
      <c r="AH34" s="96">
        <f t="shared" ref="AH34" si="40">IF(ROUND((N34*$AC$3),)=1,1,IF($AC$3&gt;1,ROUNDUP((N34*$AC$3),),ROUNDDOWN((N34*$AC$3),)))</f>
        <v>2</v>
      </c>
      <c r="AI34" s="61">
        <f t="shared" ref="AI34" si="41">SUM(W34:AH34)</f>
        <v>37</v>
      </c>
    </row>
    <row r="35" spans="1:38">
      <c r="C35" s="100">
        <f>'TAMBAT CWD'!C33</f>
        <v>1022</v>
      </c>
      <c r="D35" s="100">
        <f>'TAMBAT CWD'!D33</f>
        <v>5220</v>
      </c>
      <c r="E35" s="100">
        <f>'TAMBAT CWD'!E33</f>
        <v>707</v>
      </c>
      <c r="F35" s="100">
        <f>'TAMBAT CWD'!F33</f>
        <v>7584</v>
      </c>
      <c r="G35" s="100">
        <f>'TAMBAT CWD'!G33</f>
        <v>2044</v>
      </c>
      <c r="H35" s="100">
        <f>'TAMBAT CWD'!H33</f>
        <v>5220</v>
      </c>
      <c r="I35" s="100">
        <f>'TAMBAT CWD'!I33</f>
        <v>707</v>
      </c>
      <c r="J35" s="100">
        <f>'TAMBAT CWD'!J33</f>
        <v>7584</v>
      </c>
      <c r="K35" s="100">
        <f>'TAMBAT CWD'!K33</f>
        <v>2044</v>
      </c>
      <c r="L35" s="100">
        <f>'TAMBAT CWD'!L33</f>
        <v>5220</v>
      </c>
      <c r="M35" s="100">
        <f>'TAMBAT CWD'!M33</f>
        <v>2121</v>
      </c>
      <c r="N35" s="100">
        <f>'TAMBAT CWD'!N33</f>
        <v>5056</v>
      </c>
      <c r="O35" s="62">
        <f t="shared" si="20"/>
        <v>44529</v>
      </c>
      <c r="W35" s="96">
        <f>ROUNDUP(C35*$AC$4,)</f>
        <v>1022</v>
      </c>
      <c r="X35" s="96">
        <f t="shared" ref="X35:Z35" si="42">ROUNDUP(D35*$AC$4,)</f>
        <v>5220</v>
      </c>
      <c r="Y35" s="96">
        <f t="shared" si="42"/>
        <v>707</v>
      </c>
      <c r="Z35" s="96">
        <f t="shared" si="42"/>
        <v>7584</v>
      </c>
      <c r="AA35" s="96">
        <v>20988</v>
      </c>
      <c r="AB35" s="96">
        <f t="shared" ref="AB35:AH35" si="43">ROUNDUP(H35*$AC$4,)</f>
        <v>5220</v>
      </c>
      <c r="AC35" s="96">
        <f t="shared" si="43"/>
        <v>707</v>
      </c>
      <c r="AD35" s="96">
        <f t="shared" si="43"/>
        <v>7584</v>
      </c>
      <c r="AE35" s="96">
        <f t="shared" si="43"/>
        <v>2044</v>
      </c>
      <c r="AF35" s="96">
        <f t="shared" si="43"/>
        <v>5220</v>
      </c>
      <c r="AG35" s="96">
        <f t="shared" si="43"/>
        <v>2121</v>
      </c>
      <c r="AH35" s="96">
        <f t="shared" si="43"/>
        <v>5056</v>
      </c>
      <c r="AI35" s="62">
        <f t="shared" ref="AI35:AI69" si="44">SUM(W35:AH35)</f>
        <v>63473</v>
      </c>
    </row>
    <row r="36" spans="1:38">
      <c r="A36" s="54">
        <f>$M$1</f>
        <v>1</v>
      </c>
      <c r="B36" s="31" t="s">
        <v>52</v>
      </c>
      <c r="C36" s="32">
        <f t="shared" ref="C36:N37" si="45">C34*$C$2</f>
        <v>2</v>
      </c>
      <c r="D36" s="32">
        <f t="shared" si="45"/>
        <v>8</v>
      </c>
      <c r="E36" s="32">
        <f t="shared" si="45"/>
        <v>2</v>
      </c>
      <c r="F36" s="32">
        <f t="shared" si="45"/>
        <v>6</v>
      </c>
      <c r="G36" s="32">
        <f t="shared" si="45"/>
        <v>4</v>
      </c>
      <c r="H36" s="32">
        <f t="shared" si="45"/>
        <v>8</v>
      </c>
      <c r="I36" s="32">
        <f t="shared" si="45"/>
        <v>2</v>
      </c>
      <c r="J36" s="32">
        <f t="shared" si="45"/>
        <v>6</v>
      </c>
      <c r="K36" s="32">
        <f t="shared" si="45"/>
        <v>4</v>
      </c>
      <c r="L36" s="32">
        <f t="shared" si="45"/>
        <v>8</v>
      </c>
      <c r="M36" s="32">
        <f t="shared" si="45"/>
        <v>6</v>
      </c>
      <c r="N36" s="32">
        <f t="shared" si="45"/>
        <v>4</v>
      </c>
      <c r="O36" s="60">
        <f t="shared" si="20"/>
        <v>60</v>
      </c>
      <c r="Q36">
        <f>H35/H34</f>
        <v>1305</v>
      </c>
      <c r="U36" s="54">
        <f>$AG$1</f>
        <v>1</v>
      </c>
      <c r="V36" s="31" t="s">
        <v>52</v>
      </c>
      <c r="W36" s="32">
        <f t="shared" ref="W36:AH37" si="46">W34*$C$2</f>
        <v>2</v>
      </c>
      <c r="X36" s="32">
        <f t="shared" si="46"/>
        <v>8</v>
      </c>
      <c r="Y36" s="32">
        <f t="shared" si="46"/>
        <v>2</v>
      </c>
      <c r="Z36" s="32">
        <f t="shared" si="46"/>
        <v>6</v>
      </c>
      <c r="AA36" s="32">
        <f t="shared" si="46"/>
        <v>8</v>
      </c>
      <c r="AB36" s="32">
        <f t="shared" si="46"/>
        <v>8</v>
      </c>
      <c r="AC36" s="32">
        <f t="shared" si="46"/>
        <v>8</v>
      </c>
      <c r="AD36" s="32">
        <f t="shared" si="46"/>
        <v>8</v>
      </c>
      <c r="AE36" s="32">
        <f t="shared" si="46"/>
        <v>4</v>
      </c>
      <c r="AF36" s="32">
        <f t="shared" si="46"/>
        <v>8</v>
      </c>
      <c r="AG36" s="32">
        <f t="shared" si="46"/>
        <v>8</v>
      </c>
      <c r="AH36" s="32">
        <f t="shared" si="46"/>
        <v>4</v>
      </c>
      <c r="AI36" s="60">
        <f t="shared" si="44"/>
        <v>74</v>
      </c>
    </row>
    <row r="37" spans="1:38">
      <c r="A37" s="54">
        <f>$M$2</f>
        <v>1</v>
      </c>
      <c r="B37" s="31" t="s">
        <v>53</v>
      </c>
      <c r="C37" s="32">
        <f t="shared" si="45"/>
        <v>2044</v>
      </c>
      <c r="D37" s="32">
        <f t="shared" si="45"/>
        <v>10440</v>
      </c>
      <c r="E37" s="32">
        <f t="shared" si="45"/>
        <v>1414</v>
      </c>
      <c r="F37" s="32">
        <f t="shared" si="45"/>
        <v>15168</v>
      </c>
      <c r="G37" s="32">
        <f t="shared" si="45"/>
        <v>4088</v>
      </c>
      <c r="H37" s="32">
        <f t="shared" si="45"/>
        <v>10440</v>
      </c>
      <c r="I37" s="32">
        <f t="shared" si="45"/>
        <v>1414</v>
      </c>
      <c r="J37" s="32">
        <f t="shared" si="45"/>
        <v>15168</v>
      </c>
      <c r="K37" s="32">
        <f t="shared" si="45"/>
        <v>4088</v>
      </c>
      <c r="L37" s="32">
        <f t="shared" si="45"/>
        <v>10440</v>
      </c>
      <c r="M37" s="32">
        <f t="shared" si="45"/>
        <v>4242</v>
      </c>
      <c r="N37" s="32">
        <f t="shared" si="45"/>
        <v>10112</v>
      </c>
      <c r="O37" s="60">
        <f t="shared" si="20"/>
        <v>89058</v>
      </c>
      <c r="U37" s="54">
        <f>$AG$2</f>
        <v>1</v>
      </c>
      <c r="V37" s="31" t="s">
        <v>53</v>
      </c>
      <c r="W37" s="32">
        <f t="shared" si="46"/>
        <v>2044</v>
      </c>
      <c r="X37" s="32">
        <f t="shared" si="46"/>
        <v>10440</v>
      </c>
      <c r="Y37" s="32">
        <f t="shared" si="46"/>
        <v>1414</v>
      </c>
      <c r="Z37" s="32">
        <f t="shared" si="46"/>
        <v>15168</v>
      </c>
      <c r="AA37" s="32">
        <f t="shared" si="46"/>
        <v>41976</v>
      </c>
      <c r="AB37" s="32">
        <f t="shared" si="46"/>
        <v>10440</v>
      </c>
      <c r="AC37" s="32">
        <f t="shared" si="46"/>
        <v>1414</v>
      </c>
      <c r="AD37" s="32">
        <f t="shared" si="46"/>
        <v>15168</v>
      </c>
      <c r="AE37" s="32">
        <f t="shared" si="46"/>
        <v>4088</v>
      </c>
      <c r="AF37" s="32">
        <f t="shared" si="46"/>
        <v>10440</v>
      </c>
      <c r="AG37" s="32">
        <f t="shared" si="46"/>
        <v>4242</v>
      </c>
      <c r="AH37" s="32">
        <f t="shared" si="46"/>
        <v>10112</v>
      </c>
      <c r="AI37" s="60">
        <f t="shared" si="44"/>
        <v>126946</v>
      </c>
    </row>
    <row r="38" spans="1:38">
      <c r="B38" s="31" t="s">
        <v>54</v>
      </c>
      <c r="C38" s="36">
        <f>(C36*$J$1)*$A36</f>
        <v>1263760</v>
      </c>
      <c r="D38" s="36">
        <f t="shared" ref="D38:N38" si="47">(D36*$J$1)*$A36</f>
        <v>5055040</v>
      </c>
      <c r="E38" s="36">
        <f t="shared" si="47"/>
        <v>1263760</v>
      </c>
      <c r="F38" s="36">
        <f t="shared" si="47"/>
        <v>3791280</v>
      </c>
      <c r="G38" s="36">
        <f t="shared" si="47"/>
        <v>2527520</v>
      </c>
      <c r="H38" s="36">
        <f t="shared" si="47"/>
        <v>5055040</v>
      </c>
      <c r="I38" s="36">
        <f t="shared" si="47"/>
        <v>1263760</v>
      </c>
      <c r="J38" s="36">
        <f t="shared" si="47"/>
        <v>3791280</v>
      </c>
      <c r="K38" s="36">
        <f t="shared" si="47"/>
        <v>2527520</v>
      </c>
      <c r="L38" s="36">
        <f t="shared" si="47"/>
        <v>5055040</v>
      </c>
      <c r="M38" s="36">
        <f t="shared" si="47"/>
        <v>3791280</v>
      </c>
      <c r="N38" s="36">
        <f t="shared" si="47"/>
        <v>2527520</v>
      </c>
      <c r="O38" s="60">
        <f t="shared" si="20"/>
        <v>37912800</v>
      </c>
      <c r="Q38" s="54"/>
      <c r="V38" s="31" t="s">
        <v>54</v>
      </c>
      <c r="W38" s="36">
        <f>(W36*$J$1)*$U36</f>
        <v>1263760</v>
      </c>
      <c r="X38" s="36">
        <f t="shared" ref="X38:AH38" si="48">(X36*$J$1)*$U36</f>
        <v>5055040</v>
      </c>
      <c r="Y38" s="36">
        <f t="shared" si="48"/>
        <v>1263760</v>
      </c>
      <c r="Z38" s="36">
        <f t="shared" si="48"/>
        <v>3791280</v>
      </c>
      <c r="AA38" s="36">
        <f t="shared" si="48"/>
        <v>5055040</v>
      </c>
      <c r="AB38" s="36">
        <f t="shared" si="48"/>
        <v>5055040</v>
      </c>
      <c r="AC38" s="36">
        <f t="shared" si="48"/>
        <v>5055040</v>
      </c>
      <c r="AD38" s="36">
        <f t="shared" si="48"/>
        <v>5055040</v>
      </c>
      <c r="AE38" s="36">
        <f t="shared" si="48"/>
        <v>2527520</v>
      </c>
      <c r="AF38" s="36">
        <f t="shared" si="48"/>
        <v>5055040</v>
      </c>
      <c r="AG38" s="36">
        <f t="shared" si="48"/>
        <v>5055040</v>
      </c>
      <c r="AH38" s="36">
        <f t="shared" si="48"/>
        <v>2527520</v>
      </c>
      <c r="AI38" s="60">
        <f t="shared" si="44"/>
        <v>46759120</v>
      </c>
      <c r="AK38" s="54"/>
    </row>
    <row r="39" spans="1:38">
      <c r="B39" s="31" t="s">
        <v>55</v>
      </c>
      <c r="C39" s="36">
        <f>(C37*$J$2)*$A37</f>
        <v>369964</v>
      </c>
      <c r="D39" s="36">
        <f t="shared" ref="D39:N39" si="49">(D37*$J$2)*$A37</f>
        <v>1889640</v>
      </c>
      <c r="E39" s="36">
        <f t="shared" si="49"/>
        <v>255934</v>
      </c>
      <c r="F39" s="36">
        <f t="shared" si="49"/>
        <v>2745408</v>
      </c>
      <c r="G39" s="36">
        <f t="shared" si="49"/>
        <v>739928</v>
      </c>
      <c r="H39" s="36">
        <f t="shared" si="49"/>
        <v>1889640</v>
      </c>
      <c r="I39" s="36">
        <f t="shared" si="49"/>
        <v>255934</v>
      </c>
      <c r="J39" s="36">
        <f t="shared" si="49"/>
        <v>2745408</v>
      </c>
      <c r="K39" s="36">
        <f t="shared" si="49"/>
        <v>739928</v>
      </c>
      <c r="L39" s="36">
        <f t="shared" si="49"/>
        <v>1889640</v>
      </c>
      <c r="M39" s="36">
        <f t="shared" si="49"/>
        <v>767802</v>
      </c>
      <c r="N39" s="36">
        <f t="shared" si="49"/>
        <v>1830272</v>
      </c>
      <c r="O39" s="60">
        <f t="shared" si="20"/>
        <v>16119498</v>
      </c>
      <c r="Q39" s="54">
        <f>N34*Q36</f>
        <v>2610</v>
      </c>
      <c r="R39" s="39">
        <v>-829243</v>
      </c>
      <c r="V39" s="31" t="s">
        <v>55</v>
      </c>
      <c r="W39" s="36">
        <f>(W37*$J$2)*$U37</f>
        <v>369964</v>
      </c>
      <c r="X39" s="36">
        <f t="shared" ref="X39:AH39" si="50">(X37*$J$2)*$U37</f>
        <v>1889640</v>
      </c>
      <c r="Y39" s="36">
        <f t="shared" si="50"/>
        <v>255934</v>
      </c>
      <c r="Z39" s="36">
        <f t="shared" si="50"/>
        <v>2745408</v>
      </c>
      <c r="AA39" s="36">
        <f t="shared" si="50"/>
        <v>7597656</v>
      </c>
      <c r="AB39" s="36">
        <f t="shared" si="50"/>
        <v>1889640</v>
      </c>
      <c r="AC39" s="36">
        <f t="shared" si="50"/>
        <v>255934</v>
      </c>
      <c r="AD39" s="36">
        <f t="shared" si="50"/>
        <v>2745408</v>
      </c>
      <c r="AE39" s="36">
        <f t="shared" si="50"/>
        <v>739928</v>
      </c>
      <c r="AF39" s="36">
        <f t="shared" si="50"/>
        <v>1889640</v>
      </c>
      <c r="AG39" s="36">
        <f t="shared" si="50"/>
        <v>767802</v>
      </c>
      <c r="AH39" s="36">
        <f t="shared" si="50"/>
        <v>1830272</v>
      </c>
      <c r="AI39" s="60">
        <f t="shared" si="44"/>
        <v>22977226</v>
      </c>
      <c r="AK39" s="54"/>
    </row>
    <row r="40" spans="1:38">
      <c r="B40" t="s">
        <v>56</v>
      </c>
      <c r="C40" s="100">
        <f>'TAMBAT CWD'!C36</f>
        <v>8</v>
      </c>
      <c r="D40" s="100">
        <f>'TAMBAT CWD'!D36</f>
        <v>5</v>
      </c>
      <c r="E40" s="100">
        <f>'TAMBAT CWD'!E36</f>
        <v>6</v>
      </c>
      <c r="F40" s="100">
        <f>'TAMBAT CWD'!F36</f>
        <v>7</v>
      </c>
      <c r="G40" s="100">
        <f>'TAMBAT CWD'!G36</f>
        <v>8</v>
      </c>
      <c r="H40" s="100">
        <f>'TAMBAT CWD'!H36</f>
        <v>6</v>
      </c>
      <c r="I40" s="100">
        <f>'TAMBAT CWD'!I36</f>
        <v>9</v>
      </c>
      <c r="J40" s="100">
        <f>'TAMBAT CWD'!J36</f>
        <v>7</v>
      </c>
      <c r="K40" s="100">
        <f>'TAMBAT CWD'!K36</f>
        <v>8</v>
      </c>
      <c r="L40" s="100">
        <f>'TAMBAT CWD'!L36</f>
        <v>9</v>
      </c>
      <c r="M40" s="100">
        <f>'TAMBAT CWD'!M36</f>
        <v>7</v>
      </c>
      <c r="N40" s="100">
        <f>'TAMBAT CWD'!N36</f>
        <v>5</v>
      </c>
      <c r="O40" s="62">
        <f t="shared" si="20"/>
        <v>85</v>
      </c>
      <c r="V40" t="s">
        <v>56</v>
      </c>
      <c r="W40" s="96">
        <f>IF(ROUND((C40*$AC$3),)=1,1,IF($AC$3&gt;1,ROUNDUP((C40*$AC$3),),ROUNDDOWN((C40*$AC$3),)))</f>
        <v>8</v>
      </c>
      <c r="X40" s="96">
        <f t="shared" ref="X40:Z40" si="51">IF(ROUND((D40*$AC$3),)=1,1,IF($AC$3&gt;1,ROUNDUP((D40*$AC$3),),ROUNDDOWN((D40*$AC$3),)))</f>
        <v>5</v>
      </c>
      <c r="Y40" s="96">
        <f t="shared" si="51"/>
        <v>6</v>
      </c>
      <c r="Z40" s="96">
        <f t="shared" si="51"/>
        <v>7</v>
      </c>
      <c r="AA40" s="96">
        <v>4</v>
      </c>
      <c r="AB40" s="96">
        <f t="shared" ref="AB40:AF40" si="52">IF(ROUND((H40*$AC$3),)=1,1,IF($AC$3&gt;1,ROUNDUP((H40*$AC$3),),ROUNDDOWN((H40*$AC$3),)))</f>
        <v>6</v>
      </c>
      <c r="AC40" s="96">
        <f t="shared" si="52"/>
        <v>9</v>
      </c>
      <c r="AD40" s="96">
        <f t="shared" si="52"/>
        <v>7</v>
      </c>
      <c r="AE40" s="96">
        <f t="shared" si="52"/>
        <v>8</v>
      </c>
      <c r="AF40" s="96">
        <f t="shared" si="52"/>
        <v>9</v>
      </c>
      <c r="AG40" s="96">
        <v>4</v>
      </c>
      <c r="AH40" s="96">
        <f t="shared" ref="AH40" si="53">IF(ROUND((N40*$AC$3),)=1,1,IF($AC$3&gt;1,ROUNDUP((N40*$AC$3),),ROUNDDOWN((N40*$AC$3),)))</f>
        <v>5</v>
      </c>
      <c r="AI40" s="61">
        <f t="shared" ref="AI40" si="54">SUM(W40:AH40)</f>
        <v>78</v>
      </c>
    </row>
    <row r="41" spans="1:38">
      <c r="C41" s="100">
        <f>'TAMBAT CWD'!C37</f>
        <v>31615</v>
      </c>
      <c r="D41" s="100">
        <f>'TAMBAT CWD'!D37</f>
        <v>20195</v>
      </c>
      <c r="E41" s="100">
        <f>'TAMBAT CWD'!E37</f>
        <v>22928</v>
      </c>
      <c r="F41" s="100">
        <f>'TAMBAT CWD'!F37</f>
        <v>25589</v>
      </c>
      <c r="G41" s="100">
        <f>'TAMBAT CWD'!G37</f>
        <v>31615</v>
      </c>
      <c r="H41" s="100">
        <f>'TAMBAT CWD'!H37</f>
        <v>24234</v>
      </c>
      <c r="I41" s="100">
        <f>'TAMBAT CWD'!I37</f>
        <v>22928</v>
      </c>
      <c r="J41" s="100">
        <f>'TAMBAT CWD'!J37</f>
        <v>25589</v>
      </c>
      <c r="K41" s="100">
        <f>'TAMBAT CWD'!K37</f>
        <v>31615</v>
      </c>
      <c r="L41" s="100">
        <f>'TAMBAT CWD'!L37</f>
        <v>36351</v>
      </c>
      <c r="M41" s="100">
        <f>'TAMBAT CWD'!M37</f>
        <v>17832.888888888891</v>
      </c>
      <c r="N41" s="100">
        <f>'TAMBAT CWD'!N37</f>
        <v>18277.857142857141</v>
      </c>
      <c r="O41" s="62">
        <f t="shared" si="20"/>
        <v>308769.74603174604</v>
      </c>
      <c r="W41" s="96">
        <f>ROUNDUP(C41*$AC$4,)</f>
        <v>31615</v>
      </c>
      <c r="X41" s="96">
        <f t="shared" ref="X41:AH41" si="55">ROUNDUP(D41*$AC$4,)</f>
        <v>20195</v>
      </c>
      <c r="Y41" s="96">
        <f t="shared" si="55"/>
        <v>22928</v>
      </c>
      <c r="Z41" s="96">
        <f t="shared" si="55"/>
        <v>25589</v>
      </c>
      <c r="AA41" s="96">
        <f t="shared" si="55"/>
        <v>31615</v>
      </c>
      <c r="AB41" s="96">
        <f t="shared" si="55"/>
        <v>24234</v>
      </c>
      <c r="AC41" s="96">
        <f t="shared" si="55"/>
        <v>22928</v>
      </c>
      <c r="AD41" s="96">
        <f t="shared" si="55"/>
        <v>25589</v>
      </c>
      <c r="AE41" s="96">
        <f t="shared" si="55"/>
        <v>31615</v>
      </c>
      <c r="AF41" s="96">
        <f t="shared" si="55"/>
        <v>36351</v>
      </c>
      <c r="AG41" s="96">
        <f t="shared" si="55"/>
        <v>17833</v>
      </c>
      <c r="AH41" s="96">
        <f t="shared" si="55"/>
        <v>18278</v>
      </c>
      <c r="AI41" s="62">
        <f t="shared" si="44"/>
        <v>308770</v>
      </c>
    </row>
    <row r="42" spans="1:38">
      <c r="A42" s="54">
        <f>$M$1</f>
        <v>1</v>
      </c>
      <c r="B42" s="31" t="s">
        <v>52</v>
      </c>
      <c r="C42" s="32">
        <f t="shared" ref="C42:N43" si="56">C40*$C$2</f>
        <v>16</v>
      </c>
      <c r="D42" s="32">
        <f t="shared" si="56"/>
        <v>10</v>
      </c>
      <c r="E42" s="32">
        <f t="shared" si="56"/>
        <v>12</v>
      </c>
      <c r="F42" s="32">
        <f t="shared" si="56"/>
        <v>14</v>
      </c>
      <c r="G42" s="32">
        <f t="shared" si="56"/>
        <v>16</v>
      </c>
      <c r="H42" s="32">
        <f t="shared" si="56"/>
        <v>12</v>
      </c>
      <c r="I42" s="32">
        <f t="shared" si="56"/>
        <v>18</v>
      </c>
      <c r="J42" s="32">
        <f t="shared" si="56"/>
        <v>14</v>
      </c>
      <c r="K42" s="32">
        <f t="shared" si="56"/>
        <v>16</v>
      </c>
      <c r="L42" s="32">
        <f t="shared" si="56"/>
        <v>18</v>
      </c>
      <c r="M42" s="32">
        <f t="shared" si="56"/>
        <v>14</v>
      </c>
      <c r="N42" s="32">
        <f t="shared" si="56"/>
        <v>10</v>
      </c>
      <c r="O42" s="60">
        <f t="shared" si="20"/>
        <v>170</v>
      </c>
      <c r="U42" s="54">
        <f>$AG$1</f>
        <v>1</v>
      </c>
      <c r="V42" s="31" t="s">
        <v>52</v>
      </c>
      <c r="W42" s="32">
        <f t="shared" ref="W42:AH43" si="57">W40*$C$2</f>
        <v>16</v>
      </c>
      <c r="X42" s="32">
        <f t="shared" si="57"/>
        <v>10</v>
      </c>
      <c r="Y42" s="32">
        <f t="shared" si="57"/>
        <v>12</v>
      </c>
      <c r="Z42" s="32">
        <f t="shared" si="57"/>
        <v>14</v>
      </c>
      <c r="AA42" s="32">
        <f t="shared" si="57"/>
        <v>8</v>
      </c>
      <c r="AB42" s="32">
        <f t="shared" si="57"/>
        <v>12</v>
      </c>
      <c r="AC42" s="32">
        <f t="shared" si="57"/>
        <v>18</v>
      </c>
      <c r="AD42" s="32">
        <f t="shared" si="57"/>
        <v>14</v>
      </c>
      <c r="AE42" s="32">
        <f t="shared" si="57"/>
        <v>16</v>
      </c>
      <c r="AF42" s="32">
        <f t="shared" si="57"/>
        <v>18</v>
      </c>
      <c r="AG42" s="32">
        <f t="shared" si="57"/>
        <v>8</v>
      </c>
      <c r="AH42" s="32">
        <f t="shared" si="57"/>
        <v>10</v>
      </c>
      <c r="AI42" s="60">
        <f t="shared" si="44"/>
        <v>156</v>
      </c>
    </row>
    <row r="43" spans="1:38">
      <c r="A43" s="54">
        <f>$M$2</f>
        <v>1</v>
      </c>
      <c r="B43" s="31" t="s">
        <v>53</v>
      </c>
      <c r="C43" s="32">
        <f t="shared" si="56"/>
        <v>63230</v>
      </c>
      <c r="D43" s="32">
        <f t="shared" si="56"/>
        <v>40390</v>
      </c>
      <c r="E43" s="32">
        <f t="shared" si="56"/>
        <v>45856</v>
      </c>
      <c r="F43" s="32">
        <f t="shared" si="56"/>
        <v>51178</v>
      </c>
      <c r="G43" s="32">
        <f t="shared" si="56"/>
        <v>63230</v>
      </c>
      <c r="H43" s="32">
        <f t="shared" si="56"/>
        <v>48468</v>
      </c>
      <c r="I43" s="32">
        <f t="shared" si="56"/>
        <v>45856</v>
      </c>
      <c r="J43" s="32">
        <f t="shared" si="56"/>
        <v>51178</v>
      </c>
      <c r="K43" s="32">
        <f t="shared" si="56"/>
        <v>63230</v>
      </c>
      <c r="L43" s="32">
        <f t="shared" si="56"/>
        <v>72702</v>
      </c>
      <c r="M43" s="32">
        <f t="shared" si="56"/>
        <v>35665.777777777781</v>
      </c>
      <c r="N43" s="32">
        <f t="shared" si="56"/>
        <v>36555.714285714283</v>
      </c>
      <c r="O43" s="60">
        <f t="shared" si="20"/>
        <v>617539.49206349207</v>
      </c>
      <c r="U43" s="54">
        <f>$AG$2</f>
        <v>1</v>
      </c>
      <c r="V43" s="31" t="s">
        <v>53</v>
      </c>
      <c r="W43" s="32">
        <f t="shared" si="57"/>
        <v>63230</v>
      </c>
      <c r="X43" s="32">
        <f t="shared" si="57"/>
        <v>40390</v>
      </c>
      <c r="Y43" s="32">
        <f t="shared" si="57"/>
        <v>45856</v>
      </c>
      <c r="Z43" s="32">
        <f t="shared" si="57"/>
        <v>51178</v>
      </c>
      <c r="AA43" s="32">
        <f t="shared" si="57"/>
        <v>63230</v>
      </c>
      <c r="AB43" s="32">
        <f t="shared" si="57"/>
        <v>48468</v>
      </c>
      <c r="AC43" s="32">
        <f t="shared" si="57"/>
        <v>45856</v>
      </c>
      <c r="AD43" s="32">
        <f t="shared" si="57"/>
        <v>51178</v>
      </c>
      <c r="AE43" s="32">
        <f t="shared" si="57"/>
        <v>63230</v>
      </c>
      <c r="AF43" s="32">
        <f t="shared" si="57"/>
        <v>72702</v>
      </c>
      <c r="AG43" s="32">
        <f t="shared" si="57"/>
        <v>35666</v>
      </c>
      <c r="AH43" s="32">
        <f t="shared" si="57"/>
        <v>36556</v>
      </c>
      <c r="AI43" s="60">
        <f t="shared" si="44"/>
        <v>617540</v>
      </c>
      <c r="AL43" s="39">
        <v>921608</v>
      </c>
    </row>
    <row r="44" spans="1:38">
      <c r="B44" s="31" t="s">
        <v>54</v>
      </c>
      <c r="C44" s="36">
        <f>(C42*$J$1)*$A42</f>
        <v>10110080</v>
      </c>
      <c r="D44" s="36">
        <f t="shared" ref="D44:N44" si="58">(D42*$J$1)*$A42</f>
        <v>6318800</v>
      </c>
      <c r="E44" s="36">
        <f t="shared" si="58"/>
        <v>7582560</v>
      </c>
      <c r="F44" s="36">
        <f t="shared" si="58"/>
        <v>8846320</v>
      </c>
      <c r="G44" s="36">
        <f t="shared" si="58"/>
        <v>10110080</v>
      </c>
      <c r="H44" s="36">
        <f t="shared" si="58"/>
        <v>7582560</v>
      </c>
      <c r="I44" s="36">
        <f t="shared" si="58"/>
        <v>11373840</v>
      </c>
      <c r="J44" s="36">
        <f t="shared" si="58"/>
        <v>8846320</v>
      </c>
      <c r="K44" s="36">
        <f t="shared" si="58"/>
        <v>10110080</v>
      </c>
      <c r="L44" s="36">
        <f t="shared" si="58"/>
        <v>11373840</v>
      </c>
      <c r="M44" s="36">
        <f t="shared" si="58"/>
        <v>8846320</v>
      </c>
      <c r="N44" s="36">
        <f t="shared" si="58"/>
        <v>6318800</v>
      </c>
      <c r="O44" s="60">
        <f t="shared" si="20"/>
        <v>107419600</v>
      </c>
      <c r="Q44" s="54"/>
      <c r="V44" s="31" t="s">
        <v>54</v>
      </c>
      <c r="W44" s="36">
        <f>(W42*$J$1)*$U42</f>
        <v>10110080</v>
      </c>
      <c r="X44" s="36">
        <f t="shared" ref="X44:AH44" si="59">(X42*$J$1)*$U42</f>
        <v>6318800</v>
      </c>
      <c r="Y44" s="36">
        <f t="shared" si="59"/>
        <v>7582560</v>
      </c>
      <c r="Z44" s="36">
        <f t="shared" si="59"/>
        <v>8846320</v>
      </c>
      <c r="AA44" s="36">
        <f t="shared" si="59"/>
        <v>5055040</v>
      </c>
      <c r="AB44" s="36">
        <f t="shared" si="59"/>
        <v>7582560</v>
      </c>
      <c r="AC44" s="36">
        <f t="shared" si="59"/>
        <v>11373840</v>
      </c>
      <c r="AD44" s="36">
        <f t="shared" si="59"/>
        <v>8846320</v>
      </c>
      <c r="AE44" s="36">
        <f t="shared" si="59"/>
        <v>10110080</v>
      </c>
      <c r="AF44" s="36">
        <f t="shared" si="59"/>
        <v>11373840</v>
      </c>
      <c r="AG44" s="36">
        <f t="shared" si="59"/>
        <v>5055040</v>
      </c>
      <c r="AH44" s="36">
        <f t="shared" si="59"/>
        <v>6318800</v>
      </c>
      <c r="AI44" s="60">
        <f t="shared" si="44"/>
        <v>98573280</v>
      </c>
      <c r="AK44" s="54"/>
    </row>
    <row r="45" spans="1:38">
      <c r="B45" s="31" t="s">
        <v>55</v>
      </c>
      <c r="C45" s="36">
        <f>(C43*$J$2)*$A43</f>
        <v>11444630</v>
      </c>
      <c r="D45" s="36">
        <f t="shared" ref="D45:N45" si="60">(D43*$J$2)*$A43</f>
        <v>7310590</v>
      </c>
      <c r="E45" s="36">
        <f t="shared" si="60"/>
        <v>8299936</v>
      </c>
      <c r="F45" s="36">
        <f t="shared" si="60"/>
        <v>9263218</v>
      </c>
      <c r="G45" s="36">
        <f t="shared" si="60"/>
        <v>11444630</v>
      </c>
      <c r="H45" s="36">
        <f t="shared" si="60"/>
        <v>8772708</v>
      </c>
      <c r="I45" s="36">
        <f t="shared" si="60"/>
        <v>8299936</v>
      </c>
      <c r="J45" s="36">
        <f t="shared" si="60"/>
        <v>9263218</v>
      </c>
      <c r="K45" s="36">
        <f t="shared" si="60"/>
        <v>11444630</v>
      </c>
      <c r="L45" s="36">
        <f t="shared" si="60"/>
        <v>13159062</v>
      </c>
      <c r="M45" s="36">
        <f t="shared" si="60"/>
        <v>6455505.777777778</v>
      </c>
      <c r="N45" s="36">
        <f t="shared" si="60"/>
        <v>6616584.2857142854</v>
      </c>
      <c r="O45" s="60">
        <f t="shared" si="20"/>
        <v>111774648.06349206</v>
      </c>
      <c r="Q45" s="54"/>
      <c r="V45" s="31" t="s">
        <v>55</v>
      </c>
      <c r="W45" s="36">
        <f>(W43*$J$2)*$U43</f>
        <v>11444630</v>
      </c>
      <c r="X45" s="36">
        <f t="shared" ref="X45:AH45" si="61">(X43*$J$2)*$U43</f>
        <v>7310590</v>
      </c>
      <c r="Y45" s="36">
        <f t="shared" si="61"/>
        <v>8299936</v>
      </c>
      <c r="Z45" s="36">
        <f t="shared" si="61"/>
        <v>9263218</v>
      </c>
      <c r="AA45" s="36">
        <f t="shared" si="61"/>
        <v>11444630</v>
      </c>
      <c r="AB45" s="36">
        <f t="shared" si="61"/>
        <v>8772708</v>
      </c>
      <c r="AC45" s="36">
        <f t="shared" si="61"/>
        <v>8299936</v>
      </c>
      <c r="AD45" s="36">
        <f t="shared" si="61"/>
        <v>9263218</v>
      </c>
      <c r="AE45" s="36">
        <f t="shared" si="61"/>
        <v>11444630</v>
      </c>
      <c r="AF45" s="36">
        <f t="shared" si="61"/>
        <v>13159062</v>
      </c>
      <c r="AG45" s="36">
        <f t="shared" si="61"/>
        <v>6455546</v>
      </c>
      <c r="AH45" s="36">
        <f t="shared" si="61"/>
        <v>6616636</v>
      </c>
      <c r="AI45" s="60">
        <f t="shared" si="44"/>
        <v>111774740</v>
      </c>
      <c r="AK45" s="54"/>
      <c r="AL45" s="39">
        <v>146426</v>
      </c>
    </row>
    <row r="46" spans="1:38">
      <c r="B46" t="s">
        <v>57</v>
      </c>
      <c r="C46" s="100">
        <f>'TAMBAT CWD'!C40</f>
        <v>7</v>
      </c>
      <c r="D46" s="100">
        <f>'TAMBAT CWD'!D40</f>
        <v>5</v>
      </c>
      <c r="E46" s="100">
        <f>'TAMBAT CWD'!E40</f>
        <v>4</v>
      </c>
      <c r="F46" s="100">
        <f>'TAMBAT CWD'!F40</f>
        <v>3</v>
      </c>
      <c r="G46" s="100">
        <f>'TAMBAT CWD'!G40</f>
        <v>4</v>
      </c>
      <c r="H46" s="100">
        <f>'TAMBAT CWD'!H40</f>
        <v>6</v>
      </c>
      <c r="I46" s="100">
        <f>'TAMBAT CWD'!I40</f>
        <v>5</v>
      </c>
      <c r="J46" s="100">
        <f>'TAMBAT CWD'!J40</f>
        <v>7</v>
      </c>
      <c r="K46" s="100">
        <f>'TAMBAT CWD'!K40</f>
        <v>6</v>
      </c>
      <c r="L46" s="100">
        <f>'TAMBAT CWD'!L40</f>
        <v>5</v>
      </c>
      <c r="M46" s="100">
        <f>'TAMBAT CWD'!M40</f>
        <v>4</v>
      </c>
      <c r="N46" s="100">
        <f>'TAMBAT CWD'!N40</f>
        <v>3</v>
      </c>
      <c r="O46" s="62">
        <f t="shared" si="20"/>
        <v>59</v>
      </c>
      <c r="V46" t="s">
        <v>57</v>
      </c>
      <c r="W46" s="96">
        <v>2</v>
      </c>
      <c r="X46" s="96">
        <v>1</v>
      </c>
      <c r="Y46" s="96">
        <v>1</v>
      </c>
      <c r="Z46" s="96">
        <f t="shared" ref="Z46:AH46" si="62">IF(ROUND((F46*$AC$3),)=1,1,IF($AC$3&gt;1,ROUNDUP((F46*$AC$3),),ROUNDDOWN((F46*$AC$3),)))</f>
        <v>3</v>
      </c>
      <c r="AA46" s="96">
        <f t="shared" si="62"/>
        <v>4</v>
      </c>
      <c r="AB46" s="96">
        <f t="shared" si="62"/>
        <v>6</v>
      </c>
      <c r="AC46" s="96">
        <f t="shared" si="62"/>
        <v>5</v>
      </c>
      <c r="AD46" s="96">
        <f t="shared" si="62"/>
        <v>7</v>
      </c>
      <c r="AE46" s="96">
        <f t="shared" si="62"/>
        <v>6</v>
      </c>
      <c r="AF46" s="96">
        <f t="shared" si="62"/>
        <v>5</v>
      </c>
      <c r="AG46" s="96">
        <f t="shared" si="62"/>
        <v>4</v>
      </c>
      <c r="AH46" s="96">
        <f t="shared" si="62"/>
        <v>3</v>
      </c>
      <c r="AI46" s="61">
        <f t="shared" ref="AI46" si="63">SUM(W46:AH46)</f>
        <v>47</v>
      </c>
      <c r="AL46" s="39">
        <f>AL45/24</f>
        <v>6101.083333333333</v>
      </c>
    </row>
    <row r="47" spans="1:38">
      <c r="C47" s="100">
        <f>'TAMBAT CWD'!C41</f>
        <v>21410</v>
      </c>
      <c r="D47" s="100">
        <f>'TAMBAT CWD'!D41</f>
        <v>12812</v>
      </c>
      <c r="E47" s="100">
        <f>'TAMBAT CWD'!E41</f>
        <v>9388</v>
      </c>
      <c r="F47" s="100">
        <f>'TAMBAT CWD'!F41</f>
        <v>10590</v>
      </c>
      <c r="G47" s="100">
        <f>'TAMBAT CWD'!G41</f>
        <v>12234.285714285714</v>
      </c>
      <c r="H47" s="100">
        <f>'TAMBAT CWD'!H41</f>
        <v>15374.400000000001</v>
      </c>
      <c r="I47" s="100">
        <f>'TAMBAT CWD'!I41</f>
        <v>11735</v>
      </c>
      <c r="J47" s="100">
        <f>'TAMBAT CWD'!J41</f>
        <v>24710</v>
      </c>
      <c r="K47" s="100">
        <f>'TAMBAT CWD'!K41</f>
        <v>18351.428571428572</v>
      </c>
      <c r="L47" s="100">
        <f>'TAMBAT CWD'!L41</f>
        <v>12812</v>
      </c>
      <c r="M47" s="100">
        <f>'TAMBAT CWD'!M41</f>
        <v>9388</v>
      </c>
      <c r="N47" s="100">
        <f>'TAMBAT CWD'!N41</f>
        <v>10590</v>
      </c>
      <c r="O47" s="62">
        <f t="shared" si="20"/>
        <v>169395.11428571428</v>
      </c>
      <c r="W47" s="96">
        <v>8018</v>
      </c>
      <c r="X47" s="96">
        <v>8018</v>
      </c>
      <c r="Y47" s="96">
        <v>4009</v>
      </c>
      <c r="Z47" s="96">
        <v>8018</v>
      </c>
      <c r="AA47" s="96">
        <v>8018</v>
      </c>
      <c r="AB47" s="96">
        <v>8018</v>
      </c>
      <c r="AC47" s="96">
        <v>8018</v>
      </c>
      <c r="AD47" s="96">
        <v>4009</v>
      </c>
      <c r="AE47" s="96">
        <v>4009</v>
      </c>
      <c r="AF47" s="96">
        <v>4009</v>
      </c>
      <c r="AG47" s="96">
        <v>4009</v>
      </c>
      <c r="AH47" s="96">
        <v>4009</v>
      </c>
      <c r="AI47" s="62">
        <f t="shared" si="44"/>
        <v>72162</v>
      </c>
    </row>
    <row r="48" spans="1:38">
      <c r="A48" s="54">
        <f>$M$1</f>
        <v>1</v>
      </c>
      <c r="B48" s="31" t="s">
        <v>52</v>
      </c>
      <c r="C48" s="32">
        <f t="shared" ref="C48:N49" si="64">C46*$C$2</f>
        <v>14</v>
      </c>
      <c r="D48" s="32">
        <f t="shared" si="64"/>
        <v>10</v>
      </c>
      <c r="E48" s="32">
        <f t="shared" si="64"/>
        <v>8</v>
      </c>
      <c r="F48" s="32">
        <f t="shared" si="64"/>
        <v>6</v>
      </c>
      <c r="G48" s="32">
        <f t="shared" si="64"/>
        <v>8</v>
      </c>
      <c r="H48" s="32">
        <f t="shared" si="64"/>
        <v>12</v>
      </c>
      <c r="I48" s="32">
        <f t="shared" si="64"/>
        <v>10</v>
      </c>
      <c r="J48" s="32">
        <f t="shared" si="64"/>
        <v>14</v>
      </c>
      <c r="K48" s="32">
        <f t="shared" si="64"/>
        <v>12</v>
      </c>
      <c r="L48" s="32">
        <f t="shared" si="64"/>
        <v>10</v>
      </c>
      <c r="M48" s="32">
        <f t="shared" si="64"/>
        <v>8</v>
      </c>
      <c r="N48" s="32">
        <f t="shared" si="64"/>
        <v>6</v>
      </c>
      <c r="O48" s="60">
        <f t="shared" si="20"/>
        <v>118</v>
      </c>
      <c r="U48" s="54">
        <f>$AG$1</f>
        <v>1</v>
      </c>
      <c r="V48" s="31" t="s">
        <v>52</v>
      </c>
      <c r="W48" s="32">
        <f t="shared" ref="W48:AH49" si="65">W46*$C$2</f>
        <v>4</v>
      </c>
      <c r="X48" s="32">
        <f t="shared" si="65"/>
        <v>2</v>
      </c>
      <c r="Y48" s="32">
        <f t="shared" si="65"/>
        <v>2</v>
      </c>
      <c r="Z48" s="32">
        <f t="shared" si="65"/>
        <v>6</v>
      </c>
      <c r="AA48" s="32">
        <f t="shared" si="65"/>
        <v>8</v>
      </c>
      <c r="AB48" s="32">
        <f t="shared" si="65"/>
        <v>12</v>
      </c>
      <c r="AC48" s="32">
        <f t="shared" si="65"/>
        <v>10</v>
      </c>
      <c r="AD48" s="32">
        <f t="shared" si="65"/>
        <v>14</v>
      </c>
      <c r="AE48" s="32">
        <f t="shared" si="65"/>
        <v>12</v>
      </c>
      <c r="AF48" s="32">
        <f t="shared" si="65"/>
        <v>10</v>
      </c>
      <c r="AG48" s="32">
        <f t="shared" si="65"/>
        <v>8</v>
      </c>
      <c r="AH48" s="32">
        <f t="shared" si="65"/>
        <v>6</v>
      </c>
      <c r="AI48" s="60">
        <f t="shared" si="44"/>
        <v>94</v>
      </c>
    </row>
    <row r="49" spans="1:37">
      <c r="A49" s="54">
        <f>$M$2</f>
        <v>1</v>
      </c>
      <c r="B49" s="31" t="s">
        <v>53</v>
      </c>
      <c r="C49" s="32">
        <f t="shared" si="64"/>
        <v>42820</v>
      </c>
      <c r="D49" s="32">
        <f t="shared" si="64"/>
        <v>25624</v>
      </c>
      <c r="E49" s="32">
        <f t="shared" si="64"/>
        <v>18776</v>
      </c>
      <c r="F49" s="32">
        <f t="shared" si="64"/>
        <v>21180</v>
      </c>
      <c r="G49" s="32">
        <f t="shared" si="64"/>
        <v>24468.571428571428</v>
      </c>
      <c r="H49" s="32">
        <f t="shared" si="64"/>
        <v>30748.800000000003</v>
      </c>
      <c r="I49" s="32">
        <f t="shared" si="64"/>
        <v>23470</v>
      </c>
      <c r="J49" s="32">
        <f t="shared" si="64"/>
        <v>49420</v>
      </c>
      <c r="K49" s="32">
        <f t="shared" si="64"/>
        <v>36702.857142857145</v>
      </c>
      <c r="L49" s="32">
        <f t="shared" si="64"/>
        <v>25624</v>
      </c>
      <c r="M49" s="32">
        <f t="shared" si="64"/>
        <v>18776</v>
      </c>
      <c r="N49" s="32">
        <f t="shared" si="64"/>
        <v>21180</v>
      </c>
      <c r="O49" s="60">
        <f t="shared" si="20"/>
        <v>338790.22857142857</v>
      </c>
      <c r="U49" s="54">
        <f>$AG$2</f>
        <v>1</v>
      </c>
      <c r="V49" s="31" t="s">
        <v>53</v>
      </c>
      <c r="W49" s="32">
        <f t="shared" si="65"/>
        <v>16036</v>
      </c>
      <c r="X49" s="32">
        <f t="shared" si="65"/>
        <v>16036</v>
      </c>
      <c r="Y49" s="32">
        <f t="shared" si="65"/>
        <v>8018</v>
      </c>
      <c r="Z49" s="32">
        <f t="shared" si="65"/>
        <v>16036</v>
      </c>
      <c r="AA49" s="32">
        <f t="shared" si="65"/>
        <v>16036</v>
      </c>
      <c r="AB49" s="32">
        <f t="shared" si="65"/>
        <v>16036</v>
      </c>
      <c r="AC49" s="32">
        <f t="shared" si="65"/>
        <v>16036</v>
      </c>
      <c r="AD49" s="32">
        <f t="shared" si="65"/>
        <v>8018</v>
      </c>
      <c r="AE49" s="32">
        <f t="shared" si="65"/>
        <v>8018</v>
      </c>
      <c r="AF49" s="32">
        <f t="shared" si="65"/>
        <v>8018</v>
      </c>
      <c r="AG49" s="32">
        <f t="shared" si="65"/>
        <v>8018</v>
      </c>
      <c r="AH49" s="32">
        <f t="shared" si="65"/>
        <v>8018</v>
      </c>
      <c r="AI49" s="60">
        <f t="shared" si="44"/>
        <v>144324</v>
      </c>
    </row>
    <row r="50" spans="1:37">
      <c r="B50" s="31" t="s">
        <v>54</v>
      </c>
      <c r="C50" s="36">
        <f>(C48*$J$1)*$A48</f>
        <v>8846320</v>
      </c>
      <c r="D50" s="36">
        <f t="shared" ref="D50:N50" si="66">(D48*$J$1)*$A48</f>
        <v>6318800</v>
      </c>
      <c r="E50" s="36">
        <f t="shared" si="66"/>
        <v>5055040</v>
      </c>
      <c r="F50" s="36">
        <f t="shared" si="66"/>
        <v>3791280</v>
      </c>
      <c r="G50" s="36">
        <f t="shared" si="66"/>
        <v>5055040</v>
      </c>
      <c r="H50" s="36">
        <f t="shared" si="66"/>
        <v>7582560</v>
      </c>
      <c r="I50" s="36">
        <f t="shared" si="66"/>
        <v>6318800</v>
      </c>
      <c r="J50" s="36">
        <f t="shared" si="66"/>
        <v>8846320</v>
      </c>
      <c r="K50" s="36">
        <f t="shared" si="66"/>
        <v>7582560</v>
      </c>
      <c r="L50" s="36">
        <f t="shared" si="66"/>
        <v>6318800</v>
      </c>
      <c r="M50" s="36">
        <f t="shared" si="66"/>
        <v>5055040</v>
      </c>
      <c r="N50" s="36">
        <f t="shared" si="66"/>
        <v>3791280</v>
      </c>
      <c r="O50" s="60">
        <f t="shared" si="20"/>
        <v>74561840</v>
      </c>
      <c r="P50" s="84"/>
      <c r="Q50" s="54"/>
      <c r="V50" s="31" t="s">
        <v>54</v>
      </c>
      <c r="W50" s="36">
        <f>(W48*$J$1)*$U48</f>
        <v>2527520</v>
      </c>
      <c r="X50" s="36">
        <f t="shared" ref="X50:AH50" si="67">(X48*$J$1)*$U48</f>
        <v>1263760</v>
      </c>
      <c r="Y50" s="36">
        <f t="shared" si="67"/>
        <v>1263760</v>
      </c>
      <c r="Z50" s="36">
        <f t="shared" si="67"/>
        <v>3791280</v>
      </c>
      <c r="AA50" s="36">
        <f t="shared" si="67"/>
        <v>5055040</v>
      </c>
      <c r="AB50" s="36">
        <f t="shared" si="67"/>
        <v>7582560</v>
      </c>
      <c r="AC50" s="36">
        <f t="shared" si="67"/>
        <v>6318800</v>
      </c>
      <c r="AD50" s="36">
        <f t="shared" si="67"/>
        <v>8846320</v>
      </c>
      <c r="AE50" s="36">
        <f t="shared" si="67"/>
        <v>7582560</v>
      </c>
      <c r="AF50" s="36">
        <f t="shared" si="67"/>
        <v>6318800</v>
      </c>
      <c r="AG50" s="36">
        <f t="shared" si="67"/>
        <v>5055040</v>
      </c>
      <c r="AH50" s="36">
        <f t="shared" si="67"/>
        <v>3791280</v>
      </c>
      <c r="AI50" s="60">
        <f t="shared" si="44"/>
        <v>59396720</v>
      </c>
      <c r="AJ50" s="84"/>
      <c r="AK50" s="54"/>
    </row>
    <row r="51" spans="1:37">
      <c r="B51" s="31" t="s">
        <v>55</v>
      </c>
      <c r="C51" s="36">
        <f>(C49*$J$2)*$A49</f>
        <v>7750420</v>
      </c>
      <c r="D51" s="36">
        <f t="shared" ref="D51:N51" si="68">(D49*$J$2)*$A49</f>
        <v>4637944</v>
      </c>
      <c r="E51" s="36">
        <f t="shared" si="68"/>
        <v>3398456</v>
      </c>
      <c r="F51" s="36">
        <f t="shared" si="68"/>
        <v>3833580</v>
      </c>
      <c r="G51" s="36">
        <f t="shared" si="68"/>
        <v>4428811.4285714282</v>
      </c>
      <c r="H51" s="36">
        <f t="shared" si="68"/>
        <v>5565532.8000000007</v>
      </c>
      <c r="I51" s="36">
        <f t="shared" si="68"/>
        <v>4248070</v>
      </c>
      <c r="J51" s="36">
        <f t="shared" si="68"/>
        <v>8945020</v>
      </c>
      <c r="K51" s="36">
        <f t="shared" si="68"/>
        <v>6643217.1428571437</v>
      </c>
      <c r="L51" s="36">
        <f t="shared" si="68"/>
        <v>4637944</v>
      </c>
      <c r="M51" s="36">
        <f t="shared" si="68"/>
        <v>3398456</v>
      </c>
      <c r="N51" s="36">
        <f t="shared" si="68"/>
        <v>3833580</v>
      </c>
      <c r="O51" s="60">
        <f t="shared" si="20"/>
        <v>61321031.371428572</v>
      </c>
      <c r="P51" s="84"/>
      <c r="Q51" s="54"/>
      <c r="V51" s="31" t="s">
        <v>55</v>
      </c>
      <c r="W51" s="36">
        <f>(W49*$J$2)*$U49</f>
        <v>2902516</v>
      </c>
      <c r="X51" s="36">
        <f t="shared" ref="X51:AH51" si="69">(X49*$J$2)*$U49</f>
        <v>2902516</v>
      </c>
      <c r="Y51" s="36">
        <f t="shared" si="69"/>
        <v>1451258</v>
      </c>
      <c r="Z51" s="36">
        <f t="shared" si="69"/>
        <v>2902516</v>
      </c>
      <c r="AA51" s="36">
        <f t="shared" si="69"/>
        <v>2902516</v>
      </c>
      <c r="AB51" s="36">
        <f t="shared" si="69"/>
        <v>2902516</v>
      </c>
      <c r="AC51" s="36">
        <f t="shared" si="69"/>
        <v>2902516</v>
      </c>
      <c r="AD51" s="36">
        <f t="shared" si="69"/>
        <v>1451258</v>
      </c>
      <c r="AE51" s="36">
        <f t="shared" si="69"/>
        <v>1451258</v>
      </c>
      <c r="AF51" s="36">
        <f t="shared" si="69"/>
        <v>1451258</v>
      </c>
      <c r="AG51" s="36">
        <f t="shared" si="69"/>
        <v>1451258</v>
      </c>
      <c r="AH51" s="36">
        <f t="shared" si="69"/>
        <v>1451258</v>
      </c>
      <c r="AI51" s="60">
        <f t="shared" si="44"/>
        <v>26122644</v>
      </c>
      <c r="AJ51" s="84"/>
      <c r="AK51" s="54"/>
    </row>
    <row r="52" spans="1:37">
      <c r="B52" t="s">
        <v>59</v>
      </c>
      <c r="C52" s="101">
        <f>'TAMBAT CWD'!C44</f>
        <v>33</v>
      </c>
      <c r="D52" s="101">
        <f>'TAMBAT CWD'!D44</f>
        <v>0</v>
      </c>
      <c r="E52" s="101">
        <f>'TAMBAT CWD'!E44</f>
        <v>238</v>
      </c>
      <c r="F52" s="101">
        <f>'TAMBAT CWD'!F44</f>
        <v>0</v>
      </c>
      <c r="G52" s="101">
        <f>'TAMBAT CWD'!G44</f>
        <v>0</v>
      </c>
      <c r="H52" s="101">
        <f>'TAMBAT CWD'!H44</f>
        <v>0</v>
      </c>
      <c r="I52" s="101">
        <f>'TAMBAT CWD'!I44</f>
        <v>0</v>
      </c>
      <c r="J52" s="101">
        <f>'TAMBAT CWD'!J44</f>
        <v>0</v>
      </c>
      <c r="K52" s="101">
        <f>'TAMBAT CWD'!K44</f>
        <v>0</v>
      </c>
      <c r="L52" s="101">
        <f>'TAMBAT CWD'!L44</f>
        <v>0</v>
      </c>
      <c r="M52" s="101">
        <f>'TAMBAT CWD'!M44</f>
        <v>0</v>
      </c>
      <c r="N52" s="101">
        <f>'TAMBAT CWD'!N44</f>
        <v>35</v>
      </c>
      <c r="O52" s="62">
        <f t="shared" si="20"/>
        <v>306</v>
      </c>
      <c r="Q52" s="102">
        <v>130</v>
      </c>
      <c r="V52" t="s">
        <v>59</v>
      </c>
      <c r="W52" s="96">
        <f>IF(ROUND((C52*$AC$3),)=1,1,IF($AC$3&gt;1,ROUNDUP((C52*$AC$3),),ROUNDDOWN((C52*$AC$3),)))</f>
        <v>33</v>
      </c>
      <c r="X52" s="96">
        <f t="shared" ref="X52" si="70">IF(ROUND((D52*$AC$3),)=1,1,IF($AC$3&gt;1,ROUNDUP((D52*$AC$3),),ROUNDDOWN((D52*$AC$3),)))</f>
        <v>0</v>
      </c>
      <c r="Y52" s="96">
        <v>140</v>
      </c>
      <c r="Z52" s="96">
        <f t="shared" ref="Z52:AH52" si="71">IF(ROUND((F52*$AC$3),)=1,1,IF($AC$3&gt;1,ROUNDUP((F52*$AC$3),),ROUNDDOWN((F52*$AC$3),)))</f>
        <v>0</v>
      </c>
      <c r="AA52" s="96">
        <f t="shared" si="71"/>
        <v>0</v>
      </c>
      <c r="AB52" s="96">
        <f t="shared" si="71"/>
        <v>0</v>
      </c>
      <c r="AC52" s="96">
        <f t="shared" si="71"/>
        <v>0</v>
      </c>
      <c r="AD52" s="96">
        <f t="shared" si="71"/>
        <v>0</v>
      </c>
      <c r="AE52" s="96">
        <f t="shared" si="71"/>
        <v>0</v>
      </c>
      <c r="AF52" s="96">
        <f t="shared" si="71"/>
        <v>0</v>
      </c>
      <c r="AG52" s="96">
        <f t="shared" si="71"/>
        <v>0</v>
      </c>
      <c r="AH52" s="96">
        <f t="shared" si="71"/>
        <v>35</v>
      </c>
      <c r="AI52" s="61">
        <f t="shared" ref="AI52" si="72">SUM(W52:AH52)</f>
        <v>208</v>
      </c>
    </row>
    <row r="53" spans="1:37">
      <c r="C53" s="101">
        <f>'TAMBAT CWD'!C45</f>
        <v>237433</v>
      </c>
      <c r="D53" s="101">
        <f>'TAMBAT CWD'!D45</f>
        <v>0</v>
      </c>
      <c r="E53" s="101">
        <f>'TAMBAT CWD'!E45</f>
        <v>2022277</v>
      </c>
      <c r="F53" s="101">
        <f>'TAMBAT CWD'!F45</f>
        <v>0</v>
      </c>
      <c r="G53" s="101">
        <f>'TAMBAT CWD'!G45</f>
        <v>0</v>
      </c>
      <c r="H53" s="101">
        <f>'TAMBAT CWD'!H45</f>
        <v>0</v>
      </c>
      <c r="I53" s="101">
        <f>'TAMBAT CWD'!I45</f>
        <v>0</v>
      </c>
      <c r="J53" s="101">
        <f>'TAMBAT CWD'!J45</f>
        <v>0</v>
      </c>
      <c r="K53" s="101">
        <f>'TAMBAT CWD'!K45</f>
        <v>0</v>
      </c>
      <c r="L53" s="101">
        <f>'TAMBAT CWD'!L45</f>
        <v>0</v>
      </c>
      <c r="M53" s="101">
        <f>'TAMBAT CWD'!M45</f>
        <v>0</v>
      </c>
      <c r="N53" s="101">
        <f>'TAMBAT CWD'!N45</f>
        <v>251822.87878787878</v>
      </c>
      <c r="O53" s="62">
        <f t="shared" si="20"/>
        <v>2511532.8787878789</v>
      </c>
      <c r="Q53" s="102">
        <v>1068034</v>
      </c>
      <c r="W53" s="96">
        <f>ROUNDUP(C53*$AC$4,)</f>
        <v>237433</v>
      </c>
      <c r="X53" s="96">
        <f t="shared" ref="X53" si="73">ROUNDUP(D53*$AC$4,)</f>
        <v>0</v>
      </c>
      <c r="Y53" s="96">
        <v>1109112.2307692308</v>
      </c>
      <c r="Z53" s="96">
        <f t="shared" ref="Z53:AH53" si="74">ROUNDUP(F53*$AC$4,)</f>
        <v>0</v>
      </c>
      <c r="AA53" s="96">
        <f t="shared" si="74"/>
        <v>0</v>
      </c>
      <c r="AB53" s="96">
        <f t="shared" si="74"/>
        <v>0</v>
      </c>
      <c r="AC53" s="96">
        <f t="shared" si="74"/>
        <v>0</v>
      </c>
      <c r="AD53" s="96">
        <f t="shared" si="74"/>
        <v>0</v>
      </c>
      <c r="AE53" s="96">
        <f t="shared" si="74"/>
        <v>0</v>
      </c>
      <c r="AF53" s="96">
        <f t="shared" si="74"/>
        <v>0</v>
      </c>
      <c r="AG53" s="96">
        <f t="shared" si="74"/>
        <v>0</v>
      </c>
      <c r="AH53" s="96">
        <f t="shared" si="74"/>
        <v>251823</v>
      </c>
      <c r="AI53" s="62">
        <f t="shared" si="44"/>
        <v>1598368.2307692308</v>
      </c>
    </row>
    <row r="54" spans="1:37">
      <c r="A54" s="54">
        <f>$M$1</f>
        <v>1</v>
      </c>
      <c r="B54" s="31" t="s">
        <v>52</v>
      </c>
      <c r="C54" s="36">
        <f>C52*2</f>
        <v>66</v>
      </c>
      <c r="D54" s="36">
        <f t="shared" ref="D54:N55" si="75">D52*2</f>
        <v>0</v>
      </c>
      <c r="E54" s="36">
        <f t="shared" si="75"/>
        <v>476</v>
      </c>
      <c r="F54" s="36">
        <f t="shared" si="75"/>
        <v>0</v>
      </c>
      <c r="G54" s="36">
        <f t="shared" si="75"/>
        <v>0</v>
      </c>
      <c r="H54" s="36">
        <f t="shared" si="75"/>
        <v>0</v>
      </c>
      <c r="I54" s="36">
        <f t="shared" si="75"/>
        <v>0</v>
      </c>
      <c r="J54" s="36">
        <f t="shared" si="75"/>
        <v>0</v>
      </c>
      <c r="K54" s="36">
        <f t="shared" si="75"/>
        <v>0</v>
      </c>
      <c r="L54" s="36">
        <f t="shared" si="75"/>
        <v>0</v>
      </c>
      <c r="M54" s="36">
        <f t="shared" si="75"/>
        <v>0</v>
      </c>
      <c r="N54" s="36">
        <f t="shared" si="75"/>
        <v>70</v>
      </c>
      <c r="O54" s="60">
        <f t="shared" si="20"/>
        <v>612</v>
      </c>
      <c r="U54" s="54">
        <f>$AG$1</f>
        <v>1</v>
      </c>
      <c r="V54" s="31" t="s">
        <v>52</v>
      </c>
      <c r="W54" s="36">
        <f>W52*2</f>
        <v>66</v>
      </c>
      <c r="X54" s="36">
        <f t="shared" ref="X54:AH55" si="76">X52*2</f>
        <v>0</v>
      </c>
      <c r="Y54" s="36">
        <f t="shared" si="76"/>
        <v>280</v>
      </c>
      <c r="Z54" s="36">
        <f t="shared" si="76"/>
        <v>0</v>
      </c>
      <c r="AA54" s="36">
        <f t="shared" si="76"/>
        <v>0</v>
      </c>
      <c r="AB54" s="36">
        <f t="shared" si="76"/>
        <v>0</v>
      </c>
      <c r="AC54" s="36">
        <f t="shared" si="76"/>
        <v>0</v>
      </c>
      <c r="AD54" s="36">
        <f t="shared" si="76"/>
        <v>0</v>
      </c>
      <c r="AE54" s="36">
        <f t="shared" si="76"/>
        <v>0</v>
      </c>
      <c r="AF54" s="36">
        <f t="shared" si="76"/>
        <v>0</v>
      </c>
      <c r="AG54" s="36">
        <f t="shared" si="76"/>
        <v>0</v>
      </c>
      <c r="AH54" s="36">
        <f t="shared" si="76"/>
        <v>70</v>
      </c>
      <c r="AI54" s="60">
        <f t="shared" si="44"/>
        <v>416</v>
      </c>
    </row>
    <row r="55" spans="1:37">
      <c r="A55" s="54">
        <f>$M$2</f>
        <v>1</v>
      </c>
      <c r="B55" s="31" t="s">
        <v>53</v>
      </c>
      <c r="C55" s="36">
        <f>C53*2</f>
        <v>474866</v>
      </c>
      <c r="D55" s="36">
        <f t="shared" si="75"/>
        <v>0</v>
      </c>
      <c r="E55" s="36">
        <f t="shared" si="75"/>
        <v>4044554</v>
      </c>
      <c r="F55" s="36">
        <f t="shared" si="75"/>
        <v>0</v>
      </c>
      <c r="G55" s="36">
        <f t="shared" si="75"/>
        <v>0</v>
      </c>
      <c r="H55" s="36">
        <f t="shared" si="75"/>
        <v>0</v>
      </c>
      <c r="I55" s="36">
        <f t="shared" si="75"/>
        <v>0</v>
      </c>
      <c r="J55" s="36">
        <f t="shared" si="75"/>
        <v>0</v>
      </c>
      <c r="K55" s="36">
        <f t="shared" si="75"/>
        <v>0</v>
      </c>
      <c r="L55" s="36">
        <f t="shared" si="75"/>
        <v>0</v>
      </c>
      <c r="M55" s="36">
        <f t="shared" si="75"/>
        <v>0</v>
      </c>
      <c r="N55" s="36">
        <f t="shared" si="75"/>
        <v>503645.75757575757</v>
      </c>
      <c r="O55" s="60">
        <f t="shared" si="20"/>
        <v>5023065.7575757578</v>
      </c>
      <c r="U55" s="54">
        <f>$AG$2</f>
        <v>1</v>
      </c>
      <c r="V55" s="31" t="s">
        <v>53</v>
      </c>
      <c r="W55" s="36">
        <f>W53*2</f>
        <v>474866</v>
      </c>
      <c r="X55" s="36">
        <f t="shared" si="76"/>
        <v>0</v>
      </c>
      <c r="Y55" s="36">
        <f t="shared" si="76"/>
        <v>2218224.4615384615</v>
      </c>
      <c r="Z55" s="36">
        <f t="shared" si="76"/>
        <v>0</v>
      </c>
      <c r="AA55" s="36">
        <f t="shared" si="76"/>
        <v>0</v>
      </c>
      <c r="AB55" s="36">
        <f t="shared" si="76"/>
        <v>0</v>
      </c>
      <c r="AC55" s="36">
        <f t="shared" si="76"/>
        <v>0</v>
      </c>
      <c r="AD55" s="36">
        <f t="shared" si="76"/>
        <v>0</v>
      </c>
      <c r="AE55" s="36">
        <f t="shared" si="76"/>
        <v>0</v>
      </c>
      <c r="AF55" s="36">
        <f t="shared" si="76"/>
        <v>0</v>
      </c>
      <c r="AG55" s="36">
        <f t="shared" si="76"/>
        <v>0</v>
      </c>
      <c r="AH55" s="36">
        <f t="shared" si="76"/>
        <v>503646</v>
      </c>
      <c r="AI55" s="60">
        <f t="shared" si="44"/>
        <v>3196736.4615384615</v>
      </c>
    </row>
    <row r="56" spans="1:37">
      <c r="B56" s="31" t="s">
        <v>54</v>
      </c>
      <c r="C56" s="36"/>
      <c r="D56" s="36"/>
      <c r="E56" s="36"/>
      <c r="F56" s="36">
        <f t="shared" ref="D56:N56" si="77">(F54*$J$1)*$A54</f>
        <v>0</v>
      </c>
      <c r="G56" s="36">
        <f t="shared" si="77"/>
        <v>0</v>
      </c>
      <c r="H56" s="36">
        <f t="shared" si="77"/>
        <v>0</v>
      </c>
      <c r="I56" s="36">
        <f t="shared" si="77"/>
        <v>0</v>
      </c>
      <c r="J56" s="36">
        <f t="shared" si="77"/>
        <v>0</v>
      </c>
      <c r="K56" s="36">
        <f t="shared" si="77"/>
        <v>0</v>
      </c>
      <c r="L56" s="36">
        <f t="shared" si="77"/>
        <v>0</v>
      </c>
      <c r="M56" s="36">
        <f t="shared" si="77"/>
        <v>0</v>
      </c>
      <c r="N56" s="36"/>
      <c r="O56" s="60">
        <f t="shared" si="20"/>
        <v>0</v>
      </c>
      <c r="P56" s="84"/>
      <c r="Q56" s="66">
        <f>TRAFIK!U21</f>
        <v>0</v>
      </c>
      <c r="V56" s="31" t="s">
        <v>54</v>
      </c>
      <c r="W56" s="36">
        <f>(W54*$J$1)*$U54</f>
        <v>41704080</v>
      </c>
      <c r="X56" s="36">
        <f t="shared" ref="X56:AH56" si="78">(X54*$J$1)*$U54</f>
        <v>0</v>
      </c>
      <c r="Y56" s="36">
        <f t="shared" si="78"/>
        <v>176926400</v>
      </c>
      <c r="Z56" s="36">
        <f t="shared" si="78"/>
        <v>0</v>
      </c>
      <c r="AA56" s="36">
        <f t="shared" si="78"/>
        <v>0</v>
      </c>
      <c r="AB56" s="36">
        <f t="shared" si="78"/>
        <v>0</v>
      </c>
      <c r="AC56" s="36">
        <f t="shared" si="78"/>
        <v>0</v>
      </c>
      <c r="AD56" s="36">
        <f t="shared" si="78"/>
        <v>0</v>
      </c>
      <c r="AE56" s="36">
        <f t="shared" si="78"/>
        <v>0</v>
      </c>
      <c r="AF56" s="36">
        <f t="shared" si="78"/>
        <v>0</v>
      </c>
      <c r="AG56" s="36">
        <f t="shared" si="78"/>
        <v>0</v>
      </c>
      <c r="AH56" s="36">
        <f t="shared" si="78"/>
        <v>44231600</v>
      </c>
      <c r="AI56" s="60">
        <f t="shared" si="44"/>
        <v>262862080</v>
      </c>
      <c r="AJ56" s="84"/>
      <c r="AK56" s="54"/>
    </row>
    <row r="57" spans="1:37">
      <c r="B57" s="31" t="s">
        <v>55</v>
      </c>
      <c r="C57" s="36"/>
      <c r="D57" s="36"/>
      <c r="E57" s="36"/>
      <c r="F57" s="36">
        <f t="shared" ref="D57:N57" si="79">(F55*$J$2)*$A55</f>
        <v>0</v>
      </c>
      <c r="G57" s="36">
        <f t="shared" si="79"/>
        <v>0</v>
      </c>
      <c r="H57" s="36">
        <f t="shared" si="79"/>
        <v>0</v>
      </c>
      <c r="I57" s="36">
        <f t="shared" si="79"/>
        <v>0</v>
      </c>
      <c r="J57" s="36">
        <f t="shared" si="79"/>
        <v>0</v>
      </c>
      <c r="K57" s="36">
        <f t="shared" si="79"/>
        <v>0</v>
      </c>
      <c r="L57" s="36">
        <f t="shared" si="79"/>
        <v>0</v>
      </c>
      <c r="M57" s="36">
        <f t="shared" si="79"/>
        <v>0</v>
      </c>
      <c r="N57" s="36"/>
      <c r="O57" s="60">
        <f t="shared" si="20"/>
        <v>0</v>
      </c>
      <c r="P57" s="81"/>
      <c r="Q57" s="54"/>
      <c r="V57" s="31" t="s">
        <v>55</v>
      </c>
      <c r="W57" s="36">
        <f>(W55*$J$2)*$U55</f>
        <v>85950746</v>
      </c>
      <c r="X57" s="36">
        <f t="shared" ref="X57:AH57" si="80">(X55*$J$2)*$U55</f>
        <v>0</v>
      </c>
      <c r="Y57" s="36">
        <f t="shared" si="80"/>
        <v>401498627.53846151</v>
      </c>
      <c r="Z57" s="36">
        <f t="shared" si="80"/>
        <v>0</v>
      </c>
      <c r="AA57" s="36">
        <f t="shared" si="80"/>
        <v>0</v>
      </c>
      <c r="AB57" s="36">
        <f t="shared" si="80"/>
        <v>0</v>
      </c>
      <c r="AC57" s="36">
        <f t="shared" si="80"/>
        <v>0</v>
      </c>
      <c r="AD57" s="36">
        <f t="shared" si="80"/>
        <v>0</v>
      </c>
      <c r="AE57" s="36">
        <f t="shared" si="80"/>
        <v>0</v>
      </c>
      <c r="AF57" s="36">
        <f t="shared" si="80"/>
        <v>0</v>
      </c>
      <c r="AG57" s="36">
        <f t="shared" si="80"/>
        <v>0</v>
      </c>
      <c r="AH57" s="36">
        <f t="shared" si="80"/>
        <v>91159926</v>
      </c>
      <c r="AI57" s="60">
        <f t="shared" si="44"/>
        <v>578609299.53846145</v>
      </c>
      <c r="AJ57" s="81"/>
      <c r="AK57" s="54"/>
    </row>
    <row r="58" spans="1:37">
      <c r="B58" t="s">
        <v>60</v>
      </c>
      <c r="C58" s="100">
        <f>'TAMBAT CWD'!C48</f>
        <v>8</v>
      </c>
      <c r="D58" s="100">
        <f>'TAMBAT CWD'!D48</f>
        <v>6</v>
      </c>
      <c r="E58" s="100">
        <f>'TAMBAT CWD'!E48</f>
        <v>4</v>
      </c>
      <c r="F58" s="100">
        <f>'TAMBAT CWD'!F48</f>
        <v>11</v>
      </c>
      <c r="G58" s="100">
        <f>'TAMBAT CWD'!G48</f>
        <v>10</v>
      </c>
      <c r="H58" s="100">
        <f>'TAMBAT CWD'!H48</f>
        <v>8</v>
      </c>
      <c r="I58" s="100">
        <f>'TAMBAT CWD'!I48</f>
        <v>9</v>
      </c>
      <c r="J58" s="100">
        <f>'TAMBAT CWD'!J48</f>
        <v>6</v>
      </c>
      <c r="K58" s="100">
        <f>'TAMBAT CWD'!K48</f>
        <v>8</v>
      </c>
      <c r="L58" s="100">
        <f>'TAMBAT CWD'!L48</f>
        <v>8</v>
      </c>
      <c r="M58" s="100">
        <f>'TAMBAT CWD'!M48</f>
        <v>8</v>
      </c>
      <c r="N58" s="100">
        <f>'TAMBAT CWD'!N48</f>
        <v>6</v>
      </c>
      <c r="O58" s="62">
        <f t="shared" si="20"/>
        <v>92</v>
      </c>
      <c r="V58" t="s">
        <v>60</v>
      </c>
      <c r="W58" s="96">
        <f>IF(ROUND((C58*$AC$3),)=1,1,IF($AC$3&gt;1,ROUNDUP((C58*$AC$3),),ROUNDDOWN((C58*$AC$3),)))</f>
        <v>8</v>
      </c>
      <c r="X58" s="96">
        <f t="shared" ref="X58" si="81">IF(ROUND((D58*$AC$3),)=1,1,IF($AC$3&gt;1,ROUNDUP((D58*$AC$3),),ROUNDDOWN((D58*$AC$3),)))</f>
        <v>6</v>
      </c>
      <c r="Y58" s="96">
        <v>24</v>
      </c>
      <c r="Z58" s="96">
        <f t="shared" ref="Z58:AB58" si="82">IF(ROUND((F58*$AC$3),)=1,1,IF($AC$3&gt;1,ROUNDUP((F58*$AC$3),),ROUNDDOWN((F58*$AC$3),)))</f>
        <v>11</v>
      </c>
      <c r="AA58" s="96">
        <f t="shared" si="82"/>
        <v>10</v>
      </c>
      <c r="AB58" s="96">
        <f t="shared" si="82"/>
        <v>8</v>
      </c>
      <c r="AC58" s="96">
        <v>34</v>
      </c>
      <c r="AD58" s="96">
        <v>38</v>
      </c>
      <c r="AE58" s="96">
        <v>34</v>
      </c>
      <c r="AF58" s="96">
        <v>36</v>
      </c>
      <c r="AG58" s="96">
        <v>32</v>
      </c>
      <c r="AH58" s="96">
        <v>32</v>
      </c>
      <c r="AI58" s="61">
        <f>SUM(W58:AH58)</f>
        <v>273</v>
      </c>
    </row>
    <row r="59" spans="1:37">
      <c r="C59" s="100">
        <f>'TAMBAT CWD'!C49</f>
        <v>30163</v>
      </c>
      <c r="D59" s="100">
        <f>'TAMBAT CWD'!D49</f>
        <v>24047</v>
      </c>
      <c r="E59" s="100">
        <f>'TAMBAT CWD'!E49</f>
        <v>14317</v>
      </c>
      <c r="F59" s="100">
        <f>'TAMBAT CWD'!F49</f>
        <v>39136</v>
      </c>
      <c r="G59" s="100">
        <f>'TAMBAT CWD'!G49</f>
        <v>37703.75</v>
      </c>
      <c r="H59" s="100">
        <f>'TAMBAT CWD'!H49</f>
        <v>32062.666666666668</v>
      </c>
      <c r="I59" s="100">
        <f>'TAMBAT CWD'!I49</f>
        <v>28975.5</v>
      </c>
      <c r="J59" s="100">
        <f>'TAMBAT CWD'!J49</f>
        <v>21346.909090909092</v>
      </c>
      <c r="K59" s="100">
        <f>'TAMBAT CWD'!K49</f>
        <v>30163</v>
      </c>
      <c r="L59" s="100">
        <f>'TAMBAT CWD'!L49</f>
        <v>32062.666666666668</v>
      </c>
      <c r="M59" s="100">
        <f>'TAMBAT CWD'!M49</f>
        <v>32062.666666666668</v>
      </c>
      <c r="N59" s="100">
        <f>'TAMBAT CWD'!N49</f>
        <v>21346.909090909092</v>
      </c>
      <c r="O59" s="62">
        <f t="shared" si="20"/>
        <v>343387.06818181823</v>
      </c>
      <c r="Q59">
        <v>277.2</v>
      </c>
      <c r="R59" s="39">
        <f>N59/N58</f>
        <v>3557.818181818182</v>
      </c>
      <c r="W59" s="96">
        <v>32226</v>
      </c>
      <c r="X59" s="96">
        <v>33262</v>
      </c>
      <c r="Y59" s="96">
        <v>48377</v>
      </c>
      <c r="Z59" s="96">
        <v>36073</v>
      </c>
      <c r="AA59" s="96">
        <v>35858</v>
      </c>
      <c r="AB59" s="96">
        <v>35914</v>
      </c>
      <c r="AC59" s="96">
        <v>80144</v>
      </c>
      <c r="AD59" s="96">
        <v>90060</v>
      </c>
      <c r="AE59" s="96">
        <v>80144</v>
      </c>
      <c r="AF59" s="96">
        <v>85102</v>
      </c>
      <c r="AG59" s="96">
        <v>75186</v>
      </c>
      <c r="AH59" s="96">
        <v>75186</v>
      </c>
      <c r="AI59" s="62">
        <f t="shared" si="44"/>
        <v>707532</v>
      </c>
    </row>
    <row r="60" spans="1:37">
      <c r="A60" s="54">
        <f>$M$1</f>
        <v>1</v>
      </c>
      <c r="B60" s="31" t="s">
        <v>52</v>
      </c>
      <c r="C60" s="32">
        <f t="shared" ref="C60:N61" si="83">C58*$C$2</f>
        <v>16</v>
      </c>
      <c r="D60" s="32">
        <f t="shared" si="83"/>
        <v>12</v>
      </c>
      <c r="E60" s="32">
        <f t="shared" si="83"/>
        <v>8</v>
      </c>
      <c r="F60" s="32">
        <f t="shared" si="83"/>
        <v>22</v>
      </c>
      <c r="G60" s="32">
        <f t="shared" si="83"/>
        <v>20</v>
      </c>
      <c r="H60" s="32">
        <f t="shared" si="83"/>
        <v>16</v>
      </c>
      <c r="I60" s="32">
        <f t="shared" si="83"/>
        <v>18</v>
      </c>
      <c r="J60" s="32">
        <f t="shared" si="83"/>
        <v>12</v>
      </c>
      <c r="K60" s="32">
        <f t="shared" si="83"/>
        <v>16</v>
      </c>
      <c r="L60" s="32">
        <f t="shared" si="83"/>
        <v>16</v>
      </c>
      <c r="M60" s="32">
        <f t="shared" si="83"/>
        <v>16</v>
      </c>
      <c r="N60" s="32">
        <f t="shared" si="83"/>
        <v>12</v>
      </c>
      <c r="O60" s="60">
        <f t="shared" si="20"/>
        <v>184</v>
      </c>
      <c r="Q60">
        <v>641120.4</v>
      </c>
      <c r="U60" s="54">
        <f>$AG$1</f>
        <v>1</v>
      </c>
      <c r="V60" s="31" t="s">
        <v>52</v>
      </c>
      <c r="W60" s="32">
        <f t="shared" ref="W60:AH61" si="84">W58*$C$2</f>
        <v>16</v>
      </c>
      <c r="X60" s="32">
        <f t="shared" si="84"/>
        <v>12</v>
      </c>
      <c r="Y60" s="32">
        <f t="shared" si="84"/>
        <v>48</v>
      </c>
      <c r="Z60" s="32">
        <f t="shared" si="84"/>
        <v>22</v>
      </c>
      <c r="AA60" s="32">
        <f t="shared" si="84"/>
        <v>20</v>
      </c>
      <c r="AB60" s="32">
        <f t="shared" si="84"/>
        <v>16</v>
      </c>
      <c r="AC60" s="32">
        <f t="shared" si="84"/>
        <v>68</v>
      </c>
      <c r="AD60" s="32">
        <f t="shared" si="84"/>
        <v>76</v>
      </c>
      <c r="AE60" s="32">
        <f t="shared" si="84"/>
        <v>68</v>
      </c>
      <c r="AF60" s="32">
        <f t="shared" si="84"/>
        <v>72</v>
      </c>
      <c r="AG60" s="32">
        <f t="shared" si="84"/>
        <v>64</v>
      </c>
      <c r="AH60" s="32">
        <f t="shared" si="84"/>
        <v>64</v>
      </c>
      <c r="AI60" s="60">
        <f t="shared" si="44"/>
        <v>546</v>
      </c>
    </row>
    <row r="61" spans="1:37">
      <c r="A61" s="54">
        <f>$M$2</f>
        <v>1</v>
      </c>
      <c r="B61" s="31" t="s">
        <v>53</v>
      </c>
      <c r="C61" s="32">
        <f t="shared" si="83"/>
        <v>60326</v>
      </c>
      <c r="D61" s="32">
        <f t="shared" si="83"/>
        <v>48094</v>
      </c>
      <c r="E61" s="32">
        <f t="shared" si="83"/>
        <v>28634</v>
      </c>
      <c r="F61" s="32">
        <f t="shared" si="83"/>
        <v>78272</v>
      </c>
      <c r="G61" s="32">
        <f t="shared" si="83"/>
        <v>75407.5</v>
      </c>
      <c r="H61" s="32">
        <f t="shared" si="83"/>
        <v>64125.333333333336</v>
      </c>
      <c r="I61" s="32">
        <f t="shared" si="83"/>
        <v>57951</v>
      </c>
      <c r="J61" s="32">
        <f t="shared" si="83"/>
        <v>42693.818181818184</v>
      </c>
      <c r="K61" s="32">
        <f t="shared" si="83"/>
        <v>60326</v>
      </c>
      <c r="L61" s="32">
        <f t="shared" si="83"/>
        <v>64125.333333333336</v>
      </c>
      <c r="M61" s="32">
        <f t="shared" si="83"/>
        <v>64125.333333333336</v>
      </c>
      <c r="N61" s="32">
        <f t="shared" si="83"/>
        <v>42693.818181818184</v>
      </c>
      <c r="O61" s="60">
        <f t="shared" si="20"/>
        <v>686774.13636363647</v>
      </c>
      <c r="U61" s="54">
        <f>$AG$2</f>
        <v>1</v>
      </c>
      <c r="V61" s="31" t="s">
        <v>53</v>
      </c>
      <c r="W61" s="32">
        <f t="shared" si="84"/>
        <v>64452</v>
      </c>
      <c r="X61" s="32">
        <f t="shared" si="84"/>
        <v>66524</v>
      </c>
      <c r="Y61" s="32">
        <f t="shared" si="84"/>
        <v>96754</v>
      </c>
      <c r="Z61" s="32">
        <f t="shared" si="84"/>
        <v>72146</v>
      </c>
      <c r="AA61" s="32">
        <f t="shared" si="84"/>
        <v>71716</v>
      </c>
      <c r="AB61" s="32">
        <f t="shared" si="84"/>
        <v>71828</v>
      </c>
      <c r="AC61" s="32">
        <f t="shared" si="84"/>
        <v>160288</v>
      </c>
      <c r="AD61" s="32">
        <f t="shared" si="84"/>
        <v>180120</v>
      </c>
      <c r="AE61" s="32">
        <f t="shared" si="84"/>
        <v>160288</v>
      </c>
      <c r="AF61" s="32">
        <f t="shared" si="84"/>
        <v>170204</v>
      </c>
      <c r="AG61" s="32">
        <f t="shared" si="84"/>
        <v>150372</v>
      </c>
      <c r="AH61" s="32">
        <f t="shared" si="84"/>
        <v>150372</v>
      </c>
      <c r="AI61" s="60">
        <f t="shared" si="44"/>
        <v>1415064</v>
      </c>
    </row>
    <row r="62" spans="1:37">
      <c r="B62" s="31" t="s">
        <v>54</v>
      </c>
      <c r="C62" s="36">
        <f>(C60*$J$1)*$A60</f>
        <v>10110080</v>
      </c>
      <c r="D62" s="36">
        <f t="shared" ref="D62:N62" si="85">(D60*$J$1)*$A60</f>
        <v>7582560</v>
      </c>
      <c r="E62" s="36">
        <f t="shared" si="85"/>
        <v>5055040</v>
      </c>
      <c r="F62" s="36">
        <f t="shared" si="85"/>
        <v>13901360</v>
      </c>
      <c r="G62" s="36">
        <f t="shared" si="85"/>
        <v>12637600</v>
      </c>
      <c r="H62" s="36">
        <f t="shared" si="85"/>
        <v>10110080</v>
      </c>
      <c r="I62" s="36">
        <f t="shared" si="85"/>
        <v>11373840</v>
      </c>
      <c r="J62" s="36">
        <f t="shared" si="85"/>
        <v>7582560</v>
      </c>
      <c r="K62" s="36">
        <f t="shared" si="85"/>
        <v>10110080</v>
      </c>
      <c r="L62" s="36">
        <f t="shared" si="85"/>
        <v>10110080</v>
      </c>
      <c r="M62" s="36">
        <f t="shared" si="85"/>
        <v>10110080</v>
      </c>
      <c r="N62" s="36">
        <f t="shared" si="85"/>
        <v>7582560</v>
      </c>
      <c r="O62" s="60">
        <f t="shared" si="20"/>
        <v>116265920</v>
      </c>
      <c r="Q62" s="54"/>
      <c r="V62" s="31" t="s">
        <v>54</v>
      </c>
      <c r="W62" s="36">
        <f>(W60*$J$1)*$U60</f>
        <v>10110080</v>
      </c>
      <c r="X62" s="36">
        <f t="shared" ref="X62:AH62" si="86">(X60*$J$1)*$U60</f>
        <v>7582560</v>
      </c>
      <c r="Y62" s="36">
        <f t="shared" si="86"/>
        <v>30330240</v>
      </c>
      <c r="Z62" s="36">
        <f t="shared" si="86"/>
        <v>13901360</v>
      </c>
      <c r="AA62" s="36">
        <f t="shared" si="86"/>
        <v>12637600</v>
      </c>
      <c r="AB62" s="36">
        <f t="shared" si="86"/>
        <v>10110080</v>
      </c>
      <c r="AC62" s="36">
        <f t="shared" si="86"/>
        <v>42967840</v>
      </c>
      <c r="AD62" s="36">
        <f t="shared" si="86"/>
        <v>48022880</v>
      </c>
      <c r="AE62" s="36">
        <f t="shared" si="86"/>
        <v>42967840</v>
      </c>
      <c r="AF62" s="36">
        <f t="shared" si="86"/>
        <v>45495360</v>
      </c>
      <c r="AG62" s="36">
        <f t="shared" si="86"/>
        <v>40440320</v>
      </c>
      <c r="AH62" s="36">
        <f t="shared" si="86"/>
        <v>40440320</v>
      </c>
      <c r="AI62" s="60">
        <f t="shared" si="44"/>
        <v>345006480</v>
      </c>
      <c r="AK62" s="54"/>
    </row>
    <row r="63" spans="1:37">
      <c r="B63" s="31" t="s">
        <v>55</v>
      </c>
      <c r="C63" s="36">
        <f>(C61*$J$2)*$A61</f>
        <v>10919006</v>
      </c>
      <c r="D63" s="36">
        <f t="shared" ref="D63:N63" si="87">(D61*$J$2)*$A61</f>
        <v>8705014</v>
      </c>
      <c r="E63" s="36">
        <f t="shared" si="87"/>
        <v>5182754</v>
      </c>
      <c r="F63" s="36">
        <f t="shared" si="87"/>
        <v>14167232</v>
      </c>
      <c r="G63" s="36">
        <f t="shared" si="87"/>
        <v>13648757.5</v>
      </c>
      <c r="H63" s="36">
        <f t="shared" si="87"/>
        <v>11606685.333333334</v>
      </c>
      <c r="I63" s="36">
        <f t="shared" si="87"/>
        <v>10489131</v>
      </c>
      <c r="J63" s="36">
        <f t="shared" si="87"/>
        <v>7727581.0909090908</v>
      </c>
      <c r="K63" s="36">
        <f t="shared" si="87"/>
        <v>10919006</v>
      </c>
      <c r="L63" s="36">
        <f t="shared" si="87"/>
        <v>11606685.333333334</v>
      </c>
      <c r="M63" s="36">
        <f t="shared" si="87"/>
        <v>11606685.333333334</v>
      </c>
      <c r="N63" s="36">
        <f t="shared" si="87"/>
        <v>7727581.0909090908</v>
      </c>
      <c r="O63" s="60">
        <f t="shared" si="20"/>
        <v>124306118.68181819</v>
      </c>
      <c r="Q63" s="54"/>
      <c r="V63" s="31" t="s">
        <v>55</v>
      </c>
      <c r="W63" s="36">
        <f>(W61*$J$2)*$U61</f>
        <v>11665812</v>
      </c>
      <c r="X63" s="36">
        <f t="shared" ref="X63:AH63" si="88">(X61*$J$2)*$U61</f>
        <v>12040844</v>
      </c>
      <c r="Y63" s="36">
        <f t="shared" si="88"/>
        <v>17512474</v>
      </c>
      <c r="Z63" s="36">
        <f t="shared" si="88"/>
        <v>13058426</v>
      </c>
      <c r="AA63" s="36">
        <f t="shared" si="88"/>
        <v>12980596</v>
      </c>
      <c r="AB63" s="36">
        <f t="shared" si="88"/>
        <v>13000868</v>
      </c>
      <c r="AC63" s="36">
        <f t="shared" si="88"/>
        <v>29012128</v>
      </c>
      <c r="AD63" s="36">
        <f t="shared" si="88"/>
        <v>32601720</v>
      </c>
      <c r="AE63" s="36">
        <f t="shared" si="88"/>
        <v>29012128</v>
      </c>
      <c r="AF63" s="36">
        <f t="shared" si="88"/>
        <v>30806924</v>
      </c>
      <c r="AG63" s="36">
        <f t="shared" si="88"/>
        <v>27217332</v>
      </c>
      <c r="AH63" s="36">
        <f t="shared" si="88"/>
        <v>27217332</v>
      </c>
      <c r="AI63" s="60">
        <f t="shared" si="44"/>
        <v>256126584</v>
      </c>
      <c r="AK63" s="54"/>
    </row>
    <row r="64" spans="1:37">
      <c r="B64" t="s">
        <v>61</v>
      </c>
      <c r="C64" s="100">
        <f>'TAMBAT CWD'!C52</f>
        <v>1</v>
      </c>
      <c r="D64" s="100">
        <f>'TAMBAT CWD'!D52</f>
        <v>0</v>
      </c>
      <c r="E64" s="100">
        <f>'TAMBAT CWD'!E52</f>
        <v>0</v>
      </c>
      <c r="F64" s="100">
        <f>'TAMBAT CWD'!F52</f>
        <v>2</v>
      </c>
      <c r="G64" s="100">
        <f>'TAMBAT CWD'!G52</f>
        <v>0</v>
      </c>
      <c r="H64" s="100">
        <f>'TAMBAT CWD'!H52</f>
        <v>0</v>
      </c>
      <c r="I64" s="100">
        <f>'TAMBAT CWD'!I52</f>
        <v>1</v>
      </c>
      <c r="J64" s="100">
        <f>'TAMBAT CWD'!J52</f>
        <v>0</v>
      </c>
      <c r="K64" s="100">
        <f>'TAMBAT CWD'!K52</f>
        <v>0</v>
      </c>
      <c r="L64" s="100">
        <f>'TAMBAT CWD'!L52</f>
        <v>2</v>
      </c>
      <c r="M64" s="100">
        <f>'TAMBAT CWD'!M52</f>
        <v>0</v>
      </c>
      <c r="N64" s="100">
        <f>'TAMBAT CWD'!N52</f>
        <v>0</v>
      </c>
      <c r="O64" s="62">
        <f t="shared" si="20"/>
        <v>6</v>
      </c>
      <c r="Q64" s="31">
        <f>277/12</f>
        <v>23.083333333333332</v>
      </c>
      <c r="V64" t="s">
        <v>61</v>
      </c>
      <c r="W64" s="96">
        <f>IF(ROUND((C64*$AC$3),)=1,1,IF($AC$3&gt;1,ROUNDUP((C64*$AC$3),),ROUNDDOWN((C64*$AC$3),)))</f>
        <v>1</v>
      </c>
      <c r="X64" s="96">
        <f t="shared" ref="X64:AH64" si="89">IF(ROUND((D64*$AC$3),)=1,1,IF($AC$3&gt;1,ROUNDUP((D64*$AC$3),),ROUNDDOWN((D64*$AC$3),)))</f>
        <v>0</v>
      </c>
      <c r="Y64" s="96">
        <f t="shared" si="89"/>
        <v>0</v>
      </c>
      <c r="Z64" s="96">
        <f t="shared" si="89"/>
        <v>2</v>
      </c>
      <c r="AA64" s="96">
        <f t="shared" si="89"/>
        <v>0</v>
      </c>
      <c r="AB64" s="96">
        <f t="shared" si="89"/>
        <v>0</v>
      </c>
      <c r="AC64" s="96">
        <f t="shared" si="89"/>
        <v>1</v>
      </c>
      <c r="AD64" s="96">
        <f t="shared" si="89"/>
        <v>0</v>
      </c>
      <c r="AE64" s="96">
        <f t="shared" si="89"/>
        <v>0</v>
      </c>
      <c r="AF64" s="96">
        <f t="shared" si="89"/>
        <v>2</v>
      </c>
      <c r="AG64" s="96">
        <f t="shared" si="89"/>
        <v>0</v>
      </c>
      <c r="AH64" s="96">
        <f t="shared" si="89"/>
        <v>0</v>
      </c>
      <c r="AI64" s="61">
        <f t="shared" ref="AI64" si="90">SUM(W64:AH64)</f>
        <v>6</v>
      </c>
      <c r="AK64" s="31"/>
    </row>
    <row r="65" spans="1:38">
      <c r="C65" s="100">
        <f>'TAMBAT CWD'!C53</f>
        <v>1833</v>
      </c>
      <c r="D65" s="100">
        <f>'TAMBAT CWD'!D53</f>
        <v>0</v>
      </c>
      <c r="E65" s="100">
        <f>'TAMBAT CWD'!E53</f>
        <v>0</v>
      </c>
      <c r="F65" s="100">
        <f>'TAMBAT CWD'!F53</f>
        <v>6863</v>
      </c>
      <c r="G65" s="100">
        <f>'TAMBAT CWD'!G53</f>
        <v>0</v>
      </c>
      <c r="H65" s="100">
        <f>'TAMBAT CWD'!H53</f>
        <v>0</v>
      </c>
      <c r="I65" s="100">
        <f>'TAMBAT CWD'!I53</f>
        <v>1833</v>
      </c>
      <c r="J65" s="100">
        <f>'TAMBAT CWD'!J53</f>
        <v>0</v>
      </c>
      <c r="K65" s="100">
        <f>'TAMBAT CWD'!K53</f>
        <v>0</v>
      </c>
      <c r="L65" s="100">
        <f>'TAMBAT CWD'!L53</f>
        <v>6863</v>
      </c>
      <c r="M65" s="100">
        <f>'TAMBAT CWD'!M53</f>
        <v>0</v>
      </c>
      <c r="N65" s="100">
        <f>'TAMBAT CWD'!N53</f>
        <v>0</v>
      </c>
      <c r="O65" s="62">
        <f t="shared" si="20"/>
        <v>17392</v>
      </c>
      <c r="Q65">
        <f>Q60/6</f>
        <v>106853.40000000001</v>
      </c>
      <c r="W65" s="96">
        <f>ROUNDUP(C65*$AC$4,)</f>
        <v>1833</v>
      </c>
      <c r="X65" s="96">
        <f t="shared" ref="X65:AH65" si="91">ROUNDUP(D65*$AC$4,)</f>
        <v>0</v>
      </c>
      <c r="Y65" s="96">
        <f t="shared" si="91"/>
        <v>0</v>
      </c>
      <c r="Z65" s="96">
        <f t="shared" si="91"/>
        <v>6863</v>
      </c>
      <c r="AA65" s="96">
        <f t="shared" si="91"/>
        <v>0</v>
      </c>
      <c r="AB65" s="96">
        <f t="shared" si="91"/>
        <v>0</v>
      </c>
      <c r="AC65" s="96">
        <f t="shared" si="91"/>
        <v>1833</v>
      </c>
      <c r="AD65" s="96">
        <f t="shared" si="91"/>
        <v>0</v>
      </c>
      <c r="AE65" s="96">
        <f t="shared" si="91"/>
        <v>0</v>
      </c>
      <c r="AF65" s="96">
        <f t="shared" si="91"/>
        <v>6863</v>
      </c>
      <c r="AG65" s="96">
        <f t="shared" si="91"/>
        <v>0</v>
      </c>
      <c r="AH65" s="96">
        <f t="shared" si="91"/>
        <v>0</v>
      </c>
      <c r="AI65" s="62">
        <f t="shared" si="44"/>
        <v>17392</v>
      </c>
    </row>
    <row r="66" spans="1:38">
      <c r="A66" s="54">
        <f>$M$1</f>
        <v>1</v>
      </c>
      <c r="B66" s="31" t="s">
        <v>52</v>
      </c>
      <c r="C66" s="32">
        <f t="shared" ref="C66:N67" si="92">C64*$C$2</f>
        <v>2</v>
      </c>
      <c r="D66" s="32">
        <f t="shared" si="92"/>
        <v>0</v>
      </c>
      <c r="E66" s="32">
        <f t="shared" si="92"/>
        <v>0</v>
      </c>
      <c r="F66" s="32">
        <f t="shared" si="92"/>
        <v>4</v>
      </c>
      <c r="G66" s="32">
        <f t="shared" si="92"/>
        <v>0</v>
      </c>
      <c r="H66" s="32">
        <f t="shared" si="92"/>
        <v>0</v>
      </c>
      <c r="I66" s="32">
        <f t="shared" si="92"/>
        <v>2</v>
      </c>
      <c r="J66" s="32">
        <f t="shared" si="92"/>
        <v>0</v>
      </c>
      <c r="K66" s="32">
        <f t="shared" si="92"/>
        <v>0</v>
      </c>
      <c r="L66" s="32">
        <f t="shared" si="92"/>
        <v>4</v>
      </c>
      <c r="M66" s="32">
        <f t="shared" si="92"/>
        <v>0</v>
      </c>
      <c r="N66" s="32">
        <f t="shared" si="92"/>
        <v>0</v>
      </c>
      <c r="O66" s="60">
        <f t="shared" si="20"/>
        <v>12</v>
      </c>
      <c r="Q66" s="31"/>
      <c r="U66" s="54">
        <f>$AG$1</f>
        <v>1</v>
      </c>
      <c r="V66" s="31" t="s">
        <v>52</v>
      </c>
      <c r="W66" s="32">
        <f t="shared" ref="W66:AH67" si="93">W64*$C$2</f>
        <v>2</v>
      </c>
      <c r="X66" s="32">
        <f t="shared" si="93"/>
        <v>0</v>
      </c>
      <c r="Y66" s="32">
        <f t="shared" si="93"/>
        <v>0</v>
      </c>
      <c r="Z66" s="32">
        <f t="shared" si="93"/>
        <v>4</v>
      </c>
      <c r="AA66" s="32">
        <f t="shared" si="93"/>
        <v>0</v>
      </c>
      <c r="AB66" s="32">
        <f t="shared" si="93"/>
        <v>0</v>
      </c>
      <c r="AC66" s="32">
        <f t="shared" si="93"/>
        <v>2</v>
      </c>
      <c r="AD66" s="32">
        <f t="shared" si="93"/>
        <v>0</v>
      </c>
      <c r="AE66" s="32">
        <f t="shared" si="93"/>
        <v>0</v>
      </c>
      <c r="AF66" s="32">
        <f t="shared" si="93"/>
        <v>4</v>
      </c>
      <c r="AG66" s="32">
        <f t="shared" si="93"/>
        <v>0</v>
      </c>
      <c r="AH66" s="32">
        <f t="shared" si="93"/>
        <v>0</v>
      </c>
      <c r="AI66" s="60">
        <f t="shared" si="44"/>
        <v>12</v>
      </c>
      <c r="AK66" s="31"/>
    </row>
    <row r="67" spans="1:38">
      <c r="A67" s="54">
        <f>$M$2</f>
        <v>1</v>
      </c>
      <c r="B67" s="31" t="s">
        <v>53</v>
      </c>
      <c r="C67" s="32">
        <f t="shared" si="92"/>
        <v>3666</v>
      </c>
      <c r="D67" s="32">
        <f t="shared" si="92"/>
        <v>0</v>
      </c>
      <c r="E67" s="32">
        <f t="shared" si="92"/>
        <v>0</v>
      </c>
      <c r="F67" s="32">
        <f t="shared" si="92"/>
        <v>13726</v>
      </c>
      <c r="G67" s="32">
        <f t="shared" si="92"/>
        <v>0</v>
      </c>
      <c r="H67" s="32">
        <f t="shared" si="92"/>
        <v>0</v>
      </c>
      <c r="I67" s="32">
        <f t="shared" si="92"/>
        <v>3666</v>
      </c>
      <c r="J67" s="32">
        <f t="shared" si="92"/>
        <v>0</v>
      </c>
      <c r="K67" s="32">
        <f t="shared" si="92"/>
        <v>0</v>
      </c>
      <c r="L67" s="32">
        <f t="shared" si="92"/>
        <v>13726</v>
      </c>
      <c r="M67" s="32">
        <f t="shared" si="92"/>
        <v>0</v>
      </c>
      <c r="N67" s="32">
        <f t="shared" si="92"/>
        <v>0</v>
      </c>
      <c r="O67" s="60">
        <f t="shared" si="20"/>
        <v>34784</v>
      </c>
      <c r="U67" s="54">
        <f>$AG$2</f>
        <v>1</v>
      </c>
      <c r="V67" s="31" t="s">
        <v>53</v>
      </c>
      <c r="W67" s="32">
        <f t="shared" si="93"/>
        <v>3666</v>
      </c>
      <c r="X67" s="32">
        <f t="shared" si="93"/>
        <v>0</v>
      </c>
      <c r="Y67" s="32">
        <f t="shared" si="93"/>
        <v>0</v>
      </c>
      <c r="Z67" s="32">
        <f t="shared" si="93"/>
        <v>13726</v>
      </c>
      <c r="AA67" s="32">
        <f t="shared" si="93"/>
        <v>0</v>
      </c>
      <c r="AB67" s="32">
        <f t="shared" si="93"/>
        <v>0</v>
      </c>
      <c r="AC67" s="32">
        <f t="shared" si="93"/>
        <v>3666</v>
      </c>
      <c r="AD67" s="32">
        <f t="shared" si="93"/>
        <v>0</v>
      </c>
      <c r="AE67" s="32">
        <f t="shared" si="93"/>
        <v>0</v>
      </c>
      <c r="AF67" s="32">
        <f t="shared" si="93"/>
        <v>13726</v>
      </c>
      <c r="AG67" s="32">
        <f t="shared" si="93"/>
        <v>0</v>
      </c>
      <c r="AH67" s="32">
        <f t="shared" si="93"/>
        <v>0</v>
      </c>
      <c r="AI67" s="60">
        <f t="shared" si="44"/>
        <v>34784</v>
      </c>
    </row>
    <row r="68" spans="1:38">
      <c r="B68" s="31" t="s">
        <v>54</v>
      </c>
      <c r="C68" s="36">
        <f>(C66*$J$1)*$A66</f>
        <v>1263760</v>
      </c>
      <c r="D68" s="36">
        <f t="shared" ref="D68:N68" si="94">(D66*$J$1)*$A66</f>
        <v>0</v>
      </c>
      <c r="E68" s="36">
        <f t="shared" si="94"/>
        <v>0</v>
      </c>
      <c r="F68" s="36">
        <f t="shared" si="94"/>
        <v>2527520</v>
      </c>
      <c r="G68" s="36">
        <f t="shared" si="94"/>
        <v>0</v>
      </c>
      <c r="H68" s="36">
        <f t="shared" si="94"/>
        <v>0</v>
      </c>
      <c r="I68" s="36">
        <f t="shared" si="94"/>
        <v>1263760</v>
      </c>
      <c r="J68" s="36">
        <f t="shared" si="94"/>
        <v>0</v>
      </c>
      <c r="K68" s="36">
        <f t="shared" si="94"/>
        <v>0</v>
      </c>
      <c r="L68" s="36">
        <f t="shared" si="94"/>
        <v>2527520</v>
      </c>
      <c r="M68" s="36">
        <f t="shared" si="94"/>
        <v>0</v>
      </c>
      <c r="N68" s="36">
        <f t="shared" si="94"/>
        <v>0</v>
      </c>
      <c r="O68" s="60">
        <f t="shared" si="20"/>
        <v>7582560</v>
      </c>
      <c r="Q68" s="54"/>
      <c r="V68" s="31" t="s">
        <v>54</v>
      </c>
      <c r="W68" s="36">
        <f>(W66*$J$1)*$U66</f>
        <v>1263760</v>
      </c>
      <c r="X68" s="36">
        <f t="shared" ref="X68:AH68" si="95">(X66*$J$1)*$U66</f>
        <v>0</v>
      </c>
      <c r="Y68" s="36">
        <f t="shared" si="95"/>
        <v>0</v>
      </c>
      <c r="Z68" s="36">
        <f t="shared" si="95"/>
        <v>2527520</v>
      </c>
      <c r="AA68" s="36">
        <f t="shared" si="95"/>
        <v>0</v>
      </c>
      <c r="AB68" s="36">
        <f t="shared" si="95"/>
        <v>0</v>
      </c>
      <c r="AC68" s="36">
        <f t="shared" si="95"/>
        <v>1263760</v>
      </c>
      <c r="AD68" s="36">
        <f t="shared" si="95"/>
        <v>0</v>
      </c>
      <c r="AE68" s="36">
        <f t="shared" si="95"/>
        <v>0</v>
      </c>
      <c r="AF68" s="36">
        <f t="shared" si="95"/>
        <v>2527520</v>
      </c>
      <c r="AG68" s="36">
        <f t="shared" si="95"/>
        <v>0</v>
      </c>
      <c r="AH68" s="36">
        <f t="shared" si="95"/>
        <v>0</v>
      </c>
      <c r="AI68" s="60">
        <f t="shared" si="44"/>
        <v>7582560</v>
      </c>
      <c r="AK68" s="54"/>
    </row>
    <row r="69" spans="1:38">
      <c r="B69" s="31" t="s">
        <v>55</v>
      </c>
      <c r="C69" s="36">
        <f>(C67*$J$2)*$A67</f>
        <v>663546</v>
      </c>
      <c r="D69" s="36">
        <f t="shared" ref="D69:N69" si="96">(D67*$J$2)*$A67</f>
        <v>0</v>
      </c>
      <c r="E69" s="36">
        <f t="shared" si="96"/>
        <v>0</v>
      </c>
      <c r="F69" s="36">
        <f t="shared" si="96"/>
        <v>2484406</v>
      </c>
      <c r="G69" s="36">
        <f t="shared" si="96"/>
        <v>0</v>
      </c>
      <c r="H69" s="36">
        <f t="shared" si="96"/>
        <v>0</v>
      </c>
      <c r="I69" s="36">
        <f t="shared" si="96"/>
        <v>663546</v>
      </c>
      <c r="J69" s="36">
        <f t="shared" si="96"/>
        <v>0</v>
      </c>
      <c r="K69" s="36">
        <f t="shared" si="96"/>
        <v>0</v>
      </c>
      <c r="L69" s="36">
        <f t="shared" si="96"/>
        <v>2484406</v>
      </c>
      <c r="M69" s="36">
        <f t="shared" si="96"/>
        <v>0</v>
      </c>
      <c r="N69" s="36">
        <f t="shared" si="96"/>
        <v>0</v>
      </c>
      <c r="O69" s="60">
        <f t="shared" si="20"/>
        <v>6295904</v>
      </c>
      <c r="Q69" s="54"/>
      <c r="V69" s="31" t="s">
        <v>55</v>
      </c>
      <c r="W69" s="36">
        <f>(W67*$J$2)*$U67</f>
        <v>663546</v>
      </c>
      <c r="X69" s="36">
        <f t="shared" ref="X69:AH69" si="97">(X67*$J$2)*$U67</f>
        <v>0</v>
      </c>
      <c r="Y69" s="36">
        <f t="shared" si="97"/>
        <v>0</v>
      </c>
      <c r="Z69" s="36">
        <f t="shared" si="97"/>
        <v>2484406</v>
      </c>
      <c r="AA69" s="36">
        <f t="shared" si="97"/>
        <v>0</v>
      </c>
      <c r="AB69" s="36">
        <f t="shared" si="97"/>
        <v>0</v>
      </c>
      <c r="AC69" s="36">
        <f t="shared" si="97"/>
        <v>663546</v>
      </c>
      <c r="AD69" s="36">
        <f t="shared" si="97"/>
        <v>0</v>
      </c>
      <c r="AE69" s="36">
        <f t="shared" si="97"/>
        <v>0</v>
      </c>
      <c r="AF69" s="36">
        <f t="shared" si="97"/>
        <v>2484406</v>
      </c>
      <c r="AG69" s="36">
        <f t="shared" si="97"/>
        <v>0</v>
      </c>
      <c r="AH69" s="36">
        <f t="shared" si="97"/>
        <v>0</v>
      </c>
      <c r="AI69" s="60">
        <f t="shared" si="44"/>
        <v>6295904</v>
      </c>
      <c r="AK69" s="54"/>
    </row>
    <row r="70" spans="1:38">
      <c r="C70" s="31">
        <f>C60+C66</f>
        <v>18</v>
      </c>
      <c r="D70" s="31">
        <f t="shared" ref="D70:N71" si="98">D60+D66</f>
        <v>12</v>
      </c>
      <c r="E70" s="31">
        <f t="shared" si="98"/>
        <v>8</v>
      </c>
      <c r="F70" s="31">
        <f t="shared" si="98"/>
        <v>26</v>
      </c>
      <c r="G70" s="31">
        <f t="shared" si="98"/>
        <v>20</v>
      </c>
      <c r="H70" s="31">
        <f t="shared" si="98"/>
        <v>16</v>
      </c>
      <c r="I70" s="31">
        <f t="shared" si="98"/>
        <v>20</v>
      </c>
      <c r="J70" s="31">
        <f t="shared" si="98"/>
        <v>12</v>
      </c>
      <c r="K70" s="31">
        <f t="shared" si="98"/>
        <v>16</v>
      </c>
      <c r="L70" s="31">
        <f t="shared" si="98"/>
        <v>20</v>
      </c>
      <c r="M70" s="31">
        <f t="shared" si="98"/>
        <v>16</v>
      </c>
      <c r="N70" s="31">
        <f t="shared" si="98"/>
        <v>12</v>
      </c>
      <c r="O70" s="58">
        <f>SUM(C70:N70)</f>
        <v>196</v>
      </c>
      <c r="R70" s="95">
        <f>O9+O15+O21+O36+O42+O48+O54+O60+O66</f>
        <v>1468</v>
      </c>
      <c r="W70" s="31">
        <f t="shared" ref="W70:AH73" si="99">W60+W66</f>
        <v>18</v>
      </c>
      <c r="X70" s="31">
        <f t="shared" si="99"/>
        <v>12</v>
      </c>
      <c r="Y70" s="31">
        <f t="shared" si="99"/>
        <v>48</v>
      </c>
      <c r="Z70" s="31">
        <f t="shared" si="99"/>
        <v>26</v>
      </c>
      <c r="AA70" s="31">
        <f t="shared" si="99"/>
        <v>20</v>
      </c>
      <c r="AB70" s="31">
        <f t="shared" si="99"/>
        <v>16</v>
      </c>
      <c r="AC70" s="31">
        <f t="shared" si="99"/>
        <v>70</v>
      </c>
      <c r="AD70" s="31">
        <f t="shared" si="99"/>
        <v>76</v>
      </c>
      <c r="AE70" s="31">
        <f t="shared" si="99"/>
        <v>68</v>
      </c>
      <c r="AF70" s="31">
        <f t="shared" si="99"/>
        <v>76</v>
      </c>
      <c r="AG70" s="31">
        <f t="shared" si="99"/>
        <v>64</v>
      </c>
      <c r="AH70" s="31">
        <f t="shared" si="99"/>
        <v>64</v>
      </c>
      <c r="AI70" s="58">
        <f>SUM(W70:AH70)</f>
        <v>558</v>
      </c>
      <c r="AL70" s="95">
        <f>AI9+AI15+AI21+AI36+AI42+AI48+AI54+AI60+AI66</f>
        <v>1752</v>
      </c>
    </row>
    <row r="71" spans="1:38">
      <c r="C71" s="31">
        <f>C61+C67</f>
        <v>63992</v>
      </c>
      <c r="D71" s="31">
        <f t="shared" si="98"/>
        <v>48094</v>
      </c>
      <c r="E71" s="31">
        <f t="shared" si="98"/>
        <v>28634</v>
      </c>
      <c r="F71" s="31">
        <f t="shared" si="98"/>
        <v>91998</v>
      </c>
      <c r="G71" s="31">
        <f t="shared" si="98"/>
        <v>75407.5</v>
      </c>
      <c r="H71" s="31">
        <f t="shared" si="98"/>
        <v>64125.333333333336</v>
      </c>
      <c r="I71" s="31">
        <f t="shared" si="98"/>
        <v>61617</v>
      </c>
      <c r="J71" s="31">
        <f t="shared" si="98"/>
        <v>42693.818181818184</v>
      </c>
      <c r="K71" s="31">
        <f t="shared" si="98"/>
        <v>60326</v>
      </c>
      <c r="L71" s="31">
        <f t="shared" si="98"/>
        <v>77851.333333333343</v>
      </c>
      <c r="M71" s="31">
        <f t="shared" si="98"/>
        <v>64125.333333333336</v>
      </c>
      <c r="N71" s="31">
        <f t="shared" si="98"/>
        <v>42693.818181818184</v>
      </c>
      <c r="O71" s="58">
        <f t="shared" ref="O71:O73" si="100">SUM(C71:N71)</f>
        <v>721558.13636363647</v>
      </c>
      <c r="R71" s="95">
        <f>O10+O16+O22+O37+O43+O49+O55+O61+O67</f>
        <v>12271524.676479079</v>
      </c>
      <c r="W71" s="31">
        <f t="shared" si="99"/>
        <v>68118</v>
      </c>
      <c r="X71" s="31">
        <f t="shared" si="99"/>
        <v>66524</v>
      </c>
      <c r="Y71" s="31">
        <f t="shared" si="99"/>
        <v>96754</v>
      </c>
      <c r="Z71" s="31">
        <f t="shared" si="99"/>
        <v>85872</v>
      </c>
      <c r="AA71" s="31">
        <f t="shared" si="99"/>
        <v>71716</v>
      </c>
      <c r="AB71" s="31">
        <f t="shared" si="99"/>
        <v>71828</v>
      </c>
      <c r="AC71" s="31">
        <f t="shared" si="99"/>
        <v>163954</v>
      </c>
      <c r="AD71" s="31">
        <f t="shared" si="99"/>
        <v>180120</v>
      </c>
      <c r="AE71" s="31">
        <f t="shared" si="99"/>
        <v>160288</v>
      </c>
      <c r="AF71" s="31">
        <f t="shared" si="99"/>
        <v>183930</v>
      </c>
      <c r="AG71" s="31">
        <f t="shared" si="99"/>
        <v>150372</v>
      </c>
      <c r="AH71" s="31">
        <f t="shared" si="99"/>
        <v>150372</v>
      </c>
      <c r="AI71" s="58">
        <f t="shared" ref="AI71:AI73" si="101">SUM(W71:AH71)</f>
        <v>1449848</v>
      </c>
      <c r="AL71" s="95">
        <f>AI10+AI16+AI22+AI37+AI43+AI49+AI55+AI61+AI67</f>
        <v>11585665.561538462</v>
      </c>
    </row>
    <row r="72" spans="1:38">
      <c r="C72" s="31">
        <f t="shared" ref="C72:N73" si="102">C62+C68</f>
        <v>11373840</v>
      </c>
      <c r="D72" s="31">
        <f t="shared" si="102"/>
        <v>7582560</v>
      </c>
      <c r="E72" s="31">
        <f t="shared" si="102"/>
        <v>5055040</v>
      </c>
      <c r="F72" s="31">
        <f t="shared" si="102"/>
        <v>16428880</v>
      </c>
      <c r="G72" s="31">
        <f t="shared" si="102"/>
        <v>12637600</v>
      </c>
      <c r="H72" s="31">
        <f t="shared" si="102"/>
        <v>10110080</v>
      </c>
      <c r="I72" s="31">
        <f t="shared" si="102"/>
        <v>12637600</v>
      </c>
      <c r="J72" s="31">
        <f t="shared" si="102"/>
        <v>7582560</v>
      </c>
      <c r="K72" s="31">
        <f t="shared" si="102"/>
        <v>10110080</v>
      </c>
      <c r="L72" s="31">
        <f t="shared" si="102"/>
        <v>12637600</v>
      </c>
      <c r="M72" s="31">
        <f t="shared" si="102"/>
        <v>10110080</v>
      </c>
      <c r="N72" s="31">
        <f t="shared" si="102"/>
        <v>7582560</v>
      </c>
      <c r="O72" s="58">
        <f t="shared" si="100"/>
        <v>123848480</v>
      </c>
      <c r="Q72" s="54"/>
      <c r="W72" s="31">
        <f t="shared" si="99"/>
        <v>11373840</v>
      </c>
      <c r="X72" s="31">
        <f t="shared" si="99"/>
        <v>7582560</v>
      </c>
      <c r="Y72" s="31">
        <f t="shared" si="99"/>
        <v>30330240</v>
      </c>
      <c r="Z72" s="31">
        <f t="shared" si="99"/>
        <v>16428880</v>
      </c>
      <c r="AA72" s="31">
        <f t="shared" si="99"/>
        <v>12637600</v>
      </c>
      <c r="AB72" s="31">
        <f t="shared" si="99"/>
        <v>10110080</v>
      </c>
      <c r="AC72" s="31">
        <f t="shared" si="99"/>
        <v>44231600</v>
      </c>
      <c r="AD72" s="31">
        <f t="shared" si="99"/>
        <v>48022880</v>
      </c>
      <c r="AE72" s="31">
        <f t="shared" si="99"/>
        <v>42967840</v>
      </c>
      <c r="AF72" s="31">
        <f t="shared" si="99"/>
        <v>48022880</v>
      </c>
      <c r="AG72" s="31">
        <f t="shared" si="99"/>
        <v>40440320</v>
      </c>
      <c r="AH72" s="31">
        <f t="shared" si="99"/>
        <v>40440320</v>
      </c>
      <c r="AI72" s="58">
        <f t="shared" si="101"/>
        <v>352589040</v>
      </c>
      <c r="AK72" s="54"/>
    </row>
    <row r="73" spans="1:38">
      <c r="C73" s="31">
        <f t="shared" si="102"/>
        <v>11582552</v>
      </c>
      <c r="D73" s="31">
        <f t="shared" si="102"/>
        <v>8705014</v>
      </c>
      <c r="E73" s="31">
        <f t="shared" si="102"/>
        <v>5182754</v>
      </c>
      <c r="F73" s="31">
        <f t="shared" si="102"/>
        <v>16651638</v>
      </c>
      <c r="G73" s="31">
        <f t="shared" si="102"/>
        <v>13648757.5</v>
      </c>
      <c r="H73" s="31">
        <f t="shared" si="102"/>
        <v>11606685.333333334</v>
      </c>
      <c r="I73" s="31">
        <f t="shared" si="102"/>
        <v>11152677</v>
      </c>
      <c r="J73" s="31">
        <f t="shared" si="102"/>
        <v>7727581.0909090908</v>
      </c>
      <c r="K73" s="31">
        <f t="shared" si="102"/>
        <v>10919006</v>
      </c>
      <c r="L73" s="31">
        <f t="shared" si="102"/>
        <v>14091091.333333334</v>
      </c>
      <c r="M73" s="31">
        <f t="shared" si="102"/>
        <v>11606685.333333334</v>
      </c>
      <c r="N73" s="31">
        <f t="shared" si="102"/>
        <v>7727581.0909090908</v>
      </c>
      <c r="O73" s="58">
        <f t="shared" si="100"/>
        <v>130602022.68181817</v>
      </c>
      <c r="Q73" s="54"/>
      <c r="W73" s="31">
        <f t="shared" si="99"/>
        <v>12329358</v>
      </c>
      <c r="X73" s="31">
        <f t="shared" si="99"/>
        <v>12040844</v>
      </c>
      <c r="Y73" s="31">
        <f t="shared" si="99"/>
        <v>17512474</v>
      </c>
      <c r="Z73" s="31">
        <f t="shared" si="99"/>
        <v>15542832</v>
      </c>
      <c r="AA73" s="31">
        <f t="shared" si="99"/>
        <v>12980596</v>
      </c>
      <c r="AB73" s="31">
        <f t="shared" si="99"/>
        <v>13000868</v>
      </c>
      <c r="AC73" s="31">
        <f t="shared" si="99"/>
        <v>29675674</v>
      </c>
      <c r="AD73" s="31">
        <f t="shared" si="99"/>
        <v>32601720</v>
      </c>
      <c r="AE73" s="31">
        <f t="shared" si="99"/>
        <v>29012128</v>
      </c>
      <c r="AF73" s="31">
        <f t="shared" si="99"/>
        <v>33291330</v>
      </c>
      <c r="AG73" s="31">
        <f t="shared" si="99"/>
        <v>27217332</v>
      </c>
      <c r="AH73" s="31">
        <f t="shared" si="99"/>
        <v>27217332</v>
      </c>
      <c r="AI73" s="58">
        <f t="shared" si="101"/>
        <v>262422488</v>
      </c>
      <c r="AK73" s="54"/>
    </row>
    <row r="74" spans="1:38">
      <c r="A74" t="s">
        <v>62</v>
      </c>
      <c r="B74" s="31" t="s">
        <v>63</v>
      </c>
      <c r="C74" s="38">
        <f>C11+C17+C23+C29+C38+C44+C50+C56+C62+C68</f>
        <v>64126500</v>
      </c>
      <c r="D74" s="38">
        <f t="shared" ref="D74:N75" si="103">D11+D17+D23+D29+D38+D44+D50+D56+D62+D68</f>
        <v>65315200</v>
      </c>
      <c r="E74" s="38">
        <f>E11+E17+E23+E29+E38+E44+E50+E62+E68</f>
        <v>38976400</v>
      </c>
      <c r="F74" s="38">
        <f t="shared" si="103"/>
        <v>67892760</v>
      </c>
      <c r="G74" s="38">
        <f t="shared" si="103"/>
        <v>65365240</v>
      </c>
      <c r="H74" s="38">
        <f t="shared" si="103"/>
        <v>65365240</v>
      </c>
      <c r="I74" s="38">
        <f t="shared" si="103"/>
        <v>69131500</v>
      </c>
      <c r="J74" s="38">
        <f t="shared" si="103"/>
        <v>66603980</v>
      </c>
      <c r="K74" s="38">
        <f t="shared" si="103"/>
        <v>62862740</v>
      </c>
      <c r="L74" s="38">
        <f t="shared" si="103"/>
        <v>75425280</v>
      </c>
      <c r="M74" s="38">
        <f t="shared" si="103"/>
        <v>60335220</v>
      </c>
      <c r="N74" s="38">
        <f t="shared" si="103"/>
        <v>40240160</v>
      </c>
      <c r="O74" s="110">
        <f t="shared" ref="O74:O75" si="104">SUM(C74:N74)</f>
        <v>741640220</v>
      </c>
      <c r="P74" s="87"/>
      <c r="U74" t="s">
        <v>62</v>
      </c>
      <c r="V74" s="31" t="s">
        <v>63</v>
      </c>
      <c r="W74" s="38">
        <f t="shared" ref="W74:AH75" si="105">W11+W17+W23+W38+W44+W50+W56+W62+W68</f>
        <v>112024280</v>
      </c>
      <c r="X74" s="38">
        <f t="shared" si="105"/>
        <v>57757660</v>
      </c>
      <c r="Y74" s="38">
        <f>Y11+Y17+Y23+Y38+Y44+Y50+Y62+Y68</f>
        <v>67967820</v>
      </c>
      <c r="Z74" s="38">
        <f t="shared" si="105"/>
        <v>67892760</v>
      </c>
      <c r="AA74" s="38">
        <f t="shared" si="105"/>
        <v>57832720</v>
      </c>
      <c r="AB74" s="38">
        <f t="shared" si="105"/>
        <v>57857740</v>
      </c>
      <c r="AC74" s="38">
        <f t="shared" si="105"/>
        <v>107019280</v>
      </c>
      <c r="AD74" s="38">
        <f t="shared" si="105"/>
        <v>120820560</v>
      </c>
      <c r="AE74" s="38">
        <f t="shared" si="105"/>
        <v>95720500</v>
      </c>
      <c r="AF74" s="38">
        <f t="shared" si="105"/>
        <v>243443060</v>
      </c>
      <c r="AG74" s="38">
        <f t="shared" si="105"/>
        <v>88137940</v>
      </c>
      <c r="AH74" s="38">
        <f t="shared" si="105"/>
        <v>134847020</v>
      </c>
      <c r="AI74" s="58">
        <f t="shared" ref="AI74" si="106">SUM(W74:AH74)</f>
        <v>1211321340</v>
      </c>
      <c r="AJ74" s="87"/>
    </row>
    <row r="75" spans="1:38">
      <c r="B75" s="31" t="s">
        <v>64</v>
      </c>
      <c r="C75" s="38">
        <f>C12+C18+C24+C30+C39+C45+C51+C57+C63+C69</f>
        <v>279317166</v>
      </c>
      <c r="D75" s="38">
        <f t="shared" si="103"/>
        <v>364205908</v>
      </c>
      <c r="E75" s="38">
        <f>E12+E18+E24+E30+E39+E45+E51+E63+E69</f>
        <v>179565080</v>
      </c>
      <c r="F75" s="38">
        <f t="shared" si="103"/>
        <v>296872084</v>
      </c>
      <c r="G75" s="38">
        <f t="shared" si="103"/>
        <v>276136473.59523809</v>
      </c>
      <c r="H75" s="38">
        <f t="shared" si="103"/>
        <v>302140486.13333333</v>
      </c>
      <c r="I75" s="38">
        <f t="shared" si="103"/>
        <v>319102777</v>
      </c>
      <c r="J75" s="38">
        <f t="shared" si="103"/>
        <v>364315200.42424244</v>
      </c>
      <c r="K75" s="38">
        <f t="shared" si="103"/>
        <v>245884679.80952382</v>
      </c>
      <c r="L75" s="38">
        <f t="shared" si="103"/>
        <v>333722398.66666669</v>
      </c>
      <c r="M75" s="38">
        <f t="shared" si="103"/>
        <v>257586275.77777779</v>
      </c>
      <c r="N75" s="38">
        <f t="shared" si="103"/>
        <v>184570065.37662339</v>
      </c>
      <c r="O75" s="110">
        <f t="shared" si="104"/>
        <v>3403418594.7834053</v>
      </c>
      <c r="P75" s="87"/>
      <c r="V75" s="31" t="s">
        <v>64</v>
      </c>
      <c r="W75" s="38">
        <f t="shared" si="105"/>
        <v>355163614</v>
      </c>
      <c r="X75" s="38">
        <f t="shared" si="105"/>
        <v>359889798</v>
      </c>
      <c r="Y75" s="38">
        <f>Y12+Y18+Y24+Y39+Y45+Y51+Y63+Y69</f>
        <v>197998162</v>
      </c>
      <c r="Z75" s="38">
        <f t="shared" si="105"/>
        <v>290966534</v>
      </c>
      <c r="AA75" s="38">
        <f t="shared" si="105"/>
        <v>289141878</v>
      </c>
      <c r="AB75" s="38">
        <f t="shared" si="105"/>
        <v>294956260</v>
      </c>
      <c r="AC75" s="38">
        <f t="shared" si="105"/>
        <v>339184428</v>
      </c>
      <c r="AD75" s="38">
        <f t="shared" si="105"/>
        <v>377830804</v>
      </c>
      <c r="AE75" s="38">
        <f t="shared" si="105"/>
        <v>244728424</v>
      </c>
      <c r="AF75" s="38">
        <f t="shared" si="105"/>
        <v>674612074</v>
      </c>
      <c r="AG75" s="38">
        <f t="shared" si="105"/>
        <v>271250138</v>
      </c>
      <c r="AH75" s="38">
        <f t="shared" si="105"/>
        <v>292837472</v>
      </c>
      <c r="AI75" s="58">
        <f>SUM(W75:AH75)</f>
        <v>3988559586</v>
      </c>
      <c r="AJ75" s="87"/>
    </row>
    <row r="76" spans="1:38">
      <c r="C76" s="38">
        <f>C74+C75</f>
        <v>343443666</v>
      </c>
      <c r="D76" s="38">
        <f t="shared" ref="D76:N76" si="107">D74+D75</f>
        <v>429521108</v>
      </c>
      <c r="E76" s="38">
        <f t="shared" si="107"/>
        <v>218541480</v>
      </c>
      <c r="F76" s="38">
        <f t="shared" si="107"/>
        <v>364764844</v>
      </c>
      <c r="G76" s="38">
        <f t="shared" si="107"/>
        <v>341501713.59523809</v>
      </c>
      <c r="H76" s="38">
        <f t="shared" si="107"/>
        <v>367505726.13333333</v>
      </c>
      <c r="I76" s="38">
        <f t="shared" si="107"/>
        <v>388234277</v>
      </c>
      <c r="J76" s="38">
        <f t="shared" si="107"/>
        <v>430919180.42424244</v>
      </c>
      <c r="K76" s="38">
        <f t="shared" si="107"/>
        <v>308747419.80952382</v>
      </c>
      <c r="L76" s="38">
        <f t="shared" si="107"/>
        <v>409147678.66666669</v>
      </c>
      <c r="M76" s="38">
        <f t="shared" si="107"/>
        <v>317921495.77777779</v>
      </c>
      <c r="N76" s="38">
        <f t="shared" si="107"/>
        <v>224810225.37662339</v>
      </c>
      <c r="O76" s="110">
        <f>SUM(C76:N76)</f>
        <v>4145058814.7834053</v>
      </c>
      <c r="R76" s="39" t="s">
        <v>98</v>
      </c>
      <c r="W76" s="38">
        <f t="shared" ref="W76:AH76" si="108">W74+W75</f>
        <v>467187894</v>
      </c>
      <c r="X76" s="38">
        <f t="shared" si="108"/>
        <v>417647458</v>
      </c>
      <c r="Y76" s="38">
        <f t="shared" si="108"/>
        <v>265965982</v>
      </c>
      <c r="Z76" s="38">
        <f t="shared" si="108"/>
        <v>358859294</v>
      </c>
      <c r="AA76" s="38">
        <f t="shared" si="108"/>
        <v>346974598</v>
      </c>
      <c r="AB76" s="38">
        <f t="shared" si="108"/>
        <v>352814000</v>
      </c>
      <c r="AC76" s="38">
        <f t="shared" si="108"/>
        <v>446203708</v>
      </c>
      <c r="AD76" s="38">
        <f t="shared" si="108"/>
        <v>498651364</v>
      </c>
      <c r="AE76" s="38">
        <f t="shared" si="108"/>
        <v>340448924</v>
      </c>
      <c r="AF76" s="38">
        <f t="shared" si="108"/>
        <v>918055134</v>
      </c>
      <c r="AG76" s="38">
        <f t="shared" si="108"/>
        <v>359388078</v>
      </c>
      <c r="AH76" s="38">
        <f t="shared" si="108"/>
        <v>427684492</v>
      </c>
      <c r="AI76" s="58">
        <f>SUM(W76:AH76)</f>
        <v>5199880926</v>
      </c>
      <c r="AL76" s="39" t="s">
        <v>98</v>
      </c>
    </row>
    <row r="77" spans="1:38">
      <c r="C77" s="73">
        <v>1</v>
      </c>
      <c r="D77" s="73">
        <v>2</v>
      </c>
      <c r="E77" s="73">
        <v>3</v>
      </c>
      <c r="F77" s="73">
        <v>4</v>
      </c>
      <c r="G77" s="73">
        <v>5</v>
      </c>
      <c r="H77" s="73"/>
      <c r="I77" s="73"/>
      <c r="J77" s="73"/>
      <c r="K77" s="73"/>
      <c r="L77" s="73"/>
      <c r="M77" s="73"/>
      <c r="N77" s="73"/>
      <c r="R77" s="39" t="s">
        <v>99</v>
      </c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L77" s="39" t="s">
        <v>99</v>
      </c>
    </row>
    <row r="78" spans="1:38"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</row>
    <row r="79" spans="1:38">
      <c r="C79" s="109">
        <f t="shared" ref="C79:N84" si="109">C7+C13+C19+C25+C34+C40+C46+C52+C58+C64</f>
        <v>71</v>
      </c>
      <c r="D79" s="109">
        <f t="shared" si="109"/>
        <v>36</v>
      </c>
      <c r="E79" s="109">
        <f t="shared" si="109"/>
        <v>261</v>
      </c>
      <c r="F79" s="109">
        <f t="shared" si="109"/>
        <v>40</v>
      </c>
      <c r="G79" s="109">
        <f t="shared" si="109"/>
        <v>38</v>
      </c>
      <c r="H79" s="109">
        <f t="shared" si="109"/>
        <v>38</v>
      </c>
      <c r="I79" s="109">
        <f t="shared" si="109"/>
        <v>40</v>
      </c>
      <c r="J79" s="109">
        <f t="shared" si="109"/>
        <v>38</v>
      </c>
      <c r="K79" s="109">
        <f t="shared" si="109"/>
        <v>37</v>
      </c>
      <c r="L79" s="109">
        <f t="shared" si="109"/>
        <v>44</v>
      </c>
      <c r="M79" s="109">
        <f t="shared" si="109"/>
        <v>35</v>
      </c>
      <c r="N79" s="109">
        <f t="shared" si="109"/>
        <v>59</v>
      </c>
      <c r="O79" s="110">
        <f>SUM(C79:N79)</f>
        <v>737</v>
      </c>
      <c r="W79" s="109">
        <f t="shared" ref="W79:AH84" si="110">W7+W13+W19+W34+W40+W46+W52+W58+W64</f>
        <v>71</v>
      </c>
      <c r="X79" s="109">
        <f t="shared" si="110"/>
        <v>31</v>
      </c>
      <c r="Y79" s="109">
        <f t="shared" si="110"/>
        <v>183</v>
      </c>
      <c r="Z79" s="109">
        <f t="shared" si="110"/>
        <v>40</v>
      </c>
      <c r="AA79" s="109">
        <f t="shared" si="110"/>
        <v>34</v>
      </c>
      <c r="AB79" s="109">
        <f t="shared" si="110"/>
        <v>35</v>
      </c>
      <c r="AC79" s="109">
        <f t="shared" si="110"/>
        <v>69</v>
      </c>
      <c r="AD79" s="109">
        <f t="shared" si="110"/>
        <v>76</v>
      </c>
      <c r="AE79" s="109">
        <f t="shared" si="110"/>
        <v>63</v>
      </c>
      <c r="AF79" s="109">
        <f t="shared" si="110"/>
        <v>125</v>
      </c>
      <c r="AG79" s="109">
        <f t="shared" si="110"/>
        <v>57</v>
      </c>
      <c r="AH79" s="109">
        <f t="shared" si="110"/>
        <v>92</v>
      </c>
      <c r="AI79" s="110">
        <f t="shared" ref="AI79:AI85" si="111">SUM(W79:AH79)</f>
        <v>876</v>
      </c>
    </row>
    <row r="80" spans="1:38">
      <c r="C80" s="109">
        <f t="shared" si="109"/>
        <v>545056</v>
      </c>
      <c r="D80" s="109">
        <f t="shared" si="109"/>
        <v>367330</v>
      </c>
      <c r="E80" s="109">
        <f t="shared" si="109"/>
        <v>2214642</v>
      </c>
      <c r="F80" s="109">
        <f t="shared" si="109"/>
        <v>325814</v>
      </c>
      <c r="G80" s="109">
        <f t="shared" si="109"/>
        <v>303127.70238095237</v>
      </c>
      <c r="H80" s="109">
        <f t="shared" si="109"/>
        <v>321807.06666666671</v>
      </c>
      <c r="I80" s="109">
        <f t="shared" si="109"/>
        <v>329701.85714285716</v>
      </c>
      <c r="J80" s="109">
        <f t="shared" si="109"/>
        <v>378903.09956709959</v>
      </c>
      <c r="K80" s="109">
        <f t="shared" si="109"/>
        <v>275153.69523809524</v>
      </c>
      <c r="L80" s="109">
        <f t="shared" si="109"/>
        <v>361116.4</v>
      </c>
      <c r="M80" s="109">
        <f t="shared" si="109"/>
        <v>271545.47222222225</v>
      </c>
      <c r="N80" s="109">
        <f t="shared" si="109"/>
        <v>454024.04502164503</v>
      </c>
      <c r="O80" s="110">
        <f t="shared" ref="O80:O85" si="112">SUM(C80:N80)</f>
        <v>6148221.3382395385</v>
      </c>
      <c r="W80" s="109">
        <f t="shared" si="110"/>
        <v>528367</v>
      </c>
      <c r="X80" s="109">
        <f t="shared" si="110"/>
        <v>366468.4</v>
      </c>
      <c r="Y80" s="109">
        <f t="shared" si="110"/>
        <v>1337346.2307692308</v>
      </c>
      <c r="Z80" s="109">
        <f t="shared" si="110"/>
        <v>316727.5</v>
      </c>
      <c r="AA80" s="109">
        <f t="shared" si="110"/>
        <v>323458</v>
      </c>
      <c r="AB80" s="109">
        <f t="shared" si="110"/>
        <v>313020.40000000002</v>
      </c>
      <c r="AC80" s="109">
        <f t="shared" si="110"/>
        <v>379746.4</v>
      </c>
      <c r="AD80" s="109">
        <f t="shared" si="110"/>
        <v>423464.5</v>
      </c>
      <c r="AE80" s="109">
        <f t="shared" si="110"/>
        <v>298241</v>
      </c>
      <c r="AF80" s="109">
        <f t="shared" si="110"/>
        <v>695420.7</v>
      </c>
      <c r="AG80" s="109">
        <f t="shared" si="110"/>
        <v>309290.25</v>
      </c>
      <c r="AH80" s="109">
        <f t="shared" si="110"/>
        <v>501282.4</v>
      </c>
      <c r="AI80" s="110">
        <f t="shared" si="111"/>
        <v>5792832.7807692317</v>
      </c>
    </row>
    <row r="81" spans="1:37">
      <c r="C81" s="32">
        <f t="shared" si="109"/>
        <v>142</v>
      </c>
      <c r="D81" s="32">
        <f t="shared" si="109"/>
        <v>72</v>
      </c>
      <c r="E81" s="32">
        <f t="shared" si="109"/>
        <v>522</v>
      </c>
      <c r="F81" s="32">
        <f t="shared" si="109"/>
        <v>80</v>
      </c>
      <c r="G81" s="32">
        <f t="shared" si="109"/>
        <v>76</v>
      </c>
      <c r="H81" s="32">
        <f t="shared" si="109"/>
        <v>76</v>
      </c>
      <c r="I81" s="32">
        <f t="shared" si="109"/>
        <v>80</v>
      </c>
      <c r="J81" s="32">
        <f t="shared" si="109"/>
        <v>76</v>
      </c>
      <c r="K81" s="32">
        <f t="shared" si="109"/>
        <v>74</v>
      </c>
      <c r="L81" s="32">
        <f t="shared" si="109"/>
        <v>88</v>
      </c>
      <c r="M81" s="32">
        <f t="shared" si="109"/>
        <v>70</v>
      </c>
      <c r="N81" s="32">
        <f t="shared" si="109"/>
        <v>118</v>
      </c>
      <c r="O81" s="71">
        <f t="shared" si="112"/>
        <v>1474</v>
      </c>
      <c r="W81" s="32">
        <f t="shared" si="110"/>
        <v>142</v>
      </c>
      <c r="X81" s="32">
        <f t="shared" si="110"/>
        <v>62</v>
      </c>
      <c r="Y81" s="32">
        <f t="shared" si="110"/>
        <v>366</v>
      </c>
      <c r="Z81" s="32">
        <f t="shared" si="110"/>
        <v>80</v>
      </c>
      <c r="AA81" s="32">
        <f t="shared" si="110"/>
        <v>68</v>
      </c>
      <c r="AB81" s="32">
        <f t="shared" si="110"/>
        <v>70</v>
      </c>
      <c r="AC81" s="32">
        <f t="shared" si="110"/>
        <v>138</v>
      </c>
      <c r="AD81" s="32">
        <f t="shared" si="110"/>
        <v>152</v>
      </c>
      <c r="AE81" s="32">
        <f t="shared" si="110"/>
        <v>126</v>
      </c>
      <c r="AF81" s="32">
        <f t="shared" si="110"/>
        <v>250</v>
      </c>
      <c r="AG81" s="32">
        <f t="shared" si="110"/>
        <v>114</v>
      </c>
      <c r="AH81" s="32">
        <f t="shared" si="110"/>
        <v>184</v>
      </c>
      <c r="AI81" s="71">
        <f>SUM(W81:AH81)</f>
        <v>1752</v>
      </c>
    </row>
    <row r="82" spans="1:37">
      <c r="C82" s="32">
        <f t="shared" si="109"/>
        <v>1090112</v>
      </c>
      <c r="D82" s="32">
        <f t="shared" si="109"/>
        <v>734660</v>
      </c>
      <c r="E82" s="32">
        <f t="shared" si="109"/>
        <v>4429284</v>
      </c>
      <c r="F82" s="32">
        <f t="shared" si="109"/>
        <v>651628</v>
      </c>
      <c r="G82" s="32">
        <f t="shared" si="109"/>
        <v>606255.40476190473</v>
      </c>
      <c r="H82" s="32">
        <f t="shared" si="109"/>
        <v>643614.13333333342</v>
      </c>
      <c r="I82" s="32">
        <f t="shared" si="109"/>
        <v>659403.71428571432</v>
      </c>
      <c r="J82" s="32">
        <f t="shared" si="109"/>
        <v>757806.19913419918</v>
      </c>
      <c r="K82" s="32">
        <f t="shared" si="109"/>
        <v>550307.39047619049</v>
      </c>
      <c r="L82" s="32">
        <f t="shared" si="109"/>
        <v>722232.8</v>
      </c>
      <c r="M82" s="32">
        <f t="shared" si="109"/>
        <v>543090.9444444445</v>
      </c>
      <c r="N82" s="32">
        <f t="shared" si="109"/>
        <v>908048.09004329005</v>
      </c>
      <c r="O82" s="71">
        <f t="shared" si="112"/>
        <v>12296442.676479077</v>
      </c>
      <c r="W82" s="32">
        <f t="shared" si="110"/>
        <v>1056734</v>
      </c>
      <c r="X82" s="32">
        <f t="shared" si="110"/>
        <v>732936.8</v>
      </c>
      <c r="Y82" s="32">
        <f t="shared" si="110"/>
        <v>2674692.4615384615</v>
      </c>
      <c r="Z82" s="32">
        <f t="shared" si="110"/>
        <v>633455</v>
      </c>
      <c r="AA82" s="32">
        <f t="shared" si="110"/>
        <v>646916</v>
      </c>
      <c r="AB82" s="32">
        <f t="shared" si="110"/>
        <v>626040.80000000005</v>
      </c>
      <c r="AC82" s="32">
        <f t="shared" si="110"/>
        <v>759492.8</v>
      </c>
      <c r="AD82" s="32">
        <f t="shared" si="110"/>
        <v>846929</v>
      </c>
      <c r="AE82" s="32">
        <f t="shared" si="110"/>
        <v>596482</v>
      </c>
      <c r="AF82" s="32">
        <f t="shared" si="110"/>
        <v>1390841.4</v>
      </c>
      <c r="AG82" s="32">
        <f t="shared" si="110"/>
        <v>618580.5</v>
      </c>
      <c r="AH82" s="32">
        <f t="shared" si="110"/>
        <v>1002564.8</v>
      </c>
      <c r="AI82" s="71">
        <f>SUM(W82:AH82)</f>
        <v>11585665.561538463</v>
      </c>
    </row>
    <row r="83" spans="1:37">
      <c r="C83" s="113">
        <f t="shared" si="109"/>
        <v>64126500</v>
      </c>
      <c r="D83" s="113">
        <f t="shared" si="109"/>
        <v>65315200</v>
      </c>
      <c r="E83" s="113">
        <f t="shared" si="109"/>
        <v>38976400</v>
      </c>
      <c r="F83" s="113">
        <f t="shared" si="109"/>
        <v>67892760</v>
      </c>
      <c r="G83" s="113">
        <f t="shared" si="109"/>
        <v>65365240</v>
      </c>
      <c r="H83" s="113">
        <f t="shared" si="109"/>
        <v>65365240</v>
      </c>
      <c r="I83" s="113">
        <f t="shared" si="109"/>
        <v>69131500</v>
      </c>
      <c r="J83" s="113">
        <f t="shared" si="109"/>
        <v>66603980</v>
      </c>
      <c r="K83" s="113">
        <f t="shared" si="109"/>
        <v>62862740</v>
      </c>
      <c r="L83" s="113">
        <f t="shared" si="109"/>
        <v>75425280</v>
      </c>
      <c r="M83" s="113">
        <f t="shared" si="109"/>
        <v>60335220</v>
      </c>
      <c r="N83" s="113">
        <f t="shared" si="109"/>
        <v>40240160</v>
      </c>
      <c r="O83" s="114">
        <f t="shared" si="112"/>
        <v>741640220</v>
      </c>
      <c r="W83" s="113">
        <f t="shared" si="110"/>
        <v>112024280</v>
      </c>
      <c r="X83" s="113">
        <f t="shared" si="110"/>
        <v>57757660</v>
      </c>
      <c r="Y83" s="113">
        <f t="shared" si="110"/>
        <v>244894220</v>
      </c>
      <c r="Z83" s="113">
        <f t="shared" si="110"/>
        <v>67892760</v>
      </c>
      <c r="AA83" s="113">
        <f t="shared" si="110"/>
        <v>57832720</v>
      </c>
      <c r="AB83" s="113">
        <f t="shared" si="110"/>
        <v>57857740</v>
      </c>
      <c r="AC83" s="113">
        <f t="shared" si="110"/>
        <v>107019280</v>
      </c>
      <c r="AD83" s="113">
        <f t="shared" si="110"/>
        <v>120820560</v>
      </c>
      <c r="AE83" s="113">
        <f t="shared" si="110"/>
        <v>95720500</v>
      </c>
      <c r="AF83" s="113">
        <f t="shared" si="110"/>
        <v>243443060</v>
      </c>
      <c r="AG83" s="113">
        <f t="shared" si="110"/>
        <v>88137940</v>
      </c>
      <c r="AH83" s="113">
        <f t="shared" si="110"/>
        <v>134847020</v>
      </c>
      <c r="AI83" s="114">
        <f t="shared" si="111"/>
        <v>1388247740</v>
      </c>
    </row>
    <row r="84" spans="1:37">
      <c r="C84" s="113">
        <f t="shared" si="109"/>
        <v>279317166</v>
      </c>
      <c r="D84" s="113">
        <f t="shared" si="109"/>
        <v>364205908</v>
      </c>
      <c r="E84" s="113">
        <f t="shared" si="109"/>
        <v>179565080</v>
      </c>
      <c r="F84" s="113">
        <f t="shared" si="109"/>
        <v>296872084</v>
      </c>
      <c r="G84" s="113">
        <f t="shared" si="109"/>
        <v>276136473.59523809</v>
      </c>
      <c r="H84" s="113">
        <f t="shared" si="109"/>
        <v>302140486.13333333</v>
      </c>
      <c r="I84" s="113">
        <f t="shared" si="109"/>
        <v>319102777</v>
      </c>
      <c r="J84" s="113">
        <f t="shared" si="109"/>
        <v>364315200.42424244</v>
      </c>
      <c r="K84" s="113">
        <f t="shared" si="109"/>
        <v>245884679.80952382</v>
      </c>
      <c r="L84" s="113">
        <f t="shared" si="109"/>
        <v>333722398.66666669</v>
      </c>
      <c r="M84" s="113">
        <f t="shared" si="109"/>
        <v>257586275.77777779</v>
      </c>
      <c r="N84" s="113">
        <f t="shared" si="109"/>
        <v>184570065.37662339</v>
      </c>
      <c r="O84" s="114">
        <f t="shared" si="112"/>
        <v>3403418594.7834053</v>
      </c>
      <c r="Q84" s="39"/>
      <c r="W84" s="113">
        <f t="shared" si="110"/>
        <v>355163614</v>
      </c>
      <c r="X84" s="113">
        <f t="shared" si="110"/>
        <v>359889798</v>
      </c>
      <c r="Y84" s="113">
        <f t="shared" si="110"/>
        <v>599496789.53846145</v>
      </c>
      <c r="Z84" s="113">
        <f t="shared" si="110"/>
        <v>290966534</v>
      </c>
      <c r="AA84" s="113">
        <f t="shared" si="110"/>
        <v>289141878</v>
      </c>
      <c r="AB84" s="113">
        <f t="shared" si="110"/>
        <v>294956260</v>
      </c>
      <c r="AC84" s="113">
        <f t="shared" si="110"/>
        <v>339184428</v>
      </c>
      <c r="AD84" s="113">
        <f t="shared" si="110"/>
        <v>377830804</v>
      </c>
      <c r="AE84" s="113">
        <f t="shared" si="110"/>
        <v>244728424</v>
      </c>
      <c r="AF84" s="113">
        <f t="shared" si="110"/>
        <v>674612074</v>
      </c>
      <c r="AG84" s="113">
        <f t="shared" si="110"/>
        <v>271250138</v>
      </c>
      <c r="AH84" s="113">
        <f t="shared" si="110"/>
        <v>292837472</v>
      </c>
      <c r="AI84" s="114">
        <f t="shared" si="111"/>
        <v>4390058213.5384617</v>
      </c>
      <c r="AK84" s="39"/>
    </row>
    <row r="85" spans="1:37">
      <c r="C85" s="111">
        <f>C83+C84</f>
        <v>343443666</v>
      </c>
      <c r="D85" s="111">
        <f t="shared" ref="D85:N85" si="113">D83+D84</f>
        <v>429521108</v>
      </c>
      <c r="E85" s="111">
        <f t="shared" si="113"/>
        <v>218541480</v>
      </c>
      <c r="F85" s="111">
        <f t="shared" si="113"/>
        <v>364764844</v>
      </c>
      <c r="G85" s="111">
        <f t="shared" si="113"/>
        <v>341501713.59523809</v>
      </c>
      <c r="H85" s="111">
        <f t="shared" si="113"/>
        <v>367505726.13333333</v>
      </c>
      <c r="I85" s="111">
        <f t="shared" si="113"/>
        <v>388234277</v>
      </c>
      <c r="J85" s="111">
        <f t="shared" si="113"/>
        <v>430919180.42424244</v>
      </c>
      <c r="K85" s="111">
        <f t="shared" si="113"/>
        <v>308747419.80952382</v>
      </c>
      <c r="L85" s="111">
        <f t="shared" si="113"/>
        <v>409147678.66666669</v>
      </c>
      <c r="M85" s="111">
        <f t="shared" si="113"/>
        <v>317921495.77777779</v>
      </c>
      <c r="N85" s="111">
        <f t="shared" si="113"/>
        <v>224810225.37662339</v>
      </c>
      <c r="O85" s="112">
        <f t="shared" si="112"/>
        <v>4145058814.7834053</v>
      </c>
      <c r="P85" s="86"/>
      <c r="W85" s="111">
        <f>W83+W84</f>
        <v>467187894</v>
      </c>
      <c r="X85" s="111">
        <f t="shared" ref="X85:AH85" si="114">X83+X84</f>
        <v>417647458</v>
      </c>
      <c r="Y85" s="111">
        <f t="shared" si="114"/>
        <v>844391009.53846145</v>
      </c>
      <c r="Z85" s="111">
        <f t="shared" si="114"/>
        <v>358859294</v>
      </c>
      <c r="AA85" s="111">
        <f t="shared" si="114"/>
        <v>346974598</v>
      </c>
      <c r="AB85" s="111">
        <f t="shared" si="114"/>
        <v>352814000</v>
      </c>
      <c r="AC85" s="111">
        <f t="shared" si="114"/>
        <v>446203708</v>
      </c>
      <c r="AD85" s="111">
        <f t="shared" si="114"/>
        <v>498651364</v>
      </c>
      <c r="AE85" s="111">
        <f t="shared" si="114"/>
        <v>340448924</v>
      </c>
      <c r="AF85" s="111">
        <f t="shared" si="114"/>
        <v>918055134</v>
      </c>
      <c r="AG85" s="111">
        <f t="shared" si="114"/>
        <v>359388078</v>
      </c>
      <c r="AH85" s="111">
        <f t="shared" si="114"/>
        <v>427684492</v>
      </c>
      <c r="AI85" s="112">
        <f t="shared" si="111"/>
        <v>5778305953.5384617</v>
      </c>
      <c r="AJ85" s="86"/>
    </row>
    <row r="86" spans="1:37">
      <c r="C86" s="180"/>
      <c r="D86" s="180"/>
      <c r="E86" s="180"/>
      <c r="F86" s="180"/>
      <c r="G86" s="180"/>
      <c r="H86" s="39"/>
      <c r="I86" s="39"/>
      <c r="J86" s="39"/>
      <c r="K86" s="39"/>
      <c r="L86" s="39"/>
      <c r="M86" s="39"/>
      <c r="N86" s="39"/>
      <c r="O86" s="58"/>
      <c r="P86" s="86"/>
      <c r="AI86" s="58"/>
      <c r="AJ86" s="86"/>
    </row>
    <row r="87" spans="1:37">
      <c r="C87" s="31"/>
      <c r="D87" s="31"/>
      <c r="E87" s="31"/>
      <c r="F87" s="31"/>
      <c r="G87" s="31"/>
      <c r="H87" s="73"/>
      <c r="I87" s="73"/>
      <c r="J87" s="73"/>
      <c r="K87" s="73"/>
      <c r="L87" s="73"/>
      <c r="M87" s="73"/>
      <c r="N87" s="73"/>
      <c r="O87" s="58"/>
    </row>
    <row r="88" spans="1:37"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58"/>
    </row>
    <row r="89" spans="1:37">
      <c r="A89" t="s">
        <v>124</v>
      </c>
      <c r="B89" t="s">
        <v>123</v>
      </c>
      <c r="C89" s="39">
        <f t="shared" ref="C89:N90" si="115">C7+C13+C19+C25</f>
        <v>13</v>
      </c>
      <c r="D89" s="39">
        <f t="shared" si="115"/>
        <v>16</v>
      </c>
      <c r="E89" s="39">
        <f t="shared" si="115"/>
        <v>8</v>
      </c>
      <c r="F89" s="39">
        <f t="shared" si="115"/>
        <v>14</v>
      </c>
      <c r="G89" s="39">
        <f t="shared" si="115"/>
        <v>14</v>
      </c>
      <c r="H89" s="39">
        <f t="shared" si="115"/>
        <v>14</v>
      </c>
      <c r="I89" s="39">
        <f t="shared" si="115"/>
        <v>15</v>
      </c>
      <c r="J89" s="39">
        <f t="shared" si="115"/>
        <v>15</v>
      </c>
      <c r="K89" s="39">
        <f t="shared" si="115"/>
        <v>13</v>
      </c>
      <c r="L89" s="39">
        <f t="shared" si="115"/>
        <v>16</v>
      </c>
      <c r="M89" s="39">
        <f t="shared" si="115"/>
        <v>13</v>
      </c>
      <c r="N89" s="39">
        <f t="shared" si="115"/>
        <v>8</v>
      </c>
      <c r="O89" s="110">
        <f t="shared" ref="O89:O92" si="116">SUM(C89:N89)</f>
        <v>159</v>
      </c>
      <c r="U89" t="s">
        <v>124</v>
      </c>
      <c r="V89" t="s">
        <v>123</v>
      </c>
      <c r="W89" s="39">
        <f t="shared" ref="W89:AH90" si="117">W7+W13+W19</f>
        <v>18</v>
      </c>
      <c r="X89" s="39">
        <f t="shared" si="117"/>
        <v>15</v>
      </c>
      <c r="Y89" s="39">
        <f t="shared" si="117"/>
        <v>11</v>
      </c>
      <c r="Z89" s="39">
        <f t="shared" si="117"/>
        <v>14</v>
      </c>
      <c r="AA89" s="39">
        <f t="shared" si="117"/>
        <v>12</v>
      </c>
      <c r="AB89" s="39">
        <f t="shared" si="117"/>
        <v>11</v>
      </c>
      <c r="AC89" s="39">
        <f t="shared" si="117"/>
        <v>16</v>
      </c>
      <c r="AD89" s="39">
        <f t="shared" si="117"/>
        <v>20</v>
      </c>
      <c r="AE89" s="39">
        <f t="shared" si="117"/>
        <v>13</v>
      </c>
      <c r="AF89" s="39">
        <f t="shared" si="117"/>
        <v>69</v>
      </c>
      <c r="AG89" s="39">
        <f t="shared" si="117"/>
        <v>13</v>
      </c>
      <c r="AH89" s="39">
        <f t="shared" si="117"/>
        <v>15</v>
      </c>
      <c r="AI89" s="110">
        <f t="shared" ref="AI89:AI92" si="118">SUM(W89:AH89)</f>
        <v>227</v>
      </c>
    </row>
    <row r="90" spans="1:37">
      <c r="B90" t="s">
        <v>64</v>
      </c>
      <c r="C90" s="39">
        <f t="shared" si="115"/>
        <v>221580</v>
      </c>
      <c r="D90" s="39">
        <f t="shared" si="115"/>
        <v>305056</v>
      </c>
      <c r="E90" s="39">
        <f t="shared" si="115"/>
        <v>145025</v>
      </c>
      <c r="F90" s="39">
        <f t="shared" si="115"/>
        <v>236052</v>
      </c>
      <c r="G90" s="39">
        <f t="shared" si="115"/>
        <v>219530.66666666666</v>
      </c>
      <c r="H90" s="39">
        <f t="shared" si="115"/>
        <v>244916</v>
      </c>
      <c r="I90" s="39">
        <f t="shared" si="115"/>
        <v>263523.35714285716</v>
      </c>
      <c r="J90" s="39">
        <f t="shared" si="115"/>
        <v>299673.19047619047</v>
      </c>
      <c r="K90" s="39">
        <f t="shared" si="115"/>
        <v>192980.26666666666</v>
      </c>
      <c r="L90" s="39">
        <f t="shared" si="115"/>
        <v>267807.73333333334</v>
      </c>
      <c r="M90" s="39">
        <f t="shared" si="115"/>
        <v>210140.91666666666</v>
      </c>
      <c r="N90" s="39">
        <f t="shared" si="115"/>
        <v>146930.4</v>
      </c>
      <c r="O90" s="110">
        <f t="shared" si="116"/>
        <v>2753215.530952381</v>
      </c>
      <c r="V90" t="s">
        <v>64</v>
      </c>
      <c r="W90" s="39">
        <f t="shared" si="117"/>
        <v>216220</v>
      </c>
      <c r="X90" s="39">
        <f t="shared" si="117"/>
        <v>299773.40000000002</v>
      </c>
      <c r="Y90" s="39">
        <f t="shared" si="117"/>
        <v>152213</v>
      </c>
      <c r="Z90" s="39">
        <f t="shared" si="117"/>
        <v>232600.5</v>
      </c>
      <c r="AA90" s="39">
        <f t="shared" si="117"/>
        <v>226979</v>
      </c>
      <c r="AB90" s="39">
        <f t="shared" si="117"/>
        <v>239634.4</v>
      </c>
      <c r="AC90" s="39">
        <f t="shared" si="117"/>
        <v>266116.40000000002</v>
      </c>
      <c r="AD90" s="39">
        <f t="shared" si="117"/>
        <v>296222.5</v>
      </c>
      <c r="AE90" s="39">
        <f t="shared" si="117"/>
        <v>180429</v>
      </c>
      <c r="AF90" s="39">
        <f t="shared" si="117"/>
        <v>557875.69999999995</v>
      </c>
      <c r="AG90" s="39">
        <f t="shared" si="117"/>
        <v>210141.25</v>
      </c>
      <c r="AH90" s="39">
        <f t="shared" si="117"/>
        <v>146930.4</v>
      </c>
      <c r="AI90" s="110">
        <f t="shared" si="118"/>
        <v>3025135.5499999993</v>
      </c>
    </row>
    <row r="91" spans="1:37">
      <c r="A91" t="s">
        <v>125</v>
      </c>
      <c r="B91" t="s">
        <v>123</v>
      </c>
      <c r="C91" s="31">
        <f t="shared" ref="C91:N92" si="119">C34+C40+C46+C52+C58+C64</f>
        <v>58</v>
      </c>
      <c r="D91" s="31">
        <f t="shared" si="119"/>
        <v>20</v>
      </c>
      <c r="E91" s="31">
        <f t="shared" si="119"/>
        <v>253</v>
      </c>
      <c r="F91" s="31">
        <f t="shared" si="119"/>
        <v>26</v>
      </c>
      <c r="G91" s="31">
        <f t="shared" si="119"/>
        <v>24</v>
      </c>
      <c r="H91" s="31">
        <f t="shared" si="119"/>
        <v>24</v>
      </c>
      <c r="I91" s="31">
        <f t="shared" si="119"/>
        <v>25</v>
      </c>
      <c r="J91" s="31">
        <f t="shared" si="119"/>
        <v>23</v>
      </c>
      <c r="K91" s="31">
        <f t="shared" si="119"/>
        <v>24</v>
      </c>
      <c r="L91" s="31">
        <f t="shared" si="119"/>
        <v>28</v>
      </c>
      <c r="M91" s="31">
        <f t="shared" si="119"/>
        <v>22</v>
      </c>
      <c r="N91" s="31">
        <f t="shared" si="119"/>
        <v>51</v>
      </c>
      <c r="O91" s="110">
        <f t="shared" si="116"/>
        <v>578</v>
      </c>
      <c r="U91" t="s">
        <v>125</v>
      </c>
      <c r="V91" t="s">
        <v>123</v>
      </c>
      <c r="W91" s="31">
        <f t="shared" ref="W91:AH92" si="120">W34+W40+W46+W52+W58+W64</f>
        <v>53</v>
      </c>
      <c r="X91" s="31">
        <f t="shared" si="120"/>
        <v>16</v>
      </c>
      <c r="Y91" s="31">
        <f t="shared" si="120"/>
        <v>172</v>
      </c>
      <c r="Z91" s="31">
        <f t="shared" si="120"/>
        <v>26</v>
      </c>
      <c r="AA91" s="31">
        <f t="shared" si="120"/>
        <v>22</v>
      </c>
      <c r="AB91" s="31">
        <f t="shared" si="120"/>
        <v>24</v>
      </c>
      <c r="AC91" s="31">
        <f t="shared" si="120"/>
        <v>53</v>
      </c>
      <c r="AD91" s="31">
        <f t="shared" si="120"/>
        <v>56</v>
      </c>
      <c r="AE91" s="31">
        <f t="shared" si="120"/>
        <v>50</v>
      </c>
      <c r="AF91" s="31">
        <f t="shared" si="120"/>
        <v>56</v>
      </c>
      <c r="AG91" s="31">
        <f t="shared" si="120"/>
        <v>44</v>
      </c>
      <c r="AH91" s="31">
        <f t="shared" si="120"/>
        <v>77</v>
      </c>
      <c r="AI91" s="110">
        <f t="shared" si="118"/>
        <v>649</v>
      </c>
    </row>
    <row r="92" spans="1:37">
      <c r="B92" t="s">
        <v>64</v>
      </c>
      <c r="C92" s="31">
        <f t="shared" si="119"/>
        <v>323476</v>
      </c>
      <c r="D92" s="31">
        <f t="shared" si="119"/>
        <v>62274</v>
      </c>
      <c r="E92" s="31">
        <f t="shared" si="119"/>
        <v>2069617</v>
      </c>
      <c r="F92" s="31">
        <f t="shared" si="119"/>
        <v>89762</v>
      </c>
      <c r="G92" s="31">
        <f t="shared" si="119"/>
        <v>83597.03571428571</v>
      </c>
      <c r="H92" s="31">
        <f t="shared" si="119"/>
        <v>76891.066666666666</v>
      </c>
      <c r="I92" s="31">
        <f t="shared" si="119"/>
        <v>66178.5</v>
      </c>
      <c r="J92" s="31">
        <f t="shared" si="119"/>
        <v>79229.909090909088</v>
      </c>
      <c r="K92" s="31">
        <f t="shared" si="119"/>
        <v>82173.42857142858</v>
      </c>
      <c r="L92" s="31">
        <f t="shared" si="119"/>
        <v>93308.666666666672</v>
      </c>
      <c r="M92" s="31">
        <f t="shared" si="119"/>
        <v>61404.555555555562</v>
      </c>
      <c r="N92" s="31">
        <f t="shared" si="119"/>
        <v>307093.64502164506</v>
      </c>
      <c r="O92" s="110">
        <f t="shared" si="116"/>
        <v>3395005.8072871575</v>
      </c>
      <c r="V92" t="s">
        <v>64</v>
      </c>
      <c r="W92" s="31">
        <f t="shared" si="120"/>
        <v>312147</v>
      </c>
      <c r="X92" s="31">
        <f t="shared" si="120"/>
        <v>66695</v>
      </c>
      <c r="Y92" s="31">
        <f t="shared" si="120"/>
        <v>1185133.2307692308</v>
      </c>
      <c r="Z92" s="31">
        <f t="shared" si="120"/>
        <v>84127</v>
      </c>
      <c r="AA92" s="31">
        <f t="shared" si="120"/>
        <v>96479</v>
      </c>
      <c r="AB92" s="31">
        <f t="shared" si="120"/>
        <v>73386</v>
      </c>
      <c r="AC92" s="31">
        <f t="shared" si="120"/>
        <v>113630</v>
      </c>
      <c r="AD92" s="31">
        <f t="shared" si="120"/>
        <v>127242</v>
      </c>
      <c r="AE92" s="31">
        <f t="shared" si="120"/>
        <v>117812</v>
      </c>
      <c r="AF92" s="31">
        <f t="shared" si="120"/>
        <v>137545</v>
      </c>
      <c r="AG92" s="31">
        <f t="shared" si="120"/>
        <v>99149</v>
      </c>
      <c r="AH92" s="31">
        <f t="shared" si="120"/>
        <v>354352</v>
      </c>
      <c r="AI92" s="110">
        <f t="shared" si="118"/>
        <v>2767697.230769231</v>
      </c>
    </row>
    <row r="95" spans="1:37">
      <c r="A95" t="s">
        <v>124</v>
      </c>
      <c r="B95" t="s">
        <v>143</v>
      </c>
      <c r="C95" s="31">
        <f t="shared" ref="C95:N96" si="121">C9+C15+C21+C27</f>
        <v>26</v>
      </c>
      <c r="D95" s="31">
        <f t="shared" si="121"/>
        <v>32</v>
      </c>
      <c r="E95" s="31">
        <f t="shared" si="121"/>
        <v>16</v>
      </c>
      <c r="F95" s="31">
        <f t="shared" si="121"/>
        <v>28</v>
      </c>
      <c r="G95" s="31">
        <f t="shared" si="121"/>
        <v>28</v>
      </c>
      <c r="H95" s="31">
        <f t="shared" si="121"/>
        <v>28</v>
      </c>
      <c r="I95" s="31">
        <f t="shared" si="121"/>
        <v>30</v>
      </c>
      <c r="J95" s="31">
        <f t="shared" si="121"/>
        <v>30</v>
      </c>
      <c r="K95" s="31">
        <f t="shared" si="121"/>
        <v>26</v>
      </c>
      <c r="L95" s="31">
        <f t="shared" si="121"/>
        <v>32</v>
      </c>
      <c r="M95" s="31">
        <f t="shared" si="121"/>
        <v>26</v>
      </c>
      <c r="N95" s="31">
        <f t="shared" si="121"/>
        <v>16</v>
      </c>
      <c r="O95" s="58">
        <f>SUM(C95:N95)</f>
        <v>318</v>
      </c>
      <c r="U95" t="s">
        <v>124</v>
      </c>
      <c r="W95" s="31">
        <f t="shared" ref="W95:AH96" si="122">W9+W15+W21</f>
        <v>36</v>
      </c>
      <c r="X95" s="31">
        <f t="shared" si="122"/>
        <v>30</v>
      </c>
      <c r="Y95" s="31">
        <f t="shared" si="122"/>
        <v>22</v>
      </c>
      <c r="Z95" s="31">
        <f t="shared" si="122"/>
        <v>28</v>
      </c>
      <c r="AA95" s="31">
        <f t="shared" si="122"/>
        <v>24</v>
      </c>
      <c r="AB95" s="31">
        <f t="shared" si="122"/>
        <v>22</v>
      </c>
      <c r="AC95" s="31">
        <f t="shared" si="122"/>
        <v>32</v>
      </c>
      <c r="AD95" s="31">
        <f t="shared" si="122"/>
        <v>40</v>
      </c>
      <c r="AE95" s="31">
        <f t="shared" si="122"/>
        <v>26</v>
      </c>
      <c r="AF95" s="31">
        <f t="shared" si="122"/>
        <v>138</v>
      </c>
      <c r="AG95" s="31">
        <f t="shared" si="122"/>
        <v>26</v>
      </c>
      <c r="AH95" s="31">
        <f t="shared" si="122"/>
        <v>30</v>
      </c>
      <c r="AI95" s="58">
        <f>SUM(W95:AH95)</f>
        <v>454</v>
      </c>
    </row>
    <row r="96" spans="1:37">
      <c r="B96" t="s">
        <v>144</v>
      </c>
      <c r="C96" s="31">
        <f t="shared" si="121"/>
        <v>443160</v>
      </c>
      <c r="D96" s="31">
        <f t="shared" si="121"/>
        <v>610112</v>
      </c>
      <c r="E96" s="31">
        <f t="shared" si="121"/>
        <v>290050</v>
      </c>
      <c r="F96" s="31">
        <f t="shared" si="121"/>
        <v>472104</v>
      </c>
      <c r="G96" s="31">
        <f t="shared" si="121"/>
        <v>439061.33333333331</v>
      </c>
      <c r="H96" s="31">
        <f t="shared" si="121"/>
        <v>489832</v>
      </c>
      <c r="I96" s="31">
        <f t="shared" si="121"/>
        <v>527046.71428571432</v>
      </c>
      <c r="J96" s="31">
        <f t="shared" si="121"/>
        <v>599346.38095238095</v>
      </c>
      <c r="K96" s="31">
        <f t="shared" si="121"/>
        <v>385960.53333333333</v>
      </c>
      <c r="L96" s="31">
        <f t="shared" si="121"/>
        <v>535615.46666666667</v>
      </c>
      <c r="M96" s="31">
        <f t="shared" si="121"/>
        <v>420281.83333333331</v>
      </c>
      <c r="N96" s="31">
        <f t="shared" si="121"/>
        <v>293860.8</v>
      </c>
      <c r="O96" s="58">
        <f t="shared" ref="O96:O101" si="123">SUM(C96:N96)</f>
        <v>5506431.0619047619</v>
      </c>
      <c r="W96" s="31">
        <f t="shared" si="122"/>
        <v>432440</v>
      </c>
      <c r="X96" s="31">
        <f t="shared" si="122"/>
        <v>599546.80000000005</v>
      </c>
      <c r="Y96" s="31">
        <f t="shared" si="122"/>
        <v>304426</v>
      </c>
      <c r="Z96" s="31">
        <f t="shared" si="122"/>
        <v>465201</v>
      </c>
      <c r="AA96" s="31">
        <f t="shared" si="122"/>
        <v>453958</v>
      </c>
      <c r="AB96" s="31">
        <f t="shared" si="122"/>
        <v>479268.8</v>
      </c>
      <c r="AC96" s="31">
        <f t="shared" si="122"/>
        <v>532232.80000000005</v>
      </c>
      <c r="AD96" s="31">
        <f t="shared" si="122"/>
        <v>592445</v>
      </c>
      <c r="AE96" s="31">
        <f t="shared" si="122"/>
        <v>360858</v>
      </c>
      <c r="AF96" s="31">
        <f t="shared" si="122"/>
        <v>1115751.3999999999</v>
      </c>
      <c r="AG96" s="31">
        <f t="shared" si="122"/>
        <v>420282.5</v>
      </c>
      <c r="AH96" s="31">
        <f t="shared" si="122"/>
        <v>293860.8</v>
      </c>
      <c r="AI96" s="58">
        <f t="shared" ref="AI96:AI100" si="124">SUM(W96:AH96)</f>
        <v>6050271.0999999987</v>
      </c>
    </row>
    <row r="97" spans="1:35">
      <c r="A97" t="s">
        <v>125</v>
      </c>
      <c r="B97" t="s">
        <v>143</v>
      </c>
      <c r="C97" s="31">
        <f t="shared" ref="C97:N98" si="125">C36+C42+C48+C54+C60+C66</f>
        <v>116</v>
      </c>
      <c r="D97" s="31">
        <f t="shared" si="125"/>
        <v>40</v>
      </c>
      <c r="E97" s="31">
        <f t="shared" si="125"/>
        <v>506</v>
      </c>
      <c r="F97" s="31">
        <f t="shared" si="125"/>
        <v>52</v>
      </c>
      <c r="G97" s="31">
        <f t="shared" si="125"/>
        <v>48</v>
      </c>
      <c r="H97" s="31">
        <f t="shared" si="125"/>
        <v>48</v>
      </c>
      <c r="I97" s="31">
        <f t="shared" si="125"/>
        <v>50</v>
      </c>
      <c r="J97" s="31">
        <f t="shared" si="125"/>
        <v>46</v>
      </c>
      <c r="K97" s="31">
        <f t="shared" si="125"/>
        <v>48</v>
      </c>
      <c r="L97" s="31">
        <f t="shared" si="125"/>
        <v>56</v>
      </c>
      <c r="M97" s="31">
        <f t="shared" si="125"/>
        <v>44</v>
      </c>
      <c r="N97" s="31">
        <f t="shared" si="125"/>
        <v>102</v>
      </c>
      <c r="O97" s="58">
        <f t="shared" si="123"/>
        <v>1156</v>
      </c>
      <c r="U97" t="s">
        <v>125</v>
      </c>
      <c r="W97" s="31">
        <f t="shared" ref="W97:AH98" si="126">W36+W42+W48+W54+W60+W66</f>
        <v>106</v>
      </c>
      <c r="X97" s="31">
        <f t="shared" si="126"/>
        <v>32</v>
      </c>
      <c r="Y97" s="31">
        <f t="shared" si="126"/>
        <v>344</v>
      </c>
      <c r="Z97" s="31">
        <f t="shared" si="126"/>
        <v>52</v>
      </c>
      <c r="AA97" s="31">
        <f t="shared" si="126"/>
        <v>44</v>
      </c>
      <c r="AB97" s="31">
        <f t="shared" si="126"/>
        <v>48</v>
      </c>
      <c r="AC97" s="31">
        <f t="shared" si="126"/>
        <v>106</v>
      </c>
      <c r="AD97" s="31">
        <f t="shared" si="126"/>
        <v>112</v>
      </c>
      <c r="AE97" s="31">
        <f t="shared" si="126"/>
        <v>100</v>
      </c>
      <c r="AF97" s="31">
        <f t="shared" si="126"/>
        <v>112</v>
      </c>
      <c r="AG97" s="31">
        <f t="shared" si="126"/>
        <v>88</v>
      </c>
      <c r="AH97" s="31">
        <f t="shared" si="126"/>
        <v>154</v>
      </c>
      <c r="AI97" s="58">
        <f t="shared" si="124"/>
        <v>1298</v>
      </c>
    </row>
    <row r="98" spans="1:35">
      <c r="B98" t="s">
        <v>144</v>
      </c>
      <c r="C98" s="31">
        <f t="shared" si="125"/>
        <v>646952</v>
      </c>
      <c r="D98" s="31">
        <f t="shared" si="125"/>
        <v>124548</v>
      </c>
      <c r="E98" s="31">
        <f t="shared" si="125"/>
        <v>4139234</v>
      </c>
      <c r="F98" s="31">
        <f t="shared" si="125"/>
        <v>179524</v>
      </c>
      <c r="G98" s="31">
        <f t="shared" si="125"/>
        <v>167194.07142857142</v>
      </c>
      <c r="H98" s="31">
        <f t="shared" si="125"/>
        <v>153782.13333333333</v>
      </c>
      <c r="I98" s="31">
        <f t="shared" si="125"/>
        <v>132357</v>
      </c>
      <c r="J98" s="31">
        <f t="shared" si="125"/>
        <v>158459.81818181818</v>
      </c>
      <c r="K98" s="31">
        <f t="shared" si="125"/>
        <v>164346.85714285716</v>
      </c>
      <c r="L98" s="31">
        <f t="shared" si="125"/>
        <v>186617.33333333334</v>
      </c>
      <c r="M98" s="31">
        <f t="shared" si="125"/>
        <v>122809.11111111112</v>
      </c>
      <c r="N98" s="31">
        <f t="shared" si="125"/>
        <v>614187.29004329012</v>
      </c>
      <c r="O98" s="58">
        <f t="shared" si="123"/>
        <v>6790011.614574315</v>
      </c>
      <c r="W98" s="31">
        <f t="shared" si="126"/>
        <v>624294</v>
      </c>
      <c r="X98" s="31">
        <f t="shared" si="126"/>
        <v>133390</v>
      </c>
      <c r="Y98" s="31">
        <f t="shared" si="126"/>
        <v>2370266.4615384615</v>
      </c>
      <c r="Z98" s="31">
        <f t="shared" si="126"/>
        <v>168254</v>
      </c>
      <c r="AA98" s="31">
        <f t="shared" si="126"/>
        <v>192958</v>
      </c>
      <c r="AB98" s="31">
        <f t="shared" si="126"/>
        <v>146772</v>
      </c>
      <c r="AC98" s="31">
        <f t="shared" si="126"/>
        <v>227260</v>
      </c>
      <c r="AD98" s="31">
        <f t="shared" si="126"/>
        <v>254484</v>
      </c>
      <c r="AE98" s="31">
        <f t="shared" si="126"/>
        <v>235624</v>
      </c>
      <c r="AF98" s="31">
        <f t="shared" si="126"/>
        <v>275090</v>
      </c>
      <c r="AG98" s="31">
        <f t="shared" si="126"/>
        <v>198298</v>
      </c>
      <c r="AH98" s="31">
        <f t="shared" si="126"/>
        <v>708704</v>
      </c>
      <c r="AI98" s="58">
        <f t="shared" si="124"/>
        <v>5535394.461538462</v>
      </c>
    </row>
    <row r="99" spans="1:35">
      <c r="C99" s="31">
        <f>C95+C97</f>
        <v>142</v>
      </c>
      <c r="D99" s="31">
        <f t="shared" ref="D99:N100" si="127">D95+D97</f>
        <v>72</v>
      </c>
      <c r="E99" s="31">
        <f t="shared" si="127"/>
        <v>522</v>
      </c>
      <c r="F99" s="31">
        <f t="shared" si="127"/>
        <v>80</v>
      </c>
      <c r="G99" s="31">
        <f t="shared" si="127"/>
        <v>76</v>
      </c>
      <c r="H99" s="31">
        <f t="shared" si="127"/>
        <v>76</v>
      </c>
      <c r="I99" s="31">
        <f t="shared" si="127"/>
        <v>80</v>
      </c>
      <c r="J99" s="31">
        <f t="shared" si="127"/>
        <v>76</v>
      </c>
      <c r="K99" s="31">
        <f t="shared" si="127"/>
        <v>74</v>
      </c>
      <c r="L99" s="31">
        <f t="shared" si="127"/>
        <v>88</v>
      </c>
      <c r="M99" s="31">
        <f t="shared" si="127"/>
        <v>70</v>
      </c>
      <c r="N99" s="31">
        <f t="shared" si="127"/>
        <v>118</v>
      </c>
      <c r="O99" s="58">
        <f t="shared" si="123"/>
        <v>1474</v>
      </c>
      <c r="W99" s="31">
        <f>W95+W97</f>
        <v>142</v>
      </c>
      <c r="X99" s="31">
        <f t="shared" ref="X99:AH100" si="128">X95+X97</f>
        <v>62</v>
      </c>
      <c r="Y99" s="31">
        <f t="shared" si="128"/>
        <v>366</v>
      </c>
      <c r="Z99" s="31">
        <f t="shared" si="128"/>
        <v>80</v>
      </c>
      <c r="AA99" s="31">
        <f t="shared" si="128"/>
        <v>68</v>
      </c>
      <c r="AB99" s="31">
        <f t="shared" si="128"/>
        <v>70</v>
      </c>
      <c r="AC99" s="31">
        <f t="shared" si="128"/>
        <v>138</v>
      </c>
      <c r="AD99" s="31">
        <f t="shared" si="128"/>
        <v>152</v>
      </c>
      <c r="AE99" s="31">
        <f t="shared" si="128"/>
        <v>126</v>
      </c>
      <c r="AF99" s="31">
        <f t="shared" si="128"/>
        <v>250</v>
      </c>
      <c r="AG99" s="31">
        <f t="shared" si="128"/>
        <v>114</v>
      </c>
      <c r="AH99" s="31">
        <f t="shared" si="128"/>
        <v>184</v>
      </c>
      <c r="AI99" s="58">
        <f t="shared" si="124"/>
        <v>1752</v>
      </c>
    </row>
    <row r="100" spans="1:35">
      <c r="C100" s="31">
        <f>C96+C98</f>
        <v>1090112</v>
      </c>
      <c r="D100" s="31">
        <f t="shared" si="127"/>
        <v>734660</v>
      </c>
      <c r="E100" s="31">
        <f t="shared" si="127"/>
        <v>4429284</v>
      </c>
      <c r="F100" s="31">
        <f t="shared" si="127"/>
        <v>651628</v>
      </c>
      <c r="G100" s="31">
        <f t="shared" si="127"/>
        <v>606255.40476190473</v>
      </c>
      <c r="H100" s="31">
        <f t="shared" si="127"/>
        <v>643614.1333333333</v>
      </c>
      <c r="I100" s="31">
        <f t="shared" si="127"/>
        <v>659403.71428571432</v>
      </c>
      <c r="J100" s="31">
        <f t="shared" si="127"/>
        <v>757806.19913419918</v>
      </c>
      <c r="K100" s="31">
        <f t="shared" si="127"/>
        <v>550307.39047619049</v>
      </c>
      <c r="L100" s="31">
        <f t="shared" si="127"/>
        <v>722232.8</v>
      </c>
      <c r="M100" s="31">
        <f t="shared" si="127"/>
        <v>543090.9444444445</v>
      </c>
      <c r="N100" s="31">
        <f t="shared" si="127"/>
        <v>908048.09004329005</v>
      </c>
      <c r="O100" s="58">
        <f t="shared" si="123"/>
        <v>12296442.676479077</v>
      </c>
      <c r="W100" s="31">
        <f>W96+W98</f>
        <v>1056734</v>
      </c>
      <c r="X100" s="31">
        <f t="shared" si="128"/>
        <v>732936.8</v>
      </c>
      <c r="Y100" s="31">
        <f t="shared" si="128"/>
        <v>2674692.4615384615</v>
      </c>
      <c r="Z100" s="31">
        <f t="shared" si="128"/>
        <v>633455</v>
      </c>
      <c r="AA100" s="31">
        <f t="shared" si="128"/>
        <v>646916</v>
      </c>
      <c r="AB100" s="31">
        <f t="shared" si="128"/>
        <v>626040.80000000005</v>
      </c>
      <c r="AC100" s="31">
        <f t="shared" si="128"/>
        <v>759492.8</v>
      </c>
      <c r="AD100" s="31">
        <f t="shared" si="128"/>
        <v>846929</v>
      </c>
      <c r="AE100" s="31">
        <f t="shared" si="128"/>
        <v>596482</v>
      </c>
      <c r="AF100" s="31">
        <f t="shared" si="128"/>
        <v>1390841.4</v>
      </c>
      <c r="AG100" s="31">
        <f t="shared" si="128"/>
        <v>618580.5</v>
      </c>
      <c r="AH100" s="31">
        <f t="shared" si="128"/>
        <v>1002564.8</v>
      </c>
      <c r="AI100" s="58">
        <f t="shared" si="124"/>
        <v>11585665.561538463</v>
      </c>
    </row>
    <row r="101" spans="1:35">
      <c r="O101" s="58">
        <f t="shared" si="123"/>
        <v>0</v>
      </c>
    </row>
  </sheetData>
  <mergeCells count="2">
    <mergeCell ref="B5:N5"/>
    <mergeCell ref="V5:AH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F79F-937F-4F5B-93AF-A7A350B012C8}">
  <sheetPr>
    <tabColor rgb="FFFFC000"/>
  </sheetPr>
  <dimension ref="A1:AQ214"/>
  <sheetViews>
    <sheetView zoomScale="80" zoomScaleNormal="80" workbookViewId="0">
      <selection activeCell="G8" sqref="G8"/>
    </sheetView>
  </sheetViews>
  <sheetFormatPr defaultRowHeight="14.4"/>
  <cols>
    <col min="1" max="1" width="20.33203125" bestFit="1" customWidth="1"/>
    <col min="2" max="2" width="27.44140625" customWidth="1"/>
    <col min="3" max="3" width="12.33203125" bestFit="1" customWidth="1"/>
    <col min="4" max="4" width="18.44140625" customWidth="1"/>
    <col min="5" max="7" width="14.88671875" bestFit="1" customWidth="1"/>
    <col min="8" max="8" width="15.109375" bestFit="1" customWidth="1"/>
    <col min="9" max="9" width="20.109375" bestFit="1" customWidth="1"/>
    <col min="10" max="10" width="18.109375" bestFit="1" customWidth="1"/>
    <col min="11" max="16" width="14.88671875" bestFit="1" customWidth="1"/>
    <col min="17" max="17" width="15.88671875" bestFit="1" customWidth="1"/>
    <col min="18" max="18" width="16" customWidth="1"/>
    <col min="19" max="19" width="13.5546875" style="39" bestFit="1" customWidth="1"/>
    <col min="20" max="21" width="10.88671875" customWidth="1"/>
    <col min="22" max="22" width="16" customWidth="1"/>
    <col min="23" max="23" width="11.44140625" customWidth="1"/>
    <col min="24" max="24" width="16.5546875" customWidth="1"/>
    <col min="25" max="25" width="8.88671875" customWidth="1"/>
    <col min="26" max="26" width="13.5546875" customWidth="1"/>
    <col min="27" max="27" width="13.88671875" customWidth="1"/>
    <col min="28" max="30" width="15.109375" customWidth="1"/>
    <col min="31" max="32" width="15.88671875" bestFit="1" customWidth="1"/>
    <col min="33" max="39" width="15.109375" customWidth="1"/>
    <col min="40" max="40" width="16.33203125" customWidth="1"/>
    <col min="41" max="41" width="14.88671875" style="39" customWidth="1"/>
    <col min="42" max="42" width="14.109375" customWidth="1"/>
  </cols>
  <sheetData>
    <row r="1" spans="1:40">
      <c r="I1" s="39">
        <f>USULAN!H23</f>
        <v>21797647173.142517</v>
      </c>
      <c r="L1" s="26"/>
    </row>
    <row r="2" spans="1:40">
      <c r="C2" t="s">
        <v>36</v>
      </c>
      <c r="E2">
        <f>'PANDU IKPP'!C1</f>
        <v>16900</v>
      </c>
      <c r="G2" t="s">
        <v>65</v>
      </c>
      <c r="I2" s="73">
        <v>21797589609</v>
      </c>
      <c r="AB2" t="str">
        <f>'PANDU IKPP'!Z1</f>
        <v>Tarif LN</v>
      </c>
      <c r="AD2" t="s">
        <v>65</v>
      </c>
      <c r="AF2" s="39">
        <f>USULAN!J32</f>
        <v>30388832037.237984</v>
      </c>
    </row>
    <row r="3" spans="1:40">
      <c r="E3" t="s">
        <v>37</v>
      </c>
      <c r="G3" s="148">
        <v>4.8433000000000002</v>
      </c>
      <c r="I3" s="73">
        <f>I1-I2</f>
        <v>57564.142517089844</v>
      </c>
      <c r="J3" s="39"/>
      <c r="K3" s="147"/>
      <c r="AB3" t="s">
        <v>37</v>
      </c>
      <c r="AD3" s="220">
        <v>4.5763410000000002</v>
      </c>
      <c r="AE3" s="107"/>
      <c r="AF3" s="31">
        <v>25781749970</v>
      </c>
      <c r="AG3" s="39"/>
    </row>
    <row r="4" spans="1:40">
      <c r="AF4" s="31">
        <f>AF2-AF3</f>
        <v>4607082067.2379837</v>
      </c>
    </row>
    <row r="5" spans="1:40">
      <c r="C5" s="333" t="s">
        <v>151</v>
      </c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Z5" s="333" t="s">
        <v>107</v>
      </c>
      <c r="AA5" s="333"/>
      <c r="AB5" s="333"/>
      <c r="AC5" s="333"/>
      <c r="AD5" s="333"/>
      <c r="AE5" s="333"/>
      <c r="AF5" s="333"/>
      <c r="AG5" s="333"/>
      <c r="AH5" s="333"/>
      <c r="AI5" s="333"/>
      <c r="AJ5" s="333"/>
      <c r="AK5" s="333"/>
      <c r="AL5" s="333"/>
      <c r="AM5" s="333"/>
    </row>
    <row r="6" spans="1:40"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P6" t="s">
        <v>49</v>
      </c>
      <c r="AB6" t="s">
        <v>38</v>
      </c>
      <c r="AC6" t="s">
        <v>39</v>
      </c>
      <c r="AD6" t="s">
        <v>40</v>
      </c>
      <c r="AE6" t="s">
        <v>41</v>
      </c>
      <c r="AF6" t="s">
        <v>42</v>
      </c>
      <c r="AG6" t="s">
        <v>43</v>
      </c>
      <c r="AH6" t="s">
        <v>44</v>
      </c>
      <c r="AI6" t="s">
        <v>45</v>
      </c>
      <c r="AJ6" t="s">
        <v>46</v>
      </c>
      <c r="AK6" t="s">
        <v>47</v>
      </c>
      <c r="AL6" t="s">
        <v>48</v>
      </c>
      <c r="AM6" t="s">
        <v>49</v>
      </c>
    </row>
    <row r="7" spans="1:40">
      <c r="C7" s="28" t="s">
        <v>50</v>
      </c>
      <c r="D7" s="28"/>
      <c r="R7" t="s">
        <v>64</v>
      </c>
      <c r="Z7" s="28" t="s">
        <v>50</v>
      </c>
      <c r="AA7" s="28"/>
    </row>
    <row r="8" spans="1:40">
      <c r="C8" t="s">
        <v>51</v>
      </c>
      <c r="D8" t="s">
        <v>66</v>
      </c>
      <c r="E8" s="96">
        <f>'PANDU CWD'!C7</f>
        <v>2</v>
      </c>
      <c r="F8" s="96">
        <f>'PANDU CWD'!D7</f>
        <v>6</v>
      </c>
      <c r="G8" s="96">
        <f>'PANDU CWD'!E7</f>
        <v>2</v>
      </c>
      <c r="H8" s="96">
        <f>'PANDU CWD'!F7</f>
        <v>6</v>
      </c>
      <c r="I8" s="96">
        <f>'PANDU CWD'!G7</f>
        <v>5</v>
      </c>
      <c r="J8" s="96">
        <f>'PANDU CWD'!H7</f>
        <v>5</v>
      </c>
      <c r="K8" s="96">
        <f>'PANDU CWD'!I7</f>
        <v>6</v>
      </c>
      <c r="L8" s="96">
        <f>'PANDU CWD'!J7</f>
        <v>6</v>
      </c>
      <c r="M8" s="96">
        <f>'PANDU CWD'!K7</f>
        <v>5</v>
      </c>
      <c r="N8" s="96">
        <f>'PANDU CWD'!L7</f>
        <v>6</v>
      </c>
      <c r="O8" s="96">
        <f>'PANDU CWD'!M7</f>
        <v>5</v>
      </c>
      <c r="P8" s="96">
        <f>'PANDU CWD'!N7</f>
        <v>2</v>
      </c>
      <c r="Q8" s="39">
        <f>SUM(E8:P8)</f>
        <v>56</v>
      </c>
      <c r="R8">
        <f>Q9/Q8</f>
        <v>19733.953231292515</v>
      </c>
      <c r="Z8" t="s">
        <v>51</v>
      </c>
      <c r="AA8" t="s">
        <v>66</v>
      </c>
      <c r="AB8" s="29">
        <f>'PANDU CWD'!W7</f>
        <v>7</v>
      </c>
      <c r="AC8" s="29">
        <f>'PANDU IKPP'!X7</f>
        <v>6</v>
      </c>
      <c r="AD8" s="29">
        <f>'PANDU IKPP'!Y7</f>
        <v>4</v>
      </c>
      <c r="AE8" s="29">
        <f>'PANDU IKPP'!Z7</f>
        <v>4</v>
      </c>
      <c r="AF8" s="29">
        <f>'PANDU IKPP'!AA7</f>
        <v>6</v>
      </c>
      <c r="AG8" s="29">
        <f>'PANDU IKPP'!AB7</f>
        <v>4</v>
      </c>
      <c r="AH8" s="29">
        <f>'PANDU IKPP'!AC7</f>
        <v>7</v>
      </c>
      <c r="AI8" s="29">
        <f>'PANDU IKPP'!AD7</f>
        <v>8</v>
      </c>
      <c r="AJ8" s="29">
        <f>'PANDU IKPP'!AE7</f>
        <v>6</v>
      </c>
      <c r="AK8" s="29">
        <f>'PANDU IKPP'!AF7</f>
        <v>6</v>
      </c>
      <c r="AL8" s="29">
        <f>'PANDU IKPP'!AG7</f>
        <v>4</v>
      </c>
      <c r="AM8" s="29">
        <f>'PANDU IKPP'!AH7</f>
        <v>6</v>
      </c>
      <c r="AN8" s="39">
        <f>SUM(AB8:AM8)</f>
        <v>68</v>
      </c>
    </row>
    <row r="9" spans="1:40">
      <c r="E9" s="96">
        <f>'PANDU CWD'!C8</f>
        <v>57157</v>
      </c>
      <c r="F9" s="96">
        <f>'PANDU CWD'!D8</f>
        <v>104594</v>
      </c>
      <c r="G9" s="96">
        <f>'PANDU CWD'!E8</f>
        <v>57157</v>
      </c>
      <c r="H9" s="96">
        <f>'PANDU CWD'!F8</f>
        <v>104594</v>
      </c>
      <c r="I9" s="96">
        <f>'PANDU CWD'!G8</f>
        <v>87161.666666666657</v>
      </c>
      <c r="J9" s="96">
        <f>'PANDU CWD'!H8</f>
        <v>87161.666666666657</v>
      </c>
      <c r="K9" s="96">
        <f>'PANDU CWD'!I8</f>
        <v>135600.85714285716</v>
      </c>
      <c r="L9" s="96">
        <f>'PANDU CWD'!J8</f>
        <v>135600.85714285716</v>
      </c>
      <c r="M9" s="96">
        <f>'PANDU CWD'!K8</f>
        <v>87161.666666666657</v>
      </c>
      <c r="N9" s="96">
        <f>'PANDU CWD'!L8</f>
        <v>104594</v>
      </c>
      <c r="O9" s="96">
        <f>'PANDU CWD'!M8</f>
        <v>87161.666666666657</v>
      </c>
      <c r="P9" s="96">
        <f>'PANDU CWD'!N8</f>
        <v>57157</v>
      </c>
      <c r="Q9" s="39">
        <f>SUM(E9:P9)</f>
        <v>1105101.3809523808</v>
      </c>
      <c r="AB9" s="29">
        <f>'PANDU CWD'!W8</f>
        <v>106603</v>
      </c>
      <c r="AC9" s="29">
        <f>'PANDU IKPP'!X8</f>
        <v>38129</v>
      </c>
      <c r="AD9" s="29">
        <f>'PANDU IKPP'!Y8</f>
        <v>191884</v>
      </c>
      <c r="AE9" s="29">
        <f>'PANDU IKPP'!Z8</f>
        <v>203667</v>
      </c>
      <c r="AF9" s="29">
        <f>'PANDU IKPP'!AA8</f>
        <v>57194</v>
      </c>
      <c r="AG9" s="29">
        <f>'PANDU IKPP'!AB8</f>
        <v>149244</v>
      </c>
      <c r="AH9" s="29">
        <f>'PANDU IKPP'!AC8</f>
        <v>85791</v>
      </c>
      <c r="AI9" s="29">
        <f>'PANDU IKPP'!AD8</f>
        <v>106603</v>
      </c>
      <c r="AJ9" s="29">
        <f>'PANDU IKPP'!AE8</f>
        <v>76258</v>
      </c>
      <c r="AK9" s="29">
        <f>'PANDU IKPP'!AF8</f>
        <v>191884</v>
      </c>
      <c r="AL9" s="29">
        <f>'PANDU IKPP'!AG8</f>
        <v>66726</v>
      </c>
      <c r="AM9" s="29">
        <f>'PANDU IKPP'!AH8</f>
        <v>127923</v>
      </c>
      <c r="AN9" s="39">
        <f>SUM(AB9:AM9)</f>
        <v>1401906</v>
      </c>
    </row>
    <row r="10" spans="1:40">
      <c r="A10" t="s">
        <v>69</v>
      </c>
      <c r="B10" t="s">
        <v>86</v>
      </c>
      <c r="C10" s="40" t="s">
        <v>20</v>
      </c>
      <c r="D10" s="104">
        <v>389.33</v>
      </c>
      <c r="E10" s="42"/>
      <c r="F10" s="42"/>
      <c r="G10" s="42"/>
      <c r="H10" s="42"/>
      <c r="I10" s="42"/>
      <c r="J10" s="42"/>
      <c r="K10" s="43"/>
      <c r="L10" s="43"/>
      <c r="M10" s="43"/>
      <c r="N10" s="43"/>
      <c r="O10" s="43"/>
      <c r="P10" s="43"/>
      <c r="Y10">
        <v>152.25</v>
      </c>
      <c r="Z10" s="40" t="s">
        <v>20</v>
      </c>
      <c r="AA10" s="221">
        <v>389</v>
      </c>
      <c r="AB10" s="42"/>
      <c r="AC10" s="42"/>
      <c r="AD10" s="42"/>
      <c r="AE10" s="42"/>
      <c r="AF10" s="42"/>
      <c r="AG10" s="42"/>
      <c r="AH10" s="43"/>
      <c r="AI10" s="43"/>
      <c r="AJ10" s="43"/>
      <c r="AK10" s="43"/>
      <c r="AL10" s="43"/>
      <c r="AM10" s="43"/>
    </row>
    <row r="11" spans="1:40">
      <c r="A11" t="s">
        <v>70</v>
      </c>
      <c r="B11" t="s">
        <v>70</v>
      </c>
      <c r="C11" s="40" t="s">
        <v>21</v>
      </c>
      <c r="D11" s="104">
        <v>0.01</v>
      </c>
      <c r="E11" s="42"/>
      <c r="F11" s="42"/>
      <c r="G11" s="42"/>
      <c r="H11" s="42"/>
      <c r="I11" s="42"/>
      <c r="J11" s="42"/>
      <c r="K11" s="43"/>
      <c r="L11" s="43"/>
      <c r="M11" s="43"/>
      <c r="N11" s="43"/>
      <c r="O11" s="43"/>
      <c r="P11" s="43"/>
      <c r="Y11">
        <v>5.0000000000000001E-3</v>
      </c>
      <c r="Z11" s="40" t="s">
        <v>21</v>
      </c>
      <c r="AA11" s="221">
        <v>0.01</v>
      </c>
      <c r="AB11" s="42"/>
      <c r="AC11" s="42"/>
      <c r="AD11" s="42"/>
      <c r="AE11" s="42"/>
      <c r="AF11" s="42"/>
      <c r="AG11" s="42"/>
      <c r="AH11" s="43"/>
      <c r="AI11" s="43"/>
      <c r="AJ11" s="43"/>
      <c r="AK11" s="43"/>
      <c r="AL11" s="43"/>
      <c r="AM11" s="43"/>
    </row>
    <row r="12" spans="1:40">
      <c r="A12" t="s">
        <v>71</v>
      </c>
      <c r="B12" t="s">
        <v>87</v>
      </c>
      <c r="C12" s="40" t="s">
        <v>20</v>
      </c>
      <c r="D12" s="104">
        <v>859.52</v>
      </c>
      <c r="E12" s="42"/>
      <c r="F12" s="42"/>
      <c r="G12" s="42"/>
      <c r="H12" s="42"/>
      <c r="I12" s="42"/>
      <c r="J12" s="42"/>
      <c r="K12" s="43"/>
      <c r="L12" s="43"/>
      <c r="M12" s="43"/>
      <c r="N12" s="43"/>
      <c r="O12" s="43"/>
      <c r="P12" s="43"/>
      <c r="Y12">
        <v>386.25</v>
      </c>
      <c r="Z12" s="40" t="s">
        <v>20</v>
      </c>
      <c r="AA12" s="221">
        <v>859</v>
      </c>
      <c r="AB12" s="42"/>
      <c r="AC12" s="42"/>
      <c r="AD12" s="42"/>
      <c r="AE12" s="42"/>
      <c r="AF12" s="42"/>
      <c r="AG12" s="42"/>
      <c r="AH12" s="43"/>
      <c r="AI12" s="43"/>
      <c r="AJ12" s="43"/>
      <c r="AK12" s="43"/>
      <c r="AL12" s="43"/>
      <c r="AM12" s="43"/>
    </row>
    <row r="13" spans="1:40">
      <c r="A13" t="s">
        <v>70</v>
      </c>
      <c r="B13" t="s">
        <v>70</v>
      </c>
      <c r="C13" s="40" t="s">
        <v>21</v>
      </c>
      <c r="D13" s="104">
        <v>0.01</v>
      </c>
      <c r="E13" s="42"/>
      <c r="F13" s="42"/>
      <c r="G13" s="42"/>
      <c r="H13" s="42"/>
      <c r="I13" s="42"/>
      <c r="J13" s="42"/>
      <c r="K13" s="43"/>
      <c r="L13" s="43"/>
      <c r="M13" s="43"/>
      <c r="N13" s="43"/>
      <c r="O13" s="43"/>
      <c r="P13" s="43"/>
      <c r="Y13">
        <v>5.0000000000000001E-3</v>
      </c>
      <c r="Z13" s="40" t="s">
        <v>21</v>
      </c>
      <c r="AA13" s="221">
        <v>0.01</v>
      </c>
      <c r="AB13" s="42"/>
      <c r="AC13" s="42"/>
      <c r="AD13" s="42"/>
      <c r="AE13" s="42"/>
      <c r="AF13" s="42"/>
      <c r="AG13" s="42"/>
      <c r="AH13" s="43"/>
      <c r="AI13" s="43"/>
      <c r="AJ13" s="43"/>
      <c r="AK13" s="43"/>
      <c r="AL13" s="43"/>
      <c r="AM13" s="43"/>
    </row>
    <row r="14" spans="1:40">
      <c r="A14" t="s">
        <v>72</v>
      </c>
      <c r="B14" t="s">
        <v>88</v>
      </c>
      <c r="C14" s="40" t="s">
        <v>20</v>
      </c>
      <c r="D14" s="104">
        <v>1342.72</v>
      </c>
      <c r="E14" s="42"/>
      <c r="F14" s="42"/>
      <c r="G14" s="42"/>
      <c r="H14" s="42"/>
      <c r="I14" s="42"/>
      <c r="J14" s="42"/>
      <c r="K14" s="43"/>
      <c r="L14" s="43"/>
      <c r="M14" s="43"/>
      <c r="N14" s="43"/>
      <c r="O14" s="43"/>
      <c r="P14" s="43"/>
      <c r="Y14">
        <v>587.1</v>
      </c>
      <c r="Z14" s="40" t="s">
        <v>20</v>
      </c>
      <c r="AA14" s="221">
        <v>1342.72</v>
      </c>
      <c r="AB14" s="42"/>
      <c r="AC14" s="42"/>
      <c r="AD14" s="42"/>
      <c r="AE14" s="42"/>
      <c r="AF14" s="42"/>
      <c r="AG14" s="42"/>
      <c r="AH14" s="43"/>
      <c r="AI14" s="43"/>
      <c r="AJ14" s="43"/>
      <c r="AK14" s="43"/>
      <c r="AL14" s="43"/>
      <c r="AM14" s="43"/>
    </row>
    <row r="15" spans="1:40">
      <c r="A15" t="s">
        <v>70</v>
      </c>
      <c r="B15" t="s">
        <v>70</v>
      </c>
      <c r="C15" s="40" t="s">
        <v>21</v>
      </c>
      <c r="D15" s="104">
        <v>0.01</v>
      </c>
      <c r="E15" s="42"/>
      <c r="F15" s="42"/>
      <c r="G15" s="42"/>
      <c r="H15" s="42"/>
      <c r="I15" s="42"/>
      <c r="J15" s="42"/>
      <c r="K15" s="43"/>
      <c r="L15" s="43"/>
      <c r="M15" s="43"/>
      <c r="N15" s="43"/>
      <c r="O15" s="43"/>
      <c r="P15" s="43"/>
      <c r="Y15">
        <v>5.0000000000000001E-3</v>
      </c>
      <c r="Z15" s="40" t="s">
        <v>21</v>
      </c>
      <c r="AA15" s="221">
        <v>0.01</v>
      </c>
      <c r="AB15" s="42"/>
      <c r="AC15" s="42"/>
      <c r="AD15" s="42"/>
      <c r="AE15" s="42"/>
      <c r="AF15" s="42"/>
      <c r="AG15" s="42"/>
      <c r="AH15" s="43"/>
      <c r="AI15" s="43"/>
      <c r="AJ15" s="43"/>
      <c r="AK15" s="43"/>
      <c r="AL15" s="43"/>
      <c r="AM15" s="43"/>
    </row>
    <row r="16" spans="1:40">
      <c r="A16" t="s">
        <v>73</v>
      </c>
      <c r="B16" t="s">
        <v>89</v>
      </c>
      <c r="C16" s="40" t="s">
        <v>20</v>
      </c>
      <c r="D16" s="104">
        <v>1700.12</v>
      </c>
      <c r="E16" s="42">
        <f>E8*$G$3</f>
        <v>9.6866000000000003</v>
      </c>
      <c r="F16" s="42">
        <f t="shared" ref="F16:P17" si="0">F8*$G$3</f>
        <v>29.059800000000003</v>
      </c>
      <c r="G16" s="42">
        <f t="shared" si="0"/>
        <v>9.6866000000000003</v>
      </c>
      <c r="H16" s="42">
        <f t="shared" si="0"/>
        <v>29.059800000000003</v>
      </c>
      <c r="I16" s="42">
        <f t="shared" si="0"/>
        <v>24.2165</v>
      </c>
      <c r="J16" s="42">
        <f t="shared" si="0"/>
        <v>24.2165</v>
      </c>
      <c r="K16" s="42">
        <f t="shared" si="0"/>
        <v>29.059800000000003</v>
      </c>
      <c r="L16" s="42">
        <f t="shared" si="0"/>
        <v>29.059800000000003</v>
      </c>
      <c r="M16" s="42">
        <f t="shared" si="0"/>
        <v>24.2165</v>
      </c>
      <c r="N16" s="42">
        <f t="shared" si="0"/>
        <v>29.059800000000003</v>
      </c>
      <c r="O16" s="42">
        <f t="shared" si="0"/>
        <v>24.2165</v>
      </c>
      <c r="P16" s="42">
        <f t="shared" si="0"/>
        <v>9.6866000000000003</v>
      </c>
      <c r="Q16" s="39">
        <f>SUM(E16:P16)</f>
        <v>271.22480000000002</v>
      </c>
      <c r="T16" s="67"/>
      <c r="Y16">
        <v>770</v>
      </c>
      <c r="Z16" s="40" t="s">
        <v>20</v>
      </c>
      <c r="AA16" s="221">
        <v>1700.12</v>
      </c>
      <c r="AB16" s="42">
        <f>AB8*$AD$3</f>
        <v>32.034387000000002</v>
      </c>
      <c r="AC16" s="42">
        <f t="shared" ref="AC16:AM17" si="1">AC8*$AD$3</f>
        <v>27.458046000000003</v>
      </c>
      <c r="AD16" s="42">
        <f t="shared" si="1"/>
        <v>18.305364000000001</v>
      </c>
      <c r="AE16" s="42">
        <f t="shared" si="1"/>
        <v>18.305364000000001</v>
      </c>
      <c r="AF16" s="42">
        <f t="shared" si="1"/>
        <v>27.458046000000003</v>
      </c>
      <c r="AG16" s="42">
        <f t="shared" si="1"/>
        <v>18.305364000000001</v>
      </c>
      <c r="AH16" s="42">
        <f t="shared" si="1"/>
        <v>32.034387000000002</v>
      </c>
      <c r="AI16" s="42">
        <f t="shared" si="1"/>
        <v>36.610728000000002</v>
      </c>
      <c r="AJ16" s="42">
        <f t="shared" si="1"/>
        <v>27.458046000000003</v>
      </c>
      <c r="AK16" s="42">
        <f t="shared" si="1"/>
        <v>27.458046000000003</v>
      </c>
      <c r="AL16" s="42">
        <f t="shared" si="1"/>
        <v>18.305364000000001</v>
      </c>
      <c r="AM16" s="42">
        <f t="shared" si="1"/>
        <v>27.458046000000003</v>
      </c>
      <c r="AN16" s="39">
        <f>SUM(AB16:AM16)</f>
        <v>311.19118800000001</v>
      </c>
    </row>
    <row r="17" spans="1:41">
      <c r="A17" t="s">
        <v>70</v>
      </c>
      <c r="B17" t="s">
        <v>70</v>
      </c>
      <c r="C17" s="40" t="s">
        <v>21</v>
      </c>
      <c r="D17" s="105">
        <v>7.0000000000000001E-3</v>
      </c>
      <c r="E17" s="42">
        <f>E9*$G$3</f>
        <v>276828.49810000003</v>
      </c>
      <c r="F17" s="42">
        <f t="shared" si="0"/>
        <v>506580.1202</v>
      </c>
      <c r="G17" s="42">
        <f t="shared" si="0"/>
        <v>276828.49810000003</v>
      </c>
      <c r="H17" s="42">
        <f t="shared" si="0"/>
        <v>506580.1202</v>
      </c>
      <c r="I17" s="42">
        <f t="shared" si="0"/>
        <v>422150.10016666661</v>
      </c>
      <c r="J17" s="42">
        <f t="shared" si="0"/>
        <v>422150.10016666661</v>
      </c>
      <c r="K17" s="42">
        <f t="shared" si="0"/>
        <v>656755.63140000007</v>
      </c>
      <c r="L17" s="42">
        <f t="shared" si="0"/>
        <v>656755.63140000007</v>
      </c>
      <c r="M17" s="42">
        <f t="shared" si="0"/>
        <v>422150.10016666661</v>
      </c>
      <c r="N17" s="42">
        <f t="shared" si="0"/>
        <v>506580.1202</v>
      </c>
      <c r="O17" s="42">
        <f t="shared" si="0"/>
        <v>422150.10016666661</v>
      </c>
      <c r="P17" s="42">
        <f t="shared" si="0"/>
        <v>276828.49810000003</v>
      </c>
      <c r="Q17" s="39">
        <f>SUM(E17:P17)</f>
        <v>5352337.5183666674</v>
      </c>
      <c r="T17" s="39"/>
      <c r="Y17">
        <v>4.0000000000000001E-3</v>
      </c>
      <c r="Z17" s="40" t="s">
        <v>21</v>
      </c>
      <c r="AA17" s="221">
        <v>7.0000000000000001E-3</v>
      </c>
      <c r="AB17" s="42">
        <f>AB9*$AD$3</f>
        <v>487851.67962300003</v>
      </c>
      <c r="AC17" s="42">
        <f t="shared" si="1"/>
        <v>174491.30598900001</v>
      </c>
      <c r="AD17" s="42">
        <f t="shared" si="1"/>
        <v>878126.61644400004</v>
      </c>
      <c r="AE17" s="42">
        <f t="shared" si="1"/>
        <v>932049.64244700002</v>
      </c>
      <c r="AF17" s="42">
        <f t="shared" si="1"/>
        <v>261739.24715400001</v>
      </c>
      <c r="AG17" s="42">
        <f t="shared" si="1"/>
        <v>682991.43620400003</v>
      </c>
      <c r="AH17" s="42">
        <f t="shared" si="1"/>
        <v>392608.87073100003</v>
      </c>
      <c r="AI17" s="42">
        <f t="shared" si="1"/>
        <v>487851.67962300003</v>
      </c>
      <c r="AJ17" s="42">
        <f t="shared" si="1"/>
        <v>348982.61197800003</v>
      </c>
      <c r="AK17" s="42">
        <f t="shared" si="1"/>
        <v>878126.61644400004</v>
      </c>
      <c r="AL17" s="42">
        <f t="shared" si="1"/>
        <v>305360.92956600001</v>
      </c>
      <c r="AM17" s="42">
        <f t="shared" si="1"/>
        <v>585419.26974300004</v>
      </c>
      <c r="AN17" s="39">
        <f>SUM(AB17:AM17)</f>
        <v>6415599.9059460005</v>
      </c>
    </row>
    <row r="18" spans="1:41">
      <c r="A18" t="s">
        <v>74</v>
      </c>
      <c r="B18" t="s">
        <v>90</v>
      </c>
      <c r="C18" s="40" t="s">
        <v>20</v>
      </c>
      <c r="D18" s="104">
        <v>1921.86</v>
      </c>
      <c r="E18" s="42"/>
      <c r="F18" s="42"/>
      <c r="G18" s="42"/>
      <c r="H18" s="42"/>
      <c r="I18" s="42"/>
      <c r="J18" s="42"/>
      <c r="K18" s="43"/>
      <c r="L18" s="43"/>
      <c r="M18" s="43"/>
      <c r="N18" s="43"/>
      <c r="O18" s="43"/>
      <c r="P18" s="43"/>
      <c r="Y18">
        <v>1220</v>
      </c>
      <c r="Z18" s="40" t="s">
        <v>20</v>
      </c>
      <c r="AA18" s="221">
        <v>1921.86</v>
      </c>
      <c r="AB18" s="42"/>
      <c r="AC18" s="42"/>
      <c r="AD18" s="42"/>
      <c r="AE18" s="42"/>
      <c r="AF18" s="42"/>
      <c r="AG18" s="42"/>
      <c r="AH18" s="43"/>
      <c r="AI18" s="43"/>
      <c r="AJ18" s="43"/>
      <c r="AK18" s="43"/>
      <c r="AL18" s="43"/>
      <c r="AM18" s="43"/>
    </row>
    <row r="19" spans="1:41">
      <c r="A19" t="s">
        <v>70</v>
      </c>
      <c r="B19" t="s">
        <v>70</v>
      </c>
      <c r="C19" s="40" t="s">
        <v>21</v>
      </c>
      <c r="D19" s="105">
        <v>5.0000000000000001E-3</v>
      </c>
      <c r="E19" s="42"/>
      <c r="F19" s="42"/>
      <c r="G19" s="42"/>
      <c r="H19" s="42"/>
      <c r="I19" s="42"/>
      <c r="J19" s="42"/>
      <c r="K19" s="43"/>
      <c r="L19" s="43"/>
      <c r="M19" s="43"/>
      <c r="N19" s="43"/>
      <c r="O19" s="43"/>
      <c r="P19" s="43"/>
      <c r="Y19">
        <v>4.0000000000000001E-3</v>
      </c>
      <c r="Z19" s="40" t="s">
        <v>21</v>
      </c>
      <c r="AA19" s="221">
        <v>5.0000000000000001E-3</v>
      </c>
      <c r="AB19" s="42"/>
      <c r="AC19" s="42"/>
      <c r="AD19" s="42"/>
      <c r="AE19" s="42"/>
      <c r="AF19" s="42"/>
      <c r="AG19" s="42"/>
      <c r="AH19" s="43"/>
      <c r="AI19" s="43"/>
      <c r="AJ19" s="43"/>
      <c r="AK19" s="43"/>
      <c r="AL19" s="43"/>
      <c r="AM19" s="43"/>
    </row>
    <row r="20" spans="1:41">
      <c r="A20" t="s">
        <v>75</v>
      </c>
      <c r="B20" t="s">
        <v>91</v>
      </c>
      <c r="C20" s="40" t="s">
        <v>20</v>
      </c>
      <c r="D20" s="104">
        <v>2000.72</v>
      </c>
      <c r="E20" s="42"/>
      <c r="F20" s="42"/>
      <c r="G20" s="42"/>
      <c r="H20" s="42"/>
      <c r="I20" s="42"/>
      <c r="J20" s="42"/>
      <c r="K20" s="43"/>
      <c r="L20" s="43"/>
      <c r="M20" s="43"/>
      <c r="N20" s="43"/>
      <c r="O20" s="43"/>
      <c r="P20" s="43"/>
      <c r="Y20">
        <v>1220</v>
      </c>
      <c r="Z20" s="40" t="s">
        <v>20</v>
      </c>
      <c r="AA20" s="221">
        <v>2000.72</v>
      </c>
      <c r="AB20" s="42"/>
      <c r="AC20" s="42"/>
      <c r="AD20" s="42"/>
      <c r="AE20" s="42"/>
      <c r="AF20" s="42"/>
      <c r="AG20" s="42"/>
      <c r="AH20" s="43"/>
      <c r="AI20" s="43"/>
      <c r="AJ20" s="43"/>
      <c r="AK20" s="43"/>
      <c r="AL20" s="43"/>
      <c r="AM20" s="43"/>
    </row>
    <row r="21" spans="1:41">
      <c r="A21" t="s">
        <v>70</v>
      </c>
      <c r="B21" t="s">
        <v>70</v>
      </c>
      <c r="C21" s="40" t="s">
        <v>21</v>
      </c>
      <c r="D21" s="104">
        <v>5.0000000000000001E-3</v>
      </c>
      <c r="E21" s="42"/>
      <c r="F21" s="42"/>
      <c r="G21" s="42"/>
      <c r="H21" s="42"/>
      <c r="I21" s="42"/>
      <c r="J21" s="42"/>
      <c r="K21" s="43"/>
      <c r="L21" s="43"/>
      <c r="M21" s="43"/>
      <c r="N21" s="43"/>
      <c r="O21" s="43"/>
      <c r="P21" s="43"/>
      <c r="Y21">
        <v>4.0000000000000001E-3</v>
      </c>
      <c r="Z21" s="40" t="s">
        <v>21</v>
      </c>
      <c r="AA21" s="221">
        <v>5.0000000000000001E-3</v>
      </c>
      <c r="AB21" s="42"/>
      <c r="AC21" s="42"/>
      <c r="AD21" s="42"/>
      <c r="AE21" s="42"/>
      <c r="AF21" s="42"/>
      <c r="AG21" s="42"/>
      <c r="AH21" s="43"/>
      <c r="AI21" s="43"/>
      <c r="AJ21" s="43"/>
      <c r="AK21" s="43"/>
      <c r="AL21" s="43"/>
      <c r="AM21" s="43"/>
    </row>
    <row r="22" spans="1:41">
      <c r="A22" t="s">
        <v>76</v>
      </c>
      <c r="B22" t="s">
        <v>92</v>
      </c>
      <c r="C22" s="40" t="s">
        <v>20</v>
      </c>
      <c r="D22" s="104">
        <v>2129.14</v>
      </c>
      <c r="E22" s="42"/>
      <c r="F22" s="42"/>
      <c r="G22" s="42"/>
      <c r="H22" s="42"/>
      <c r="I22" s="42"/>
      <c r="J22" s="42"/>
      <c r="K22" s="43"/>
      <c r="L22" s="43"/>
      <c r="M22" s="43"/>
      <c r="N22" s="43"/>
      <c r="O22" s="43"/>
      <c r="P22" s="43"/>
      <c r="Y22">
        <v>1300</v>
      </c>
      <c r="Z22" s="40" t="s">
        <v>20</v>
      </c>
      <c r="AA22" s="221">
        <v>2129.14</v>
      </c>
      <c r="AB22" s="42"/>
      <c r="AC22" s="42"/>
      <c r="AD22" s="42"/>
      <c r="AE22" s="42"/>
      <c r="AF22" s="42"/>
      <c r="AG22" s="42"/>
      <c r="AH22" s="43"/>
      <c r="AI22" s="43"/>
      <c r="AJ22" s="43"/>
      <c r="AK22" s="43"/>
      <c r="AL22" s="43"/>
      <c r="AM22" s="43"/>
    </row>
    <row r="23" spans="1:41">
      <c r="A23" t="s">
        <v>70</v>
      </c>
      <c r="B23" t="s">
        <v>70</v>
      </c>
      <c r="C23" s="40" t="s">
        <v>21</v>
      </c>
      <c r="D23" s="104">
        <v>2E-3</v>
      </c>
      <c r="E23" s="42"/>
      <c r="F23" s="42"/>
      <c r="G23" s="42"/>
      <c r="H23" s="42"/>
      <c r="I23" s="42"/>
      <c r="J23" s="42"/>
      <c r="K23" s="43"/>
      <c r="L23" s="43"/>
      <c r="M23" s="43"/>
      <c r="N23" s="43"/>
      <c r="O23" s="43"/>
      <c r="P23" s="43"/>
      <c r="Y23">
        <v>2E-3</v>
      </c>
      <c r="Z23" s="40" t="s">
        <v>21</v>
      </c>
      <c r="AA23" s="221">
        <v>2E-3</v>
      </c>
      <c r="AB23" s="42"/>
      <c r="AC23" s="42"/>
      <c r="AD23" s="42"/>
      <c r="AE23" s="42"/>
      <c r="AF23" s="42"/>
      <c r="AG23" s="42"/>
      <c r="AH23" s="43"/>
      <c r="AI23" s="43"/>
      <c r="AJ23" s="43"/>
      <c r="AK23" s="43"/>
      <c r="AL23" s="43"/>
      <c r="AM23" s="43"/>
    </row>
    <row r="24" spans="1:41">
      <c r="A24" t="s">
        <v>77</v>
      </c>
      <c r="B24" t="s">
        <v>93</v>
      </c>
      <c r="C24" s="40" t="s">
        <v>20</v>
      </c>
      <c r="D24" s="104">
        <v>2751.2</v>
      </c>
      <c r="E24" s="42"/>
      <c r="F24" s="42"/>
      <c r="G24" s="42"/>
      <c r="H24" s="42"/>
      <c r="I24" s="42"/>
      <c r="J24" s="42"/>
      <c r="K24" s="43"/>
      <c r="L24" s="43"/>
      <c r="M24" s="43"/>
      <c r="N24" s="43"/>
      <c r="O24" s="43"/>
      <c r="P24" s="43"/>
      <c r="Y24">
        <v>1700</v>
      </c>
      <c r="Z24" s="40" t="s">
        <v>20</v>
      </c>
      <c r="AA24" s="221">
        <v>2751.2</v>
      </c>
      <c r="AB24" s="42"/>
      <c r="AC24" s="42"/>
      <c r="AD24" s="42"/>
      <c r="AE24" s="42"/>
      <c r="AF24" s="42"/>
      <c r="AG24" s="42"/>
      <c r="AH24" s="43"/>
      <c r="AI24" s="43"/>
      <c r="AJ24" s="43"/>
      <c r="AK24" s="43"/>
      <c r="AL24" s="43"/>
      <c r="AM24" s="43"/>
    </row>
    <row r="25" spans="1:41">
      <c r="A25" t="s">
        <v>70</v>
      </c>
      <c r="B25" t="s">
        <v>70</v>
      </c>
      <c r="C25" s="40" t="s">
        <v>21</v>
      </c>
      <c r="D25" s="41">
        <v>2E-3</v>
      </c>
      <c r="E25" s="42"/>
      <c r="F25" s="42"/>
      <c r="G25" s="42"/>
      <c r="H25" s="42"/>
      <c r="I25" s="42"/>
      <c r="J25" s="42"/>
      <c r="K25" s="43"/>
      <c r="L25" s="43"/>
      <c r="M25" s="43"/>
      <c r="N25" s="43"/>
      <c r="O25" s="43"/>
      <c r="P25" s="43"/>
      <c r="Y25">
        <v>2E-3</v>
      </c>
      <c r="Z25" s="40" t="s">
        <v>21</v>
      </c>
      <c r="AA25" s="221">
        <v>2E-3</v>
      </c>
      <c r="AB25" s="42"/>
      <c r="AC25" s="42"/>
      <c r="AD25" s="42"/>
      <c r="AE25" s="42"/>
      <c r="AF25" s="42"/>
      <c r="AG25" s="42"/>
      <c r="AH25" s="43"/>
      <c r="AI25" s="43"/>
      <c r="AJ25" s="43"/>
      <c r="AK25" s="43"/>
      <c r="AL25" s="43"/>
      <c r="AM25" s="43"/>
    </row>
    <row r="26" spans="1:41">
      <c r="A26" t="s">
        <v>70</v>
      </c>
      <c r="B26" t="s">
        <v>70</v>
      </c>
      <c r="E26" s="29">
        <f>E16*$D$16*$E$2</f>
        <v>278315662.42479998</v>
      </c>
      <c r="F26" s="29">
        <f t="shared" ref="F26:P26" si="2">F16*$D$16*$E$2</f>
        <v>834946987.2744</v>
      </c>
      <c r="G26" s="29">
        <f t="shared" si="2"/>
        <v>278315662.42479998</v>
      </c>
      <c r="H26" s="29">
        <f t="shared" si="2"/>
        <v>834946987.2744</v>
      </c>
      <c r="I26" s="29">
        <f t="shared" si="2"/>
        <v>695789156.06200004</v>
      </c>
      <c r="J26" s="29">
        <f t="shared" si="2"/>
        <v>695789156.06200004</v>
      </c>
      <c r="K26" s="29">
        <f t="shared" si="2"/>
        <v>834946987.2744</v>
      </c>
      <c r="L26" s="29">
        <f t="shared" si="2"/>
        <v>834946987.2744</v>
      </c>
      <c r="M26" s="29">
        <f t="shared" si="2"/>
        <v>695789156.06200004</v>
      </c>
      <c r="N26" s="29">
        <f t="shared" si="2"/>
        <v>834946987.2744</v>
      </c>
      <c r="O26" s="29">
        <f t="shared" si="2"/>
        <v>695789156.06200004</v>
      </c>
      <c r="P26" s="29">
        <f t="shared" si="2"/>
        <v>278315662.42479998</v>
      </c>
      <c r="Q26" s="39">
        <f>SUM(E26:P26)</f>
        <v>7792838547.8943996</v>
      </c>
      <c r="AB26" s="29">
        <f>AB16*$D$16*$E$2</f>
        <v>920412904.24683607</v>
      </c>
      <c r="AC26" s="29">
        <f t="shared" ref="AC26:AM26" si="3">AC16*$D$16*$E$2</f>
        <v>788925346.49728799</v>
      </c>
      <c r="AD26" s="29">
        <f t="shared" si="3"/>
        <v>525950230.99819201</v>
      </c>
      <c r="AE26" s="29">
        <f t="shared" si="3"/>
        <v>525950230.99819201</v>
      </c>
      <c r="AF26" s="29">
        <f t="shared" si="3"/>
        <v>788925346.49728799</v>
      </c>
      <c r="AG26" s="29">
        <f t="shared" si="3"/>
        <v>525950230.99819201</v>
      </c>
      <c r="AH26" s="29">
        <f t="shared" si="3"/>
        <v>920412904.24683607</v>
      </c>
      <c r="AI26" s="29">
        <f t="shared" si="3"/>
        <v>1051900461.996384</v>
      </c>
      <c r="AJ26" s="29">
        <f t="shared" si="3"/>
        <v>788925346.49728799</v>
      </c>
      <c r="AK26" s="29">
        <f t="shared" si="3"/>
        <v>788925346.49728799</v>
      </c>
      <c r="AL26" s="29">
        <f t="shared" si="3"/>
        <v>525950230.99819201</v>
      </c>
      <c r="AM26" s="29">
        <f t="shared" si="3"/>
        <v>788925346.49728799</v>
      </c>
      <c r="AN26" s="39">
        <f>SUM(AB26:AM26)</f>
        <v>8941153926.9692631</v>
      </c>
      <c r="AO26" s="86">
        <v>11531109934.807644</v>
      </c>
    </row>
    <row r="27" spans="1:41">
      <c r="A27" t="s">
        <v>70</v>
      </c>
      <c r="B27" t="s">
        <v>70</v>
      </c>
      <c r="E27" s="29">
        <f>E17*$D$17*$E$2</f>
        <v>32748811.325230002</v>
      </c>
      <c r="F27" s="29">
        <f t="shared" ref="F27:P27" si="4">F17*$D$17*$E$2</f>
        <v>59928428.219660006</v>
      </c>
      <c r="G27" s="29">
        <f t="shared" si="4"/>
        <v>32748811.325230002</v>
      </c>
      <c r="H27" s="29">
        <f t="shared" si="4"/>
        <v>59928428.219660006</v>
      </c>
      <c r="I27" s="29">
        <f t="shared" si="4"/>
        <v>49940356.849716663</v>
      </c>
      <c r="J27" s="29">
        <f t="shared" si="4"/>
        <v>49940356.849716663</v>
      </c>
      <c r="K27" s="29">
        <f t="shared" si="4"/>
        <v>77694191.194620013</v>
      </c>
      <c r="L27" s="29">
        <f t="shared" si="4"/>
        <v>77694191.194620013</v>
      </c>
      <c r="M27" s="29">
        <f t="shared" si="4"/>
        <v>49940356.849716663</v>
      </c>
      <c r="N27" s="29">
        <f t="shared" si="4"/>
        <v>59928428.219660006</v>
      </c>
      <c r="O27" s="29">
        <f t="shared" si="4"/>
        <v>49940356.849716663</v>
      </c>
      <c r="P27" s="29">
        <f t="shared" si="4"/>
        <v>32748811.325230002</v>
      </c>
      <c r="Q27" s="39">
        <f>SUM(E27:P27)</f>
        <v>633181528.4227767</v>
      </c>
      <c r="AB27" s="29">
        <f>AB17*$D$17*$E$2</f>
        <v>57712853.699400902</v>
      </c>
      <c r="AC27" s="29">
        <f t="shared" ref="AC27:AM27" si="5">AC17*$D$17*$E$2</f>
        <v>20642321.498498701</v>
      </c>
      <c r="AD27" s="29">
        <f t="shared" si="5"/>
        <v>103882378.72532521</v>
      </c>
      <c r="AE27" s="29">
        <f t="shared" si="5"/>
        <v>110261472.70148011</v>
      </c>
      <c r="AF27" s="29">
        <f t="shared" si="5"/>
        <v>30963752.9383182</v>
      </c>
      <c r="AG27" s="29">
        <f t="shared" si="5"/>
        <v>80797886.90293321</v>
      </c>
      <c r="AH27" s="29">
        <f t="shared" si="5"/>
        <v>46445629.407477304</v>
      </c>
      <c r="AI27" s="29">
        <f t="shared" si="5"/>
        <v>57712853.699400902</v>
      </c>
      <c r="AJ27" s="29">
        <f t="shared" si="5"/>
        <v>41284642.996997401</v>
      </c>
      <c r="AK27" s="29">
        <f t="shared" si="5"/>
        <v>103882378.72532521</v>
      </c>
      <c r="AL27" s="29">
        <f t="shared" si="5"/>
        <v>36124197.967657797</v>
      </c>
      <c r="AM27" s="29">
        <f t="shared" si="5"/>
        <v>69255099.610596895</v>
      </c>
      <c r="AN27" s="39">
        <f>SUM(AB27:AM27)</f>
        <v>758965468.87341189</v>
      </c>
      <c r="AO27" s="86">
        <v>775986191.85537171</v>
      </c>
    </row>
    <row r="28" spans="1:41">
      <c r="A28" t="s">
        <v>70</v>
      </c>
      <c r="B28" t="s">
        <v>70</v>
      </c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6"/>
      <c r="O28" s="46"/>
      <c r="P28" s="46"/>
      <c r="Q28" s="44"/>
      <c r="R28" s="44"/>
      <c r="Z28" s="44"/>
      <c r="AA28" s="44"/>
      <c r="AB28" s="45"/>
      <c r="AC28" s="45"/>
      <c r="AD28" s="45"/>
      <c r="AE28" s="45"/>
      <c r="AF28" s="45"/>
      <c r="AG28" s="45"/>
      <c r="AH28" s="46"/>
      <c r="AI28" s="46"/>
      <c r="AJ28" s="46"/>
      <c r="AK28" s="46"/>
      <c r="AL28" s="46"/>
      <c r="AM28" s="46"/>
      <c r="AN28" s="44"/>
    </row>
    <row r="29" spans="1:41">
      <c r="A29" t="s">
        <v>70</v>
      </c>
      <c r="B29" t="s">
        <v>70</v>
      </c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6"/>
      <c r="O29" s="46"/>
      <c r="P29" s="46"/>
      <c r="Q29" s="44"/>
      <c r="R29" s="44"/>
      <c r="Z29" s="44"/>
      <c r="AA29" s="44"/>
      <c r="AB29" s="45"/>
      <c r="AC29" s="45"/>
      <c r="AD29" s="45"/>
      <c r="AE29" s="45"/>
      <c r="AF29" s="45"/>
      <c r="AG29" s="45"/>
      <c r="AH29" s="46"/>
      <c r="AI29" s="46"/>
      <c r="AJ29" s="46"/>
      <c r="AK29" s="46"/>
      <c r="AL29" s="46"/>
      <c r="AM29" s="46"/>
      <c r="AN29" s="44"/>
    </row>
    <row r="30" spans="1:41">
      <c r="A30" t="s">
        <v>70</v>
      </c>
      <c r="B30" t="s">
        <v>70</v>
      </c>
      <c r="C30" t="s">
        <v>56</v>
      </c>
      <c r="E30" s="99">
        <f>'PANDU CWD'!C13</f>
        <v>5</v>
      </c>
      <c r="F30" s="99">
        <f>'PANDU CWD'!D13</f>
        <v>5</v>
      </c>
      <c r="G30" s="99">
        <f>'PANDU CWD'!E13</f>
        <v>4</v>
      </c>
      <c r="H30" s="99">
        <f>'PANDU CWD'!F13</f>
        <v>5</v>
      </c>
      <c r="I30" s="99">
        <f>'PANDU CWD'!G13</f>
        <v>4</v>
      </c>
      <c r="J30" s="99">
        <f>'PANDU CWD'!H13</f>
        <v>5</v>
      </c>
      <c r="K30" s="99">
        <f>'PANDU CWD'!I13</f>
        <v>6</v>
      </c>
      <c r="L30" s="99">
        <f>'PANDU CWD'!J13</f>
        <v>5</v>
      </c>
      <c r="M30" s="99">
        <f>'PANDU CWD'!K13</f>
        <v>4</v>
      </c>
      <c r="N30" s="99">
        <f>'PANDU CWD'!L13</f>
        <v>6</v>
      </c>
      <c r="O30" s="99">
        <f>'PANDU CWD'!M13</f>
        <v>5</v>
      </c>
      <c r="P30" s="99">
        <f>'PANDU CWD'!N13</f>
        <v>4</v>
      </c>
      <c r="Q30" s="39">
        <f>SUM(E30:P30)</f>
        <v>58</v>
      </c>
      <c r="R30">
        <f>Q31/Q30</f>
        <v>5578.4543103448286</v>
      </c>
      <c r="Z30" t="s">
        <v>56</v>
      </c>
      <c r="AB30" s="29">
        <f>'PANDU CWD'!W13</f>
        <v>5</v>
      </c>
      <c r="AC30" s="29">
        <f>'PANDU CWD'!X13</f>
        <v>4</v>
      </c>
      <c r="AD30" s="29">
        <f>'PANDU CWD'!Y13</f>
        <v>5</v>
      </c>
      <c r="AE30" s="29">
        <f>'PANDU CWD'!Z13</f>
        <v>6</v>
      </c>
      <c r="AF30" s="29">
        <f>'PANDU CWD'!AA13</f>
        <v>5</v>
      </c>
      <c r="AG30" s="29">
        <f>'PANDU CWD'!AB13</f>
        <v>4</v>
      </c>
      <c r="AH30" s="29">
        <f>'PANDU CWD'!AC13</f>
        <v>5</v>
      </c>
      <c r="AI30" s="29">
        <f>'PANDU CWD'!AD13</f>
        <v>6</v>
      </c>
      <c r="AJ30" s="29">
        <f>'PANDU CWD'!AE13</f>
        <v>2</v>
      </c>
      <c r="AK30" s="29">
        <f>'PANDU CWD'!AF13</f>
        <v>57</v>
      </c>
      <c r="AL30" s="29">
        <f>'PANDU CWD'!AG13</f>
        <v>5</v>
      </c>
      <c r="AM30" s="29">
        <f>'PANDU CWD'!AH13</f>
        <v>4</v>
      </c>
      <c r="AN30" s="39">
        <f>SUM(AB30:AM30)</f>
        <v>108</v>
      </c>
    </row>
    <row r="31" spans="1:41">
      <c r="A31" t="s">
        <v>70</v>
      </c>
      <c r="B31" t="s">
        <v>70</v>
      </c>
      <c r="E31" s="99">
        <f>'PANDU CWD'!C14</f>
        <v>27518</v>
      </c>
      <c r="F31" s="99">
        <f>'PANDU CWD'!D14</f>
        <v>27297</v>
      </c>
      <c r="G31" s="99">
        <f>'PANDU CWD'!E14</f>
        <v>20109</v>
      </c>
      <c r="H31" s="99">
        <f>'PANDU CWD'!F14</f>
        <v>33615</v>
      </c>
      <c r="I31" s="99">
        <f>'PANDU CWD'!G14</f>
        <v>22014.400000000001</v>
      </c>
      <c r="J31" s="99">
        <f>'PANDU CWD'!H14</f>
        <v>27297</v>
      </c>
      <c r="K31" s="99">
        <f>'PANDU CWD'!I14</f>
        <v>30163.5</v>
      </c>
      <c r="L31" s="99">
        <f>'PANDU CWD'!J14</f>
        <v>33615</v>
      </c>
      <c r="M31" s="99">
        <f>'PANDU CWD'!K14</f>
        <v>22014.400000000001</v>
      </c>
      <c r="N31" s="99">
        <f>'PANDU CWD'!L14</f>
        <v>32756.399999999998</v>
      </c>
      <c r="O31" s="99">
        <f>'PANDU CWD'!M14</f>
        <v>25136.25</v>
      </c>
      <c r="P31" s="99">
        <f>'PANDU CWD'!N14</f>
        <v>22014.400000000001</v>
      </c>
      <c r="Q31" s="39">
        <f>SUM(E31:P31)</f>
        <v>323550.35000000003</v>
      </c>
      <c r="AB31" s="29">
        <f>'PANDU CWD'!W14</f>
        <v>33615</v>
      </c>
      <c r="AC31" s="29">
        <f>'PANDU CWD'!X14</f>
        <v>22014.400000000001</v>
      </c>
      <c r="AD31" s="29">
        <f>'PANDU CWD'!Y14</f>
        <v>27297</v>
      </c>
      <c r="AE31" s="29">
        <f>'PANDU CWD'!Z14</f>
        <v>30163.5</v>
      </c>
      <c r="AF31" s="29">
        <f>'PANDU CWD'!AA14</f>
        <v>33615</v>
      </c>
      <c r="AG31" s="29">
        <f>'PANDU CWD'!AB14</f>
        <v>22014.400000000001</v>
      </c>
      <c r="AH31" s="29">
        <f>'PANDU CWD'!AC14</f>
        <v>32756.399999999998</v>
      </c>
      <c r="AI31" s="29">
        <f>'PANDU CWD'!AD14</f>
        <v>30163.5</v>
      </c>
      <c r="AJ31" s="29">
        <f>'PANDU CWD'!AE14</f>
        <v>13615</v>
      </c>
      <c r="AK31" s="29">
        <f>'PANDU CWD'!AF14</f>
        <v>322823.7</v>
      </c>
      <c r="AL31" s="29">
        <f>'PANDU CWD'!AG14</f>
        <v>25136.25</v>
      </c>
      <c r="AM31" s="29">
        <f>'PANDU CWD'!AH14</f>
        <v>22014.400000000001</v>
      </c>
      <c r="AN31" s="39">
        <f>SUM(AB31:AM31)</f>
        <v>615228.55000000005</v>
      </c>
    </row>
    <row r="32" spans="1:41">
      <c r="A32" t="s">
        <v>69</v>
      </c>
      <c r="B32" t="s">
        <v>86</v>
      </c>
      <c r="C32" s="40" t="s">
        <v>20</v>
      </c>
      <c r="D32" s="104">
        <v>389.33</v>
      </c>
      <c r="E32" s="42"/>
      <c r="F32" s="42"/>
      <c r="G32" s="42"/>
      <c r="H32" s="42"/>
      <c r="I32" s="42"/>
      <c r="J32" s="42"/>
      <c r="K32" s="43"/>
      <c r="L32" s="43"/>
      <c r="M32" s="43"/>
      <c r="N32" s="43"/>
      <c r="O32" s="43"/>
      <c r="P32" s="43"/>
      <c r="Z32" s="40" t="s">
        <v>20</v>
      </c>
      <c r="AA32" s="41">
        <v>389</v>
      </c>
      <c r="AB32" s="42"/>
      <c r="AC32" s="42"/>
      <c r="AD32" s="42"/>
      <c r="AE32" s="42"/>
      <c r="AF32" s="42"/>
      <c r="AG32" s="42"/>
      <c r="AH32" s="43"/>
      <c r="AI32" s="43"/>
      <c r="AJ32" s="43"/>
      <c r="AK32" s="43"/>
      <c r="AL32" s="43"/>
      <c r="AM32" s="43"/>
    </row>
    <row r="33" spans="1:43">
      <c r="A33" t="s">
        <v>70</v>
      </c>
      <c r="B33" t="s">
        <v>70</v>
      </c>
      <c r="C33" s="40" t="s">
        <v>21</v>
      </c>
      <c r="D33" s="104">
        <v>0.01</v>
      </c>
      <c r="E33" s="42"/>
      <c r="F33" s="42"/>
      <c r="G33" s="42"/>
      <c r="H33" s="42"/>
      <c r="I33" s="42"/>
      <c r="J33" s="42"/>
      <c r="K33" s="43"/>
      <c r="L33" s="43"/>
      <c r="M33" s="43"/>
      <c r="N33" s="43"/>
      <c r="O33" s="43"/>
      <c r="P33" s="43"/>
      <c r="Z33" s="40" t="s">
        <v>21</v>
      </c>
      <c r="AA33" s="41">
        <v>0.01</v>
      </c>
      <c r="AB33" s="42"/>
      <c r="AC33" s="42"/>
      <c r="AD33" s="42"/>
      <c r="AE33" s="42"/>
      <c r="AF33" s="42"/>
      <c r="AG33" s="42"/>
      <c r="AH33" s="43"/>
      <c r="AI33" s="43"/>
      <c r="AJ33" s="43"/>
      <c r="AK33" s="43"/>
      <c r="AL33" s="43"/>
      <c r="AM33" s="43"/>
    </row>
    <row r="34" spans="1:43">
      <c r="A34" t="s">
        <v>71</v>
      </c>
      <c r="B34" t="s">
        <v>87</v>
      </c>
      <c r="C34" s="40" t="s">
        <v>20</v>
      </c>
      <c r="D34" s="104">
        <v>859.52</v>
      </c>
      <c r="E34" s="42">
        <f>E30*$G$3</f>
        <v>24.2165</v>
      </c>
      <c r="F34" s="42">
        <f t="shared" ref="F34:P35" si="6">F30*$G$3</f>
        <v>24.2165</v>
      </c>
      <c r="G34" s="42">
        <f t="shared" si="6"/>
        <v>19.373200000000001</v>
      </c>
      <c r="H34" s="42">
        <f t="shared" si="6"/>
        <v>24.2165</v>
      </c>
      <c r="I34" s="42">
        <f t="shared" si="6"/>
        <v>19.373200000000001</v>
      </c>
      <c r="J34" s="42">
        <f t="shared" si="6"/>
        <v>24.2165</v>
      </c>
      <c r="K34" s="42">
        <f t="shared" si="6"/>
        <v>29.059800000000003</v>
      </c>
      <c r="L34" s="42">
        <f t="shared" si="6"/>
        <v>24.2165</v>
      </c>
      <c r="M34" s="42">
        <f t="shared" si="6"/>
        <v>19.373200000000001</v>
      </c>
      <c r="N34" s="42">
        <f t="shared" si="6"/>
        <v>29.059800000000003</v>
      </c>
      <c r="O34" s="42">
        <f t="shared" si="6"/>
        <v>24.2165</v>
      </c>
      <c r="P34" s="42">
        <f t="shared" si="6"/>
        <v>19.373200000000001</v>
      </c>
      <c r="Q34" s="39">
        <f>SUM(E34:P34)</f>
        <v>280.91140000000001</v>
      </c>
      <c r="T34" s="67"/>
      <c r="Z34" s="40" t="s">
        <v>20</v>
      </c>
      <c r="AA34" s="41">
        <v>859</v>
      </c>
      <c r="AB34" s="42">
        <f>AB$30*$AD$3</f>
        <v>22.881705</v>
      </c>
      <c r="AC34" s="42">
        <f t="shared" ref="AC34:AM34" si="7">AC$30*$AD$3</f>
        <v>18.305364000000001</v>
      </c>
      <c r="AD34" s="42">
        <f t="shared" si="7"/>
        <v>22.881705</v>
      </c>
      <c r="AE34" s="42">
        <f t="shared" si="7"/>
        <v>27.458046000000003</v>
      </c>
      <c r="AF34" s="42">
        <f t="shared" si="7"/>
        <v>22.881705</v>
      </c>
      <c r="AG34" s="42">
        <f t="shared" si="7"/>
        <v>18.305364000000001</v>
      </c>
      <c r="AH34" s="42">
        <f t="shared" si="7"/>
        <v>22.881705</v>
      </c>
      <c r="AI34" s="42">
        <f t="shared" si="7"/>
        <v>27.458046000000003</v>
      </c>
      <c r="AJ34" s="42">
        <f t="shared" si="7"/>
        <v>9.1526820000000004</v>
      </c>
      <c r="AK34" s="42">
        <f t="shared" si="7"/>
        <v>260.85143700000003</v>
      </c>
      <c r="AL34" s="42">
        <f t="shared" si="7"/>
        <v>22.881705</v>
      </c>
      <c r="AM34" s="42">
        <f t="shared" si="7"/>
        <v>18.305364000000001</v>
      </c>
      <c r="AN34" s="39">
        <f>SUM(AB34:AM34)</f>
        <v>494.24482800000004</v>
      </c>
    </row>
    <row r="35" spans="1:43">
      <c r="A35" t="s">
        <v>70</v>
      </c>
      <c r="B35" t="s">
        <v>70</v>
      </c>
      <c r="C35" s="40" t="s">
        <v>21</v>
      </c>
      <c r="D35" s="104">
        <v>0.01</v>
      </c>
      <c r="E35" s="42">
        <f>E31*$G$3</f>
        <v>133277.92939999999</v>
      </c>
      <c r="F35" s="42">
        <f t="shared" si="6"/>
        <v>132207.5601</v>
      </c>
      <c r="G35" s="42">
        <f t="shared" si="6"/>
        <v>97393.919699999999</v>
      </c>
      <c r="H35" s="42">
        <f t="shared" si="6"/>
        <v>162807.5295</v>
      </c>
      <c r="I35" s="42">
        <f t="shared" si="6"/>
        <v>106622.34352000001</v>
      </c>
      <c r="J35" s="42">
        <f t="shared" si="6"/>
        <v>132207.5601</v>
      </c>
      <c r="K35" s="42">
        <f t="shared" si="6"/>
        <v>146090.87955000001</v>
      </c>
      <c r="L35" s="42">
        <f t="shared" si="6"/>
        <v>162807.5295</v>
      </c>
      <c r="M35" s="42">
        <f>M31*$G$3</f>
        <v>106622.34352000001</v>
      </c>
      <c r="N35" s="42">
        <f t="shared" si="6"/>
        <v>158649.07212</v>
      </c>
      <c r="O35" s="42">
        <f t="shared" si="6"/>
        <v>121742.39962500001</v>
      </c>
      <c r="P35" s="42">
        <f t="shared" si="6"/>
        <v>106622.34352000001</v>
      </c>
      <c r="Q35" s="39">
        <f>SUM(E35:P35)</f>
        <v>1567051.4101550002</v>
      </c>
      <c r="T35" s="39"/>
      <c r="Z35" s="40" t="s">
        <v>21</v>
      </c>
      <c r="AA35" s="41">
        <v>0.01</v>
      </c>
      <c r="AB35" s="42">
        <f>AB$31*$AD$3</f>
        <v>153833.70271500002</v>
      </c>
      <c r="AC35" s="42">
        <f t="shared" ref="AC35:AM35" si="8">AC$31*$AD$3</f>
        <v>100745.4013104</v>
      </c>
      <c r="AD35" s="42">
        <f t="shared" si="8"/>
        <v>124920.380277</v>
      </c>
      <c r="AE35" s="42">
        <f t="shared" si="8"/>
        <v>138038.46175350001</v>
      </c>
      <c r="AF35" s="42">
        <f t="shared" si="8"/>
        <v>153833.70271500002</v>
      </c>
      <c r="AG35" s="42">
        <f t="shared" si="8"/>
        <v>100745.4013104</v>
      </c>
      <c r="AH35" s="42">
        <f t="shared" si="8"/>
        <v>149904.4563324</v>
      </c>
      <c r="AI35" s="42">
        <f t="shared" si="8"/>
        <v>138038.46175350001</v>
      </c>
      <c r="AJ35" s="42">
        <f t="shared" si="8"/>
        <v>62306.882715</v>
      </c>
      <c r="AK35" s="42">
        <f t="shared" si="8"/>
        <v>1477351.3340817001</v>
      </c>
      <c r="AL35" s="42">
        <f t="shared" si="8"/>
        <v>115032.05146125001</v>
      </c>
      <c r="AM35" s="42">
        <f t="shared" si="8"/>
        <v>100745.4013104</v>
      </c>
      <c r="AN35" s="39">
        <f>SUM(AB35:AM35)</f>
        <v>2815495.6377355503</v>
      </c>
    </row>
    <row r="36" spans="1:43">
      <c r="A36" t="s">
        <v>72</v>
      </c>
      <c r="B36" t="s">
        <v>88</v>
      </c>
      <c r="C36" s="40" t="s">
        <v>20</v>
      </c>
      <c r="D36" s="104">
        <v>1342.72</v>
      </c>
      <c r="E36" s="42"/>
      <c r="F36" s="42"/>
      <c r="G36" s="42"/>
      <c r="H36" s="42"/>
      <c r="I36" s="42"/>
      <c r="J36" s="42"/>
      <c r="K36" s="43"/>
      <c r="L36" s="43"/>
      <c r="M36" s="43"/>
      <c r="N36" s="43"/>
      <c r="O36" s="43"/>
      <c r="P36" s="43"/>
      <c r="Z36" s="40" t="s">
        <v>20</v>
      </c>
      <c r="AA36" s="41">
        <v>1342.72</v>
      </c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39"/>
    </row>
    <row r="37" spans="1:43">
      <c r="A37" t="s">
        <v>70</v>
      </c>
      <c r="B37" t="s">
        <v>70</v>
      </c>
      <c r="C37" s="40" t="s">
        <v>21</v>
      </c>
      <c r="D37" s="104">
        <v>0.01</v>
      </c>
      <c r="E37" s="42"/>
      <c r="F37" s="42"/>
      <c r="G37" s="42"/>
      <c r="H37" s="42"/>
      <c r="I37" s="42"/>
      <c r="J37" s="42"/>
      <c r="K37" s="43"/>
      <c r="L37" s="43"/>
      <c r="M37" s="43"/>
      <c r="N37" s="43"/>
      <c r="O37" s="43"/>
      <c r="P37" s="43"/>
      <c r="Z37" s="40" t="s">
        <v>21</v>
      </c>
      <c r="AA37" s="41">
        <v>0.01</v>
      </c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39"/>
    </row>
    <row r="38" spans="1:43">
      <c r="A38" t="s">
        <v>73</v>
      </c>
      <c r="B38" t="s">
        <v>89</v>
      </c>
      <c r="C38" s="40" t="s">
        <v>20</v>
      </c>
      <c r="D38" s="104">
        <v>1700.12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Z38" s="40" t="s">
        <v>20</v>
      </c>
      <c r="AA38" s="41">
        <v>1700.12</v>
      </c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</row>
    <row r="39" spans="1:43">
      <c r="A39" t="s">
        <v>70</v>
      </c>
      <c r="B39" t="s">
        <v>70</v>
      </c>
      <c r="C39" s="40" t="s">
        <v>21</v>
      </c>
      <c r="D39" s="105">
        <v>7.0000000000000001E-3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Z39" s="40" t="s">
        <v>21</v>
      </c>
      <c r="AA39" s="41">
        <v>7.0000000000000001E-3</v>
      </c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</row>
    <row r="40" spans="1:43">
      <c r="A40" t="s">
        <v>74</v>
      </c>
      <c r="B40" t="s">
        <v>90</v>
      </c>
      <c r="C40" s="40" t="s">
        <v>20</v>
      </c>
      <c r="D40" s="104">
        <v>1921.86</v>
      </c>
      <c r="E40" s="42"/>
      <c r="F40" s="42"/>
      <c r="G40" s="42"/>
      <c r="H40" s="42"/>
      <c r="I40" s="42"/>
      <c r="J40" s="42"/>
      <c r="K40" s="43"/>
      <c r="L40" s="43"/>
      <c r="M40" s="43"/>
      <c r="N40" s="43"/>
      <c r="O40" s="43"/>
      <c r="P40" s="43"/>
      <c r="Z40" s="40" t="s">
        <v>20</v>
      </c>
      <c r="AA40" s="41">
        <v>1921.86</v>
      </c>
      <c r="AB40" s="42"/>
      <c r="AC40" s="42"/>
      <c r="AD40" s="42"/>
      <c r="AE40" s="42"/>
      <c r="AF40" s="42"/>
      <c r="AG40" s="42"/>
      <c r="AH40" s="43"/>
      <c r="AI40" s="43"/>
      <c r="AJ40" s="43"/>
      <c r="AK40" s="43"/>
      <c r="AL40" s="43"/>
      <c r="AM40" s="43"/>
    </row>
    <row r="41" spans="1:43">
      <c r="A41" t="s">
        <v>70</v>
      </c>
      <c r="B41" t="s">
        <v>70</v>
      </c>
      <c r="C41" s="40" t="s">
        <v>21</v>
      </c>
      <c r="D41" s="105">
        <v>5.0000000000000001E-3</v>
      </c>
      <c r="E41" s="42"/>
      <c r="F41" s="42"/>
      <c r="G41" s="42"/>
      <c r="H41" s="42"/>
      <c r="I41" s="42"/>
      <c r="J41" s="42"/>
      <c r="K41" s="43"/>
      <c r="L41" s="43"/>
      <c r="M41" s="43"/>
      <c r="N41" s="43"/>
      <c r="O41" s="43"/>
      <c r="P41" s="43"/>
      <c r="Z41" s="40" t="s">
        <v>21</v>
      </c>
      <c r="AA41" s="41">
        <v>5.0000000000000001E-3</v>
      </c>
      <c r="AB41" s="42"/>
      <c r="AC41" s="42"/>
      <c r="AD41" s="42"/>
      <c r="AE41" s="42"/>
      <c r="AF41" s="42"/>
      <c r="AG41" s="42"/>
      <c r="AH41" s="43"/>
      <c r="AI41" s="43"/>
      <c r="AJ41" s="43"/>
      <c r="AK41" s="43"/>
      <c r="AL41" s="43"/>
      <c r="AM41" s="43"/>
    </row>
    <row r="42" spans="1:43">
      <c r="A42" t="s">
        <v>75</v>
      </c>
      <c r="B42" t="s">
        <v>91</v>
      </c>
      <c r="C42" s="40" t="s">
        <v>20</v>
      </c>
      <c r="D42" s="104">
        <v>2000.72</v>
      </c>
      <c r="E42" s="42"/>
      <c r="F42" s="42"/>
      <c r="G42" s="42"/>
      <c r="H42" s="42"/>
      <c r="I42" s="42"/>
      <c r="J42" s="42"/>
      <c r="K42" s="43"/>
      <c r="L42" s="43"/>
      <c r="M42" s="43"/>
      <c r="N42" s="43"/>
      <c r="O42" s="43"/>
      <c r="P42" s="43"/>
      <c r="Z42" s="40" t="s">
        <v>20</v>
      </c>
      <c r="AA42" s="41">
        <v>2000.72</v>
      </c>
      <c r="AB42" s="42"/>
      <c r="AC42" s="42"/>
      <c r="AD42" s="42"/>
      <c r="AE42" s="42"/>
      <c r="AF42" s="42"/>
      <c r="AG42" s="42"/>
      <c r="AH42" s="43"/>
      <c r="AI42" s="43"/>
      <c r="AJ42" s="43"/>
      <c r="AK42" s="43"/>
      <c r="AL42" s="43"/>
      <c r="AM42" s="43"/>
    </row>
    <row r="43" spans="1:43">
      <c r="A43" t="s">
        <v>70</v>
      </c>
      <c r="B43" t="s">
        <v>70</v>
      </c>
      <c r="C43" s="40" t="s">
        <v>21</v>
      </c>
      <c r="D43" s="104">
        <v>5.0000000000000001E-3</v>
      </c>
      <c r="E43" s="42"/>
      <c r="F43" s="42"/>
      <c r="G43" s="42"/>
      <c r="H43" s="42"/>
      <c r="I43" s="42"/>
      <c r="J43" s="42"/>
      <c r="K43" s="43"/>
      <c r="L43" s="43"/>
      <c r="M43" s="43"/>
      <c r="N43" s="43"/>
      <c r="O43" s="43"/>
      <c r="P43" s="43"/>
      <c r="Z43" s="40" t="s">
        <v>21</v>
      </c>
      <c r="AA43" s="41">
        <v>5.0000000000000001E-3</v>
      </c>
      <c r="AB43" s="42"/>
      <c r="AC43" s="42"/>
      <c r="AD43" s="42"/>
      <c r="AE43" s="42"/>
      <c r="AF43" s="42"/>
      <c r="AG43" s="42"/>
      <c r="AH43" s="43"/>
      <c r="AI43" s="43"/>
      <c r="AJ43" s="43"/>
      <c r="AK43" s="43"/>
      <c r="AL43" s="43"/>
      <c r="AM43" s="43"/>
    </row>
    <row r="44" spans="1:43">
      <c r="A44" t="s">
        <v>76</v>
      </c>
      <c r="B44" t="s">
        <v>92</v>
      </c>
      <c r="C44" s="40" t="s">
        <v>20</v>
      </c>
      <c r="D44" s="104">
        <v>2129.14</v>
      </c>
      <c r="E44" s="42"/>
      <c r="F44" s="42"/>
      <c r="G44" s="42"/>
      <c r="H44" s="42"/>
      <c r="I44" s="42"/>
      <c r="J44" s="42"/>
      <c r="K44" s="43"/>
      <c r="L44" s="43"/>
      <c r="M44" s="43"/>
      <c r="N44" s="43"/>
      <c r="O44" s="43"/>
      <c r="P44" s="43"/>
      <c r="Z44" s="40" t="s">
        <v>20</v>
      </c>
      <c r="AA44" s="41">
        <v>2129.14</v>
      </c>
      <c r="AB44" s="42"/>
      <c r="AC44" s="42"/>
      <c r="AD44" s="42"/>
      <c r="AE44" s="42"/>
      <c r="AF44" s="42"/>
      <c r="AG44" s="42"/>
      <c r="AH44" s="43"/>
      <c r="AI44" s="43"/>
      <c r="AJ44" s="43"/>
      <c r="AK44" s="43"/>
      <c r="AL44" s="43"/>
      <c r="AM44" s="43"/>
    </row>
    <row r="45" spans="1:43">
      <c r="A45" t="s">
        <v>70</v>
      </c>
      <c r="B45" t="s">
        <v>70</v>
      </c>
      <c r="C45" s="40" t="s">
        <v>21</v>
      </c>
      <c r="D45" s="104">
        <v>2E-3</v>
      </c>
      <c r="E45" s="42"/>
      <c r="F45" s="42"/>
      <c r="G45" s="42"/>
      <c r="H45" s="42"/>
      <c r="I45" s="42"/>
      <c r="J45" s="42"/>
      <c r="K45" s="43"/>
      <c r="L45" s="43"/>
      <c r="M45" s="43"/>
      <c r="N45" s="43"/>
      <c r="O45" s="43"/>
      <c r="P45" s="43"/>
      <c r="Z45" s="40" t="s">
        <v>21</v>
      </c>
      <c r="AA45" s="41">
        <v>2E-3</v>
      </c>
      <c r="AB45" s="42"/>
      <c r="AC45" s="42"/>
      <c r="AD45" s="42"/>
      <c r="AE45" s="42"/>
      <c r="AF45" s="42"/>
      <c r="AG45" s="42"/>
      <c r="AH45" s="43"/>
      <c r="AI45" s="43"/>
      <c r="AJ45" s="43"/>
      <c r="AK45" s="43"/>
      <c r="AL45" s="43"/>
      <c r="AM45" s="43"/>
    </row>
    <row r="46" spans="1:43">
      <c r="A46" t="s">
        <v>77</v>
      </c>
      <c r="B46" t="s">
        <v>93</v>
      </c>
      <c r="C46" s="40" t="s">
        <v>20</v>
      </c>
      <c r="D46" s="104">
        <v>2751.2</v>
      </c>
      <c r="E46" s="42"/>
      <c r="F46" s="42"/>
      <c r="G46" s="42"/>
      <c r="H46" s="42"/>
      <c r="I46" s="42"/>
      <c r="J46" s="42"/>
      <c r="K46" s="43"/>
      <c r="L46" s="43"/>
      <c r="M46" s="43"/>
      <c r="N46" s="43"/>
      <c r="O46" s="43"/>
      <c r="P46" s="43"/>
      <c r="Z46" s="40" t="s">
        <v>20</v>
      </c>
      <c r="AA46" s="41">
        <v>2751.2</v>
      </c>
      <c r="AB46" s="42"/>
      <c r="AC46" s="42"/>
      <c r="AD46" s="42"/>
      <c r="AE46" s="42"/>
      <c r="AF46" s="42"/>
      <c r="AG46" s="42"/>
      <c r="AH46" s="43"/>
      <c r="AI46" s="43"/>
      <c r="AJ46" s="43"/>
      <c r="AK46" s="43"/>
      <c r="AL46" s="43"/>
      <c r="AM46" s="43"/>
    </row>
    <row r="47" spans="1:43">
      <c r="A47" t="s">
        <v>70</v>
      </c>
      <c r="B47" t="s">
        <v>70</v>
      </c>
      <c r="C47" s="40" t="s">
        <v>21</v>
      </c>
      <c r="D47" s="41">
        <v>2E-3</v>
      </c>
      <c r="E47" s="42"/>
      <c r="F47" s="42"/>
      <c r="G47" s="42"/>
      <c r="H47" s="42"/>
      <c r="I47" s="42"/>
      <c r="J47" s="42"/>
      <c r="K47" s="43"/>
      <c r="L47" s="43"/>
      <c r="M47" s="43"/>
      <c r="N47" s="43"/>
      <c r="O47" s="43"/>
      <c r="P47" s="43"/>
      <c r="Z47" s="40" t="s">
        <v>21</v>
      </c>
      <c r="AA47" s="41">
        <v>2E-3</v>
      </c>
      <c r="AB47" s="42"/>
      <c r="AC47" s="42"/>
      <c r="AD47" s="42"/>
      <c r="AE47" s="42"/>
      <c r="AF47" s="42"/>
      <c r="AG47" s="42"/>
      <c r="AH47" s="43"/>
      <c r="AI47" s="43"/>
      <c r="AJ47" s="43"/>
      <c r="AK47" s="43"/>
      <c r="AL47" s="43"/>
      <c r="AM47" s="43"/>
    </row>
    <row r="48" spans="1:43">
      <c r="A48" t="s">
        <v>70</v>
      </c>
      <c r="B48" t="s">
        <v>70</v>
      </c>
      <c r="E48" s="29">
        <f>E34*$D$34*$E$2</f>
        <v>351766166.75200003</v>
      </c>
      <c r="F48" s="29">
        <f t="shared" ref="F48:P48" si="9">F34*$D$34*$E$2</f>
        <v>351766166.75200003</v>
      </c>
      <c r="G48" s="29">
        <f t="shared" si="9"/>
        <v>281412933.4016</v>
      </c>
      <c r="H48" s="29">
        <f t="shared" si="9"/>
        <v>351766166.75200003</v>
      </c>
      <c r="I48" s="29">
        <f t="shared" si="9"/>
        <v>281412933.4016</v>
      </c>
      <c r="J48" s="29">
        <f t="shared" si="9"/>
        <v>351766166.75200003</v>
      </c>
      <c r="K48" s="29">
        <f t="shared" si="9"/>
        <v>422119400.1024</v>
      </c>
      <c r="L48" s="29">
        <f t="shared" si="9"/>
        <v>351766166.75200003</v>
      </c>
      <c r="M48" s="29">
        <f t="shared" si="9"/>
        <v>281412933.4016</v>
      </c>
      <c r="N48" s="29">
        <f t="shared" si="9"/>
        <v>422119400.1024</v>
      </c>
      <c r="O48" s="29">
        <f t="shared" si="9"/>
        <v>351766166.75200003</v>
      </c>
      <c r="P48" s="29">
        <f t="shared" si="9"/>
        <v>281412933.4016</v>
      </c>
      <c r="Q48" s="39">
        <f>SUM(E48:P48)</f>
        <v>4080487534.3231997</v>
      </c>
      <c r="AB48" s="29">
        <f>AB34*$AA$34*$E$2</f>
        <v>332175999.65549999</v>
      </c>
      <c r="AC48" s="29">
        <f t="shared" ref="AC48:AM48" si="10">AC34*$AA$34*$E$2</f>
        <v>265740799.72440001</v>
      </c>
      <c r="AD48" s="29">
        <f t="shared" si="10"/>
        <v>332175999.65549999</v>
      </c>
      <c r="AE48" s="29">
        <f t="shared" si="10"/>
        <v>398611199.58660007</v>
      </c>
      <c r="AF48" s="29">
        <f t="shared" si="10"/>
        <v>332175999.65549999</v>
      </c>
      <c r="AG48" s="29">
        <f t="shared" si="10"/>
        <v>265740799.72440001</v>
      </c>
      <c r="AH48" s="29">
        <f t="shared" si="10"/>
        <v>332175999.65549999</v>
      </c>
      <c r="AI48" s="29">
        <f t="shared" si="10"/>
        <v>398611199.58660007</v>
      </c>
      <c r="AJ48" s="29">
        <f t="shared" si="10"/>
        <v>132870399.86220001</v>
      </c>
      <c r="AK48" s="29">
        <f t="shared" si="10"/>
        <v>3786806396.0727005</v>
      </c>
      <c r="AL48" s="29">
        <f t="shared" si="10"/>
        <v>332175999.65549999</v>
      </c>
      <c r="AM48" s="29">
        <f t="shared" si="10"/>
        <v>265740799.72440001</v>
      </c>
      <c r="AN48" s="39">
        <f>SUM(AB48:AM48)</f>
        <v>7175001592.5588007</v>
      </c>
      <c r="AP48">
        <v>5686424083.8782101</v>
      </c>
      <c r="AQ48" s="54">
        <f>AN48/AP48</f>
        <v>1.2617774345921386</v>
      </c>
    </row>
    <row r="49" spans="1:43">
      <c r="A49" t="s">
        <v>70</v>
      </c>
      <c r="B49" t="s">
        <v>70</v>
      </c>
      <c r="E49" s="29">
        <f>E35*$D$35*$E$2</f>
        <v>22523970.068599999</v>
      </c>
      <c r="F49" s="29">
        <f t="shared" ref="F49:P49" si="11">F35*$D$35*$E$2</f>
        <v>22343077.6569</v>
      </c>
      <c r="G49" s="29">
        <f t="shared" si="11"/>
        <v>16459572.429300001</v>
      </c>
      <c r="H49" s="29">
        <f t="shared" si="11"/>
        <v>27514472.4855</v>
      </c>
      <c r="I49" s="29">
        <f t="shared" si="11"/>
        <v>18019176.054880001</v>
      </c>
      <c r="J49" s="29">
        <f t="shared" si="11"/>
        <v>22343077.6569</v>
      </c>
      <c r="K49" s="29">
        <f t="shared" si="11"/>
        <v>24689358.643950004</v>
      </c>
      <c r="L49" s="29">
        <f t="shared" si="11"/>
        <v>27514472.4855</v>
      </c>
      <c r="M49" s="29">
        <f t="shared" si="11"/>
        <v>18019176.054880001</v>
      </c>
      <c r="N49" s="29">
        <f t="shared" si="11"/>
        <v>26811693.188280001</v>
      </c>
      <c r="O49" s="29">
        <f t="shared" si="11"/>
        <v>20574465.536625002</v>
      </c>
      <c r="P49" s="29">
        <f t="shared" si="11"/>
        <v>18019176.054880001</v>
      </c>
      <c r="Q49" s="39">
        <f>SUM(E49:P49)</f>
        <v>264831688.31619501</v>
      </c>
      <c r="AB49" s="29">
        <f>AB35*$AA$35*$E$2</f>
        <v>25997895.758835003</v>
      </c>
      <c r="AC49" s="29">
        <f t="shared" ref="AC49:AM49" si="12">AC35*$AA$35*$E$2</f>
        <v>17025972.821457602</v>
      </c>
      <c r="AD49" s="29">
        <f t="shared" si="12"/>
        <v>21111544.266812999</v>
      </c>
      <c r="AE49" s="29">
        <f t="shared" si="12"/>
        <v>23328500.036341503</v>
      </c>
      <c r="AF49" s="29">
        <f t="shared" si="12"/>
        <v>25997895.758835003</v>
      </c>
      <c r="AG49" s="29">
        <f t="shared" si="12"/>
        <v>17025972.821457602</v>
      </c>
      <c r="AH49" s="29">
        <f t="shared" si="12"/>
        <v>25333853.120175604</v>
      </c>
      <c r="AI49" s="29">
        <f t="shared" si="12"/>
        <v>23328500.036341503</v>
      </c>
      <c r="AJ49" s="29">
        <f t="shared" si="12"/>
        <v>10529863.178835001</v>
      </c>
      <c r="AK49" s="29">
        <f t="shared" si="12"/>
        <v>249672375.45980731</v>
      </c>
      <c r="AL49" s="29">
        <f t="shared" si="12"/>
        <v>19440416.696951251</v>
      </c>
      <c r="AM49" s="29">
        <f t="shared" si="12"/>
        <v>17025972.821457602</v>
      </c>
      <c r="AN49" s="39">
        <f>SUM(AB49:AM49)</f>
        <v>475818762.77730805</v>
      </c>
      <c r="AP49">
        <v>476975938.79825771</v>
      </c>
      <c r="AQ49" s="54">
        <f>AN49/AP49</f>
        <v>0.99757393208582978</v>
      </c>
    </row>
    <row r="50" spans="1:43">
      <c r="A50" t="s">
        <v>70</v>
      </c>
      <c r="B50" t="s">
        <v>70</v>
      </c>
      <c r="C50" s="47"/>
      <c r="D50" s="47"/>
      <c r="E50" s="45"/>
      <c r="F50" s="45"/>
      <c r="G50" s="45"/>
      <c r="H50" s="45"/>
      <c r="I50" s="45"/>
      <c r="J50" s="45"/>
      <c r="K50" s="46"/>
      <c r="L50" s="46"/>
      <c r="M50" s="46"/>
      <c r="N50" s="46"/>
      <c r="O50" s="46"/>
      <c r="P50" s="46"/>
      <c r="Q50" s="44"/>
      <c r="R50" s="44"/>
      <c r="Z50" s="47"/>
      <c r="AA50" s="47"/>
      <c r="AB50" s="45"/>
      <c r="AC50" s="45"/>
      <c r="AD50" s="45"/>
      <c r="AE50" s="45"/>
      <c r="AF50" s="45"/>
      <c r="AG50" s="45"/>
      <c r="AH50" s="46"/>
      <c r="AI50" s="46"/>
      <c r="AJ50" s="46"/>
      <c r="AK50" s="46"/>
      <c r="AL50" s="46"/>
      <c r="AM50" s="46"/>
      <c r="AN50" s="44"/>
    </row>
    <row r="51" spans="1:43">
      <c r="A51" t="s">
        <v>70</v>
      </c>
      <c r="B51" t="s">
        <v>70</v>
      </c>
      <c r="C51" s="44"/>
      <c r="D51" s="44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8">
        <f>SUM(E51:P51)</f>
        <v>0</v>
      </c>
      <c r="R51" s="44"/>
      <c r="Z51" s="44"/>
      <c r="AA51" s="44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8">
        <f>SUM(AB51:AM51)</f>
        <v>0</v>
      </c>
    </row>
    <row r="52" spans="1:43">
      <c r="A52" t="s">
        <v>70</v>
      </c>
      <c r="B52" t="s">
        <v>70</v>
      </c>
      <c r="C52" t="s">
        <v>57</v>
      </c>
      <c r="E52" s="99">
        <f>'PANDU CWD'!C19</f>
        <v>5</v>
      </c>
      <c r="F52" s="99">
        <f>'PANDU CWD'!D19</f>
        <v>5</v>
      </c>
      <c r="G52" s="99">
        <f>'PANDU CWD'!E19</f>
        <v>2</v>
      </c>
      <c r="H52" s="99">
        <f>'PANDU CWD'!F19</f>
        <v>3</v>
      </c>
      <c r="I52" s="99">
        <f>'PANDU CWD'!G19</f>
        <v>4</v>
      </c>
      <c r="J52" s="99">
        <f>'PANDU CWD'!H19</f>
        <v>4</v>
      </c>
      <c r="K52" s="99">
        <f>'PANDU CWD'!I19</f>
        <v>3</v>
      </c>
      <c r="L52" s="99">
        <f>'PANDU CWD'!J19</f>
        <v>4</v>
      </c>
      <c r="M52" s="99">
        <f>'PANDU CWD'!K19</f>
        <v>3</v>
      </c>
      <c r="N52" s="99">
        <f>'PANDU CWD'!L19</f>
        <v>4</v>
      </c>
      <c r="O52" s="99">
        <f>'PANDU CWD'!M19</f>
        <v>3</v>
      </c>
      <c r="P52" s="99">
        <f>'PANDU CWD'!N19</f>
        <v>2</v>
      </c>
      <c r="Q52" s="39">
        <f>SUM(E52:P52)</f>
        <v>42</v>
      </c>
      <c r="R52">
        <f>Q53/Q52</f>
        <v>31240.590476190479</v>
      </c>
      <c r="Z52" t="s">
        <v>57</v>
      </c>
      <c r="AB52" s="29">
        <f>'PANDU CWD'!W19</f>
        <v>6</v>
      </c>
      <c r="AC52" s="29">
        <f>'PANDU CWD'!X19</f>
        <v>5</v>
      </c>
      <c r="AD52" s="29">
        <f>'PANDU CWD'!Y19</f>
        <v>2</v>
      </c>
      <c r="AE52" s="29">
        <f>'PANDU CWD'!Z19</f>
        <v>4</v>
      </c>
      <c r="AF52" s="29">
        <f>'PANDU CWD'!AA19</f>
        <v>1</v>
      </c>
      <c r="AG52" s="29">
        <f>'PANDU CWD'!AB19</f>
        <v>3</v>
      </c>
      <c r="AH52" s="29">
        <f>'PANDU CWD'!AC19</f>
        <v>4</v>
      </c>
      <c r="AI52" s="29">
        <f>'PANDU CWD'!AD19</f>
        <v>6</v>
      </c>
      <c r="AJ52" s="29">
        <f>'PANDU CWD'!AE19</f>
        <v>5</v>
      </c>
      <c r="AK52" s="29">
        <f>'PANDU CWD'!AF19</f>
        <v>6</v>
      </c>
      <c r="AL52" s="29">
        <f>'PANDU CWD'!AG19</f>
        <v>4</v>
      </c>
      <c r="AM52" s="29">
        <f>'PANDU CWD'!AH19</f>
        <v>5</v>
      </c>
      <c r="AN52" s="39">
        <f>SUM(AB52:AM52)</f>
        <v>51</v>
      </c>
    </row>
    <row r="53" spans="1:43">
      <c r="A53" t="s">
        <v>70</v>
      </c>
      <c r="B53" t="s">
        <v>70</v>
      </c>
      <c r="E53" s="99">
        <f>'PANDU CWD'!C20</f>
        <v>132752</v>
      </c>
      <c r="F53" s="99">
        <f>'PANDU CWD'!D20</f>
        <v>173165</v>
      </c>
      <c r="G53" s="99">
        <f>'PANDU CWD'!E20</f>
        <v>67759</v>
      </c>
      <c r="H53" s="99">
        <f>'PANDU CWD'!F20</f>
        <v>97843</v>
      </c>
      <c r="I53" s="99">
        <f>'PANDU CWD'!G20</f>
        <v>106201.60000000001</v>
      </c>
      <c r="J53" s="99">
        <f>'PANDU CWD'!H20</f>
        <v>130457.33333333333</v>
      </c>
      <c r="K53" s="99">
        <f>'PANDU CWD'!I20</f>
        <v>97759</v>
      </c>
      <c r="L53" s="99">
        <f>'PANDU CWD'!J20</f>
        <v>130457.33333333333</v>
      </c>
      <c r="M53" s="99">
        <f>'PANDU CWD'!K20</f>
        <v>79651.200000000012</v>
      </c>
      <c r="N53" s="99">
        <f>'PANDU CWD'!L20</f>
        <v>130457.33333333333</v>
      </c>
      <c r="O53" s="99">
        <f>'PANDU CWD'!M20</f>
        <v>97843</v>
      </c>
      <c r="P53" s="99">
        <f>'PANDU CWD'!N20</f>
        <v>67759</v>
      </c>
      <c r="Q53" s="39">
        <f>SUM(E53:P53)</f>
        <v>1312104.8</v>
      </c>
      <c r="AB53" s="29">
        <f>'PANDU CWD'!W20</f>
        <v>76002</v>
      </c>
      <c r="AC53" s="29">
        <f>'PANDU CWD'!X20</f>
        <v>173165</v>
      </c>
      <c r="AD53" s="29">
        <f>'PANDU CWD'!Y20</f>
        <v>67759</v>
      </c>
      <c r="AE53" s="29">
        <f>'PANDU CWD'!Z20</f>
        <v>97843</v>
      </c>
      <c r="AF53" s="29">
        <f>'PANDU CWD'!AA20</f>
        <v>106202</v>
      </c>
      <c r="AG53" s="29">
        <f>'PANDU CWD'!AB20</f>
        <v>130458</v>
      </c>
      <c r="AH53" s="29">
        <f>'PANDU CWD'!AC20</f>
        <v>97759</v>
      </c>
      <c r="AI53" s="29">
        <f>'PANDU CWD'!AD20</f>
        <v>130458</v>
      </c>
      <c r="AJ53" s="29">
        <f>'PANDU CWD'!AE20</f>
        <v>79652</v>
      </c>
      <c r="AK53" s="29">
        <f>'PANDU CWD'!AF20</f>
        <v>130458</v>
      </c>
      <c r="AL53" s="29">
        <f>'PANDU CWD'!AG20</f>
        <v>97843</v>
      </c>
      <c r="AM53" s="29">
        <f>'PANDU CWD'!AH20</f>
        <v>67759</v>
      </c>
      <c r="AN53" s="39">
        <f>SUM(AB53:AM53)</f>
        <v>1255358</v>
      </c>
    </row>
    <row r="54" spans="1:43">
      <c r="A54" t="s">
        <v>69</v>
      </c>
      <c r="B54" t="s">
        <v>86</v>
      </c>
      <c r="C54" s="40" t="s">
        <v>20</v>
      </c>
      <c r="D54" s="104">
        <v>389.33</v>
      </c>
      <c r="E54" s="42"/>
      <c r="F54" s="42"/>
      <c r="G54" s="42"/>
      <c r="H54" s="42"/>
      <c r="I54" s="42"/>
      <c r="J54" s="42"/>
      <c r="K54" s="43"/>
      <c r="L54" s="43"/>
      <c r="M54" s="43"/>
      <c r="N54" s="43"/>
      <c r="O54" s="43"/>
      <c r="P54" s="43"/>
      <c r="Z54" s="40" t="s">
        <v>20</v>
      </c>
      <c r="AA54" s="41">
        <v>389</v>
      </c>
      <c r="AB54" s="42"/>
      <c r="AC54" s="42"/>
      <c r="AD54" s="42"/>
      <c r="AE54" s="42"/>
      <c r="AF54" s="42"/>
      <c r="AG54" s="42"/>
      <c r="AH54" s="43"/>
      <c r="AI54" s="43"/>
      <c r="AJ54" s="43"/>
      <c r="AK54" s="43"/>
      <c r="AL54" s="43"/>
      <c r="AM54" s="43"/>
    </row>
    <row r="55" spans="1:43">
      <c r="A55" t="s">
        <v>70</v>
      </c>
      <c r="B55" t="s">
        <v>70</v>
      </c>
      <c r="C55" s="40" t="s">
        <v>21</v>
      </c>
      <c r="D55" s="104">
        <v>0.01</v>
      </c>
      <c r="E55" s="42"/>
      <c r="F55" s="42"/>
      <c r="G55" s="42"/>
      <c r="H55" s="42"/>
      <c r="I55" s="42"/>
      <c r="J55" s="42"/>
      <c r="K55" s="43"/>
      <c r="L55" s="43"/>
      <c r="M55" s="43"/>
      <c r="N55" s="43"/>
      <c r="O55" s="43"/>
      <c r="P55" s="43"/>
      <c r="Z55" s="40" t="s">
        <v>21</v>
      </c>
      <c r="AA55" s="41">
        <v>0.01</v>
      </c>
      <c r="AB55" s="42"/>
      <c r="AC55" s="42"/>
      <c r="AD55" s="42"/>
      <c r="AE55" s="42"/>
      <c r="AF55" s="42"/>
      <c r="AG55" s="42"/>
      <c r="AH55" s="43"/>
      <c r="AI55" s="43"/>
      <c r="AJ55" s="43"/>
      <c r="AK55" s="43"/>
      <c r="AL55" s="43"/>
      <c r="AM55" s="43"/>
    </row>
    <row r="56" spans="1:43">
      <c r="A56" t="s">
        <v>71</v>
      </c>
      <c r="B56" t="s">
        <v>87</v>
      </c>
      <c r="C56" s="40" t="s">
        <v>20</v>
      </c>
      <c r="D56" s="104">
        <v>859.52</v>
      </c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Z56" s="40" t="s">
        <v>20</v>
      </c>
      <c r="AA56" s="41">
        <v>859</v>
      </c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</row>
    <row r="57" spans="1:43">
      <c r="A57" t="s">
        <v>70</v>
      </c>
      <c r="B57" t="s">
        <v>70</v>
      </c>
      <c r="C57" s="40" t="s">
        <v>21</v>
      </c>
      <c r="D57" s="104">
        <v>0.01</v>
      </c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Z57" s="40" t="s">
        <v>21</v>
      </c>
      <c r="AA57" s="41">
        <v>0.01</v>
      </c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</row>
    <row r="58" spans="1:43">
      <c r="A58" t="s">
        <v>72</v>
      </c>
      <c r="B58" t="s">
        <v>88</v>
      </c>
      <c r="C58" s="40" t="s">
        <v>20</v>
      </c>
      <c r="D58" s="104">
        <v>1342.72</v>
      </c>
      <c r="E58" s="42"/>
      <c r="F58" s="42"/>
      <c r="G58" s="42"/>
      <c r="H58" s="42"/>
      <c r="I58" s="42"/>
      <c r="J58" s="42"/>
      <c r="K58" s="43"/>
      <c r="L58" s="43"/>
      <c r="M58" s="43"/>
      <c r="N58" s="43"/>
      <c r="O58" s="43"/>
      <c r="P58" s="43"/>
      <c r="Z58" s="40" t="s">
        <v>20</v>
      </c>
      <c r="AA58" s="41">
        <v>1342.72</v>
      </c>
      <c r="AB58" s="42"/>
      <c r="AC58" s="42"/>
      <c r="AD58" s="42"/>
      <c r="AE58" s="42"/>
      <c r="AF58" s="42"/>
      <c r="AG58" s="42"/>
      <c r="AH58" s="43"/>
      <c r="AI58" s="43"/>
      <c r="AJ58" s="43"/>
      <c r="AK58" s="43"/>
      <c r="AL58" s="43"/>
      <c r="AM58" s="43"/>
    </row>
    <row r="59" spans="1:43">
      <c r="A59" t="s">
        <v>70</v>
      </c>
      <c r="B59" t="s">
        <v>70</v>
      </c>
      <c r="C59" s="40" t="s">
        <v>21</v>
      </c>
      <c r="D59" s="104">
        <v>0.01</v>
      </c>
      <c r="E59" s="42"/>
      <c r="F59" s="42"/>
      <c r="G59" s="42"/>
      <c r="H59" s="42"/>
      <c r="I59" s="42"/>
      <c r="J59" s="42"/>
      <c r="K59" s="43"/>
      <c r="L59" s="43"/>
      <c r="M59" s="43"/>
      <c r="N59" s="43"/>
      <c r="O59" s="43"/>
      <c r="P59" s="43"/>
      <c r="Z59" s="40" t="s">
        <v>21</v>
      </c>
      <c r="AA59" s="41">
        <v>0.01</v>
      </c>
      <c r="AB59" s="42"/>
      <c r="AC59" s="42"/>
      <c r="AD59" s="42"/>
      <c r="AE59" s="42"/>
      <c r="AF59" s="42"/>
      <c r="AG59" s="42"/>
      <c r="AH59" s="43"/>
      <c r="AI59" s="43"/>
      <c r="AJ59" s="43"/>
      <c r="AK59" s="43"/>
      <c r="AL59" s="43"/>
      <c r="AM59" s="43"/>
    </row>
    <row r="60" spans="1:43">
      <c r="A60" t="s">
        <v>73</v>
      </c>
      <c r="B60" t="s">
        <v>89</v>
      </c>
      <c r="C60" s="40" t="s">
        <v>20</v>
      </c>
      <c r="D60" s="104">
        <v>1700.12</v>
      </c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Z60" s="40" t="s">
        <v>20</v>
      </c>
      <c r="AA60" s="41">
        <v>1700.12</v>
      </c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</row>
    <row r="61" spans="1:43">
      <c r="A61" t="s">
        <v>70</v>
      </c>
      <c r="B61" t="s">
        <v>70</v>
      </c>
      <c r="C61" s="40" t="s">
        <v>21</v>
      </c>
      <c r="D61" s="105">
        <v>7.0000000000000001E-3</v>
      </c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Z61" s="40" t="s">
        <v>21</v>
      </c>
      <c r="AA61" s="41">
        <v>7.0000000000000001E-3</v>
      </c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</row>
    <row r="62" spans="1:43">
      <c r="A62" t="s">
        <v>74</v>
      </c>
      <c r="B62" t="s">
        <v>90</v>
      </c>
      <c r="C62" s="40" t="s">
        <v>20</v>
      </c>
      <c r="D62" s="104">
        <v>1921.86</v>
      </c>
      <c r="E62" s="42"/>
      <c r="F62" s="42"/>
      <c r="G62" s="42"/>
      <c r="H62" s="42"/>
      <c r="I62" s="42"/>
      <c r="J62" s="42"/>
      <c r="K62" s="43"/>
      <c r="L62" s="43"/>
      <c r="M62" s="43"/>
      <c r="N62" s="43"/>
      <c r="O62" s="43"/>
      <c r="P62" s="43"/>
      <c r="Z62" s="40" t="s">
        <v>20</v>
      </c>
      <c r="AA62" s="41">
        <v>1921.86</v>
      </c>
      <c r="AB62" s="42"/>
      <c r="AC62" s="42"/>
      <c r="AD62" s="42"/>
      <c r="AE62" s="42"/>
      <c r="AF62" s="42"/>
      <c r="AG62" s="42"/>
      <c r="AH62" s="43"/>
      <c r="AI62" s="43"/>
      <c r="AJ62" s="43"/>
      <c r="AK62" s="43"/>
      <c r="AL62" s="43"/>
      <c r="AM62" s="43"/>
    </row>
    <row r="63" spans="1:43">
      <c r="A63" t="s">
        <v>70</v>
      </c>
      <c r="B63" t="s">
        <v>70</v>
      </c>
      <c r="C63" s="40" t="s">
        <v>21</v>
      </c>
      <c r="D63" s="105">
        <v>5.0000000000000001E-3</v>
      </c>
      <c r="E63" s="42"/>
      <c r="F63" s="42"/>
      <c r="G63" s="42"/>
      <c r="H63" s="42"/>
      <c r="I63" s="42"/>
      <c r="J63" s="42"/>
      <c r="K63" s="43"/>
      <c r="L63" s="43"/>
      <c r="M63" s="43"/>
      <c r="N63" s="43"/>
      <c r="O63" s="43"/>
      <c r="P63" s="43"/>
      <c r="Z63" s="40" t="s">
        <v>21</v>
      </c>
      <c r="AA63" s="41">
        <v>5.0000000000000001E-3</v>
      </c>
      <c r="AB63" s="42"/>
      <c r="AC63" s="42"/>
      <c r="AD63" s="42"/>
      <c r="AE63" s="42"/>
      <c r="AF63" s="42"/>
      <c r="AG63" s="42"/>
      <c r="AH63" s="43"/>
      <c r="AI63" s="43"/>
      <c r="AJ63" s="43"/>
      <c r="AK63" s="43"/>
      <c r="AL63" s="43"/>
      <c r="AM63" s="43"/>
    </row>
    <row r="64" spans="1:43">
      <c r="A64" t="s">
        <v>75</v>
      </c>
      <c r="B64" t="s">
        <v>91</v>
      </c>
      <c r="C64" s="40" t="s">
        <v>20</v>
      </c>
      <c r="D64" s="104">
        <v>2000.72</v>
      </c>
      <c r="E64" s="42">
        <f>E52*$G$3</f>
        <v>24.2165</v>
      </c>
      <c r="F64" s="42">
        <f t="shared" ref="F64:P65" si="13">F52*$G$3</f>
        <v>24.2165</v>
      </c>
      <c r="G64" s="42">
        <f t="shared" si="13"/>
        <v>9.6866000000000003</v>
      </c>
      <c r="H64" s="42">
        <f t="shared" si="13"/>
        <v>14.529900000000001</v>
      </c>
      <c r="I64" s="42">
        <f t="shared" si="13"/>
        <v>19.373200000000001</v>
      </c>
      <c r="J64" s="42">
        <f t="shared" si="13"/>
        <v>19.373200000000001</v>
      </c>
      <c r="K64" s="42">
        <f t="shared" si="13"/>
        <v>14.529900000000001</v>
      </c>
      <c r="L64" s="42">
        <f t="shared" si="13"/>
        <v>19.373200000000001</v>
      </c>
      <c r="M64" s="42">
        <f t="shared" si="13"/>
        <v>14.529900000000001</v>
      </c>
      <c r="N64" s="42">
        <f t="shared" si="13"/>
        <v>19.373200000000001</v>
      </c>
      <c r="O64" s="42">
        <f t="shared" si="13"/>
        <v>14.529900000000001</v>
      </c>
      <c r="P64" s="42">
        <f t="shared" si="13"/>
        <v>9.6866000000000003</v>
      </c>
      <c r="Q64" s="39">
        <f>SUM(E64:P64)</f>
        <v>203.4186</v>
      </c>
      <c r="T64" s="67"/>
      <c r="Z64" s="40" t="s">
        <v>20</v>
      </c>
      <c r="AA64" s="41">
        <v>2000.72</v>
      </c>
      <c r="AB64" s="42">
        <f>AB52*$AD$3</f>
        <v>27.458046000000003</v>
      </c>
      <c r="AC64" s="42">
        <f t="shared" ref="AC64:AM65" si="14">AC52*$AD$3</f>
        <v>22.881705</v>
      </c>
      <c r="AD64" s="42">
        <f t="shared" si="14"/>
        <v>9.1526820000000004</v>
      </c>
      <c r="AE64" s="42">
        <f t="shared" si="14"/>
        <v>18.305364000000001</v>
      </c>
      <c r="AF64" s="42">
        <f t="shared" si="14"/>
        <v>4.5763410000000002</v>
      </c>
      <c r="AG64" s="42">
        <f t="shared" si="14"/>
        <v>13.729023000000002</v>
      </c>
      <c r="AH64" s="42">
        <f t="shared" si="14"/>
        <v>18.305364000000001</v>
      </c>
      <c r="AI64" s="42">
        <f t="shared" si="14"/>
        <v>27.458046000000003</v>
      </c>
      <c r="AJ64" s="42">
        <f t="shared" si="14"/>
        <v>22.881705</v>
      </c>
      <c r="AK64" s="42">
        <f t="shared" si="14"/>
        <v>27.458046000000003</v>
      </c>
      <c r="AL64" s="42">
        <f t="shared" si="14"/>
        <v>18.305364000000001</v>
      </c>
      <c r="AM64" s="42">
        <f t="shared" si="14"/>
        <v>22.881705</v>
      </c>
      <c r="AN64" s="39">
        <f>SUM(AB64:AM64)</f>
        <v>233.39339100000001</v>
      </c>
    </row>
    <row r="65" spans="1:43">
      <c r="A65" t="s">
        <v>70</v>
      </c>
      <c r="B65" t="s">
        <v>70</v>
      </c>
      <c r="C65" s="40" t="s">
        <v>21</v>
      </c>
      <c r="D65" s="104">
        <v>5.0000000000000001E-3</v>
      </c>
      <c r="E65" s="42">
        <f>E53*$G$3</f>
        <v>642957.76159999997</v>
      </c>
      <c r="F65" s="42">
        <f t="shared" si="13"/>
        <v>838690.04450000008</v>
      </c>
      <c r="G65" s="42">
        <f t="shared" si="13"/>
        <v>328177.16470000002</v>
      </c>
      <c r="H65" s="42">
        <f t="shared" si="13"/>
        <v>473883.00190000003</v>
      </c>
      <c r="I65" s="42">
        <f t="shared" si="13"/>
        <v>514366.20928000007</v>
      </c>
      <c r="J65" s="42">
        <f t="shared" si="13"/>
        <v>631844.00253333338</v>
      </c>
      <c r="K65" s="42">
        <f t="shared" si="13"/>
        <v>473476.16470000002</v>
      </c>
      <c r="L65" s="42">
        <f t="shared" si="13"/>
        <v>631844.00253333338</v>
      </c>
      <c r="M65" s="42">
        <f t="shared" si="13"/>
        <v>385774.65696000005</v>
      </c>
      <c r="N65" s="42">
        <f t="shared" si="13"/>
        <v>631844.00253333338</v>
      </c>
      <c r="O65" s="42">
        <f t="shared" si="13"/>
        <v>473883.00190000003</v>
      </c>
      <c r="P65" s="42">
        <f t="shared" si="13"/>
        <v>328177.16470000002</v>
      </c>
      <c r="Q65" s="39">
        <f>SUM(E65:P65)</f>
        <v>6354917.17784</v>
      </c>
      <c r="T65" s="39"/>
      <c r="Z65" s="40" t="s">
        <v>21</v>
      </c>
      <c r="AA65" s="41">
        <v>5.0000000000000001E-3</v>
      </c>
      <c r="AB65" s="42">
        <f>AB53*$AD$3</f>
        <v>347811.06868200004</v>
      </c>
      <c r="AC65" s="42">
        <f t="shared" si="14"/>
        <v>792462.08926500008</v>
      </c>
      <c r="AD65" s="42">
        <f t="shared" si="14"/>
        <v>310088.289819</v>
      </c>
      <c r="AE65" s="42">
        <f t="shared" si="14"/>
        <v>447762.932463</v>
      </c>
      <c r="AF65" s="42">
        <f t="shared" si="14"/>
        <v>486016.56688200001</v>
      </c>
      <c r="AG65" s="42">
        <f t="shared" si="14"/>
        <v>597020.29417800007</v>
      </c>
      <c r="AH65" s="42">
        <f t="shared" si="14"/>
        <v>447378.51981900004</v>
      </c>
      <c r="AI65" s="42">
        <f t="shared" si="14"/>
        <v>597020.29417800007</v>
      </c>
      <c r="AJ65" s="42">
        <f t="shared" si="14"/>
        <v>364514.71333200001</v>
      </c>
      <c r="AK65" s="42">
        <f t="shared" si="14"/>
        <v>597020.29417800007</v>
      </c>
      <c r="AL65" s="42">
        <f t="shared" si="14"/>
        <v>447762.932463</v>
      </c>
      <c r="AM65" s="42">
        <f t="shared" si="14"/>
        <v>310088.289819</v>
      </c>
      <c r="AN65" s="39">
        <f>SUM(AB65:AM65)</f>
        <v>5744946.2850780003</v>
      </c>
    </row>
    <row r="66" spans="1:43">
      <c r="A66" t="s">
        <v>76</v>
      </c>
      <c r="B66" t="s">
        <v>92</v>
      </c>
      <c r="C66" s="40" t="s">
        <v>20</v>
      </c>
      <c r="D66" s="104">
        <v>2129.14</v>
      </c>
      <c r="E66" s="42"/>
      <c r="F66" s="42"/>
      <c r="G66" s="42"/>
      <c r="H66" s="42"/>
      <c r="I66" s="42"/>
      <c r="J66" s="42"/>
      <c r="K66" s="43"/>
      <c r="L66" s="43"/>
      <c r="M66" s="43"/>
      <c r="N66" s="43"/>
      <c r="O66" s="43"/>
      <c r="P66" s="43"/>
      <c r="Z66" s="40" t="s">
        <v>20</v>
      </c>
      <c r="AA66" s="41">
        <v>2129.14</v>
      </c>
      <c r="AB66" s="42"/>
      <c r="AC66" s="42"/>
      <c r="AD66" s="42"/>
      <c r="AE66" s="42"/>
      <c r="AF66" s="42"/>
      <c r="AG66" s="42"/>
      <c r="AH66" s="43"/>
      <c r="AI66" s="43"/>
      <c r="AJ66" s="43"/>
      <c r="AK66" s="43"/>
      <c r="AL66" s="43"/>
      <c r="AM66" s="43"/>
    </row>
    <row r="67" spans="1:43">
      <c r="A67" t="s">
        <v>70</v>
      </c>
      <c r="B67" t="s">
        <v>70</v>
      </c>
      <c r="C67" s="40" t="s">
        <v>21</v>
      </c>
      <c r="D67" s="104">
        <v>2E-3</v>
      </c>
      <c r="E67" s="42"/>
      <c r="F67" s="42"/>
      <c r="G67" s="42"/>
      <c r="H67" s="42"/>
      <c r="I67" s="42"/>
      <c r="J67" s="42"/>
      <c r="K67" s="43"/>
      <c r="L67" s="43"/>
      <c r="M67" s="43"/>
      <c r="N67" s="43"/>
      <c r="O67" s="43"/>
      <c r="P67" s="43"/>
      <c r="Z67" s="40" t="s">
        <v>21</v>
      </c>
      <c r="AA67" s="41">
        <v>2E-3</v>
      </c>
      <c r="AB67" s="42"/>
      <c r="AC67" s="42"/>
      <c r="AD67" s="42"/>
      <c r="AE67" s="42"/>
      <c r="AF67" s="42"/>
      <c r="AG67" s="42"/>
      <c r="AH67" s="43"/>
      <c r="AI67" s="43"/>
      <c r="AJ67" s="43"/>
      <c r="AK67" s="43"/>
      <c r="AL67" s="43"/>
      <c r="AM67" s="43"/>
    </row>
    <row r="68" spans="1:43">
      <c r="A68" t="s">
        <v>77</v>
      </c>
      <c r="B68" t="s">
        <v>93</v>
      </c>
      <c r="C68" s="40" t="s">
        <v>20</v>
      </c>
      <c r="D68" s="104">
        <v>2751.2</v>
      </c>
      <c r="E68" s="42"/>
      <c r="F68" s="42"/>
      <c r="G68" s="42"/>
      <c r="H68" s="42"/>
      <c r="I68" s="42"/>
      <c r="J68" s="42"/>
      <c r="K68" s="43"/>
      <c r="L68" s="43"/>
      <c r="M68" s="43"/>
      <c r="N68" s="43"/>
      <c r="O68" s="43"/>
      <c r="P68" s="43"/>
      <c r="Z68" s="40" t="s">
        <v>20</v>
      </c>
      <c r="AA68" s="41">
        <v>2751.2</v>
      </c>
      <c r="AB68" s="42"/>
      <c r="AC68" s="42"/>
      <c r="AD68" s="42"/>
      <c r="AE68" s="42"/>
      <c r="AF68" s="42"/>
      <c r="AG68" s="42"/>
      <c r="AH68" s="43"/>
      <c r="AI68" s="43"/>
      <c r="AJ68" s="43"/>
      <c r="AK68" s="43"/>
      <c r="AL68" s="43"/>
      <c r="AM68" s="43"/>
    </row>
    <row r="69" spans="1:43">
      <c r="A69" t="s">
        <v>70</v>
      </c>
      <c r="B69" t="s">
        <v>70</v>
      </c>
      <c r="C69" s="40" t="s">
        <v>21</v>
      </c>
      <c r="D69" s="41">
        <v>2E-3</v>
      </c>
      <c r="E69" s="42"/>
      <c r="F69" s="42"/>
      <c r="G69" s="42"/>
      <c r="H69" s="42"/>
      <c r="I69" s="42"/>
      <c r="J69" s="42"/>
      <c r="K69" s="43"/>
      <c r="L69" s="43"/>
      <c r="M69" s="43"/>
      <c r="N69" s="43"/>
      <c r="O69" s="43"/>
      <c r="P69" s="43"/>
      <c r="Z69" s="40" t="s">
        <v>21</v>
      </c>
      <c r="AA69" s="41">
        <v>2E-3</v>
      </c>
      <c r="AB69" s="42"/>
      <c r="AC69" s="42"/>
      <c r="AD69" s="42"/>
      <c r="AE69" s="42"/>
      <c r="AF69" s="42"/>
      <c r="AG69" s="42"/>
      <c r="AH69" s="43"/>
      <c r="AI69" s="43"/>
      <c r="AJ69" s="43"/>
      <c r="AK69" s="43"/>
      <c r="AL69" s="43"/>
      <c r="AM69" s="43"/>
    </row>
    <row r="70" spans="1:43">
      <c r="A70" t="s">
        <v>70</v>
      </c>
      <c r="B70" t="s">
        <v>70</v>
      </c>
      <c r="E70" s="29">
        <f>E64*$D$64*$E$2</f>
        <v>818812366.37199998</v>
      </c>
      <c r="F70" s="29">
        <f t="shared" ref="F70:P70" si="15">F64*$D$64*$E$2</f>
        <v>818812366.37199998</v>
      </c>
      <c r="G70" s="29">
        <f t="shared" si="15"/>
        <v>327524946.54880005</v>
      </c>
      <c r="H70" s="29">
        <f t="shared" si="15"/>
        <v>491287419.82320005</v>
      </c>
      <c r="I70" s="29">
        <f t="shared" si="15"/>
        <v>655049893.0976001</v>
      </c>
      <c r="J70" s="29">
        <f t="shared" si="15"/>
        <v>655049893.0976001</v>
      </c>
      <c r="K70" s="29">
        <f t="shared" si="15"/>
        <v>491287419.82320005</v>
      </c>
      <c r="L70" s="29">
        <f t="shared" si="15"/>
        <v>655049893.0976001</v>
      </c>
      <c r="M70" s="29">
        <f t="shared" si="15"/>
        <v>491287419.82320005</v>
      </c>
      <c r="N70" s="29">
        <f t="shared" si="15"/>
        <v>655049893.0976001</v>
      </c>
      <c r="O70" s="29">
        <f t="shared" si="15"/>
        <v>491287419.82320005</v>
      </c>
      <c r="P70" s="29">
        <f t="shared" si="15"/>
        <v>327524946.54880005</v>
      </c>
      <c r="Q70" s="39">
        <f>SUM(E70:P70)</f>
        <v>6878023877.5248013</v>
      </c>
      <c r="AB70" s="29">
        <f>AB64*$D$64*$E$2</f>
        <v>928416064.3037281</v>
      </c>
      <c r="AC70" s="29">
        <f t="shared" ref="AC70:AM70" si="16">AC64*$D$64*$E$2</f>
        <v>773680053.58643997</v>
      </c>
      <c r="AD70" s="29">
        <f t="shared" si="16"/>
        <v>309472021.43457597</v>
      </c>
      <c r="AE70" s="29">
        <f t="shared" si="16"/>
        <v>618944042.86915195</v>
      </c>
      <c r="AF70" s="29">
        <f t="shared" si="16"/>
        <v>154736010.71728799</v>
      </c>
      <c r="AG70" s="29">
        <f t="shared" si="16"/>
        <v>464208032.15186405</v>
      </c>
      <c r="AH70" s="29">
        <f t="shared" si="16"/>
        <v>618944042.86915195</v>
      </c>
      <c r="AI70" s="29">
        <f t="shared" si="16"/>
        <v>928416064.3037281</v>
      </c>
      <c r="AJ70" s="29">
        <f t="shared" si="16"/>
        <v>773680053.58643997</v>
      </c>
      <c r="AK70" s="29">
        <f t="shared" si="16"/>
        <v>928416064.3037281</v>
      </c>
      <c r="AL70" s="29">
        <f t="shared" si="16"/>
        <v>618944042.86915195</v>
      </c>
      <c r="AM70" s="29">
        <f t="shared" si="16"/>
        <v>773680053.58643997</v>
      </c>
      <c r="AN70" s="39">
        <f>SUM(AB70:AM70)</f>
        <v>7891536546.5816889</v>
      </c>
      <c r="AP70" s="81">
        <v>11280820041.581953</v>
      </c>
      <c r="AQ70" s="54">
        <f>AN70/AP70</f>
        <v>0.69955344713353196</v>
      </c>
    </row>
    <row r="71" spans="1:43">
      <c r="A71" t="s">
        <v>70</v>
      </c>
      <c r="B71" t="s">
        <v>70</v>
      </c>
      <c r="E71" s="29">
        <f>E65*$D$65*$E$2</f>
        <v>54329930.8552</v>
      </c>
      <c r="F71" s="29">
        <f t="shared" ref="F71:P71" si="17">F65*$D$65*$E$2</f>
        <v>70869308.760250002</v>
      </c>
      <c r="G71" s="29">
        <f t="shared" si="17"/>
        <v>27730970.417150006</v>
      </c>
      <c r="H71" s="29">
        <f t="shared" si="17"/>
        <v>40043113.660549998</v>
      </c>
      <c r="I71" s="29">
        <f t="shared" si="17"/>
        <v>43463944.684160009</v>
      </c>
      <c r="J71" s="29">
        <f t="shared" si="17"/>
        <v>53390818.214066677</v>
      </c>
      <c r="K71" s="29">
        <f t="shared" si="17"/>
        <v>40008735.917150006</v>
      </c>
      <c r="L71" s="29">
        <f t="shared" si="17"/>
        <v>53390818.214066677</v>
      </c>
      <c r="M71" s="29">
        <f t="shared" si="17"/>
        <v>32597958.513120003</v>
      </c>
      <c r="N71" s="29">
        <f t="shared" si="17"/>
        <v>53390818.214066677</v>
      </c>
      <c r="O71" s="29">
        <f t="shared" si="17"/>
        <v>40043113.660549998</v>
      </c>
      <c r="P71" s="29">
        <f t="shared" si="17"/>
        <v>27730970.417150006</v>
      </c>
      <c r="Q71" s="39">
        <f>SUM(E71:P71)</f>
        <v>536990501.52748001</v>
      </c>
      <c r="AB71" s="29">
        <f>AB65*$D$65*$E$2</f>
        <v>29390035.303629003</v>
      </c>
      <c r="AC71" s="29">
        <f t="shared" ref="AC71:AM71" si="18">AC65*$D$65*$E$2</f>
        <v>66963046.542892508</v>
      </c>
      <c r="AD71" s="29">
        <f t="shared" si="18"/>
        <v>26202460.489705499</v>
      </c>
      <c r="AE71" s="29">
        <f t="shared" si="18"/>
        <v>37835967.793123499</v>
      </c>
      <c r="AF71" s="29">
        <f t="shared" si="18"/>
        <v>41068399.901528999</v>
      </c>
      <c r="AG71" s="29">
        <f t="shared" si="18"/>
        <v>50448214.858041003</v>
      </c>
      <c r="AH71" s="29">
        <f t="shared" si="18"/>
        <v>37803484.924705505</v>
      </c>
      <c r="AI71" s="29">
        <f t="shared" si="18"/>
        <v>50448214.858041003</v>
      </c>
      <c r="AJ71" s="29">
        <f t="shared" si="18"/>
        <v>30801493.276554003</v>
      </c>
      <c r="AK71" s="29">
        <f t="shared" si="18"/>
        <v>50448214.858041003</v>
      </c>
      <c r="AL71" s="29">
        <f t="shared" si="18"/>
        <v>37835967.793123499</v>
      </c>
      <c r="AM71" s="29">
        <f t="shared" si="18"/>
        <v>26202460.489705499</v>
      </c>
      <c r="AN71" s="39">
        <f>SUM(AB71:AM71)</f>
        <v>485447961.08909094</v>
      </c>
      <c r="AP71" s="81">
        <v>1062112138.9958476</v>
      </c>
      <c r="AQ71" s="54">
        <f>AN71/AP71</f>
        <v>0.45705904608909553</v>
      </c>
    </row>
    <row r="72" spans="1:43">
      <c r="A72" t="s">
        <v>70</v>
      </c>
      <c r="B72" t="s">
        <v>70</v>
      </c>
      <c r="C72" s="47"/>
      <c r="D72" s="47"/>
      <c r="E72" s="45"/>
      <c r="F72" s="45"/>
      <c r="G72" s="45"/>
      <c r="H72" s="45"/>
      <c r="I72" s="45"/>
      <c r="J72" s="45"/>
      <c r="K72" s="46"/>
      <c r="L72" s="46"/>
      <c r="M72" s="46"/>
      <c r="N72" s="46"/>
      <c r="O72" s="46"/>
      <c r="P72" s="46"/>
      <c r="Q72" s="44"/>
      <c r="R72" s="44"/>
      <c r="Z72" t="s">
        <v>68</v>
      </c>
      <c r="AB72" s="99">
        <f>'PANDU CWD'!W25</f>
        <v>1</v>
      </c>
      <c r="AC72" s="99">
        <f>'PANDU CWD'!X25</f>
        <v>0</v>
      </c>
      <c r="AD72" s="99">
        <f>'PANDU CWD'!Y25</f>
        <v>0</v>
      </c>
      <c r="AE72" s="99">
        <f>'PANDU CWD'!Z25</f>
        <v>0</v>
      </c>
      <c r="AF72" s="99">
        <f>'PANDU CWD'!AA25</f>
        <v>1</v>
      </c>
      <c r="AG72" s="99">
        <f>'PANDU CWD'!AB25</f>
        <v>0</v>
      </c>
      <c r="AH72" s="99">
        <f>'PANDU CWD'!AC25</f>
        <v>0</v>
      </c>
      <c r="AI72" s="99">
        <f>'PANDU CWD'!AD25</f>
        <v>0</v>
      </c>
      <c r="AJ72" s="99">
        <f>'PANDU CWD'!AE25</f>
        <v>1</v>
      </c>
      <c r="AK72" s="99">
        <f>'PANDU CWD'!AF25</f>
        <v>0</v>
      </c>
      <c r="AL72" s="99">
        <f>'PANDU CWD'!AG25</f>
        <v>0</v>
      </c>
      <c r="AM72" s="99">
        <f>'PANDU CWD'!AH25</f>
        <v>0</v>
      </c>
      <c r="AN72" s="44"/>
    </row>
    <row r="73" spans="1:43">
      <c r="A73" t="s">
        <v>70</v>
      </c>
      <c r="B73" t="s">
        <v>70</v>
      </c>
      <c r="C73" s="44"/>
      <c r="D73" s="44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8">
        <f>SUM(E73:P73)</f>
        <v>0</v>
      </c>
      <c r="R73" s="44"/>
      <c r="AB73" s="99">
        <f>'PANDU CWD'!W26</f>
        <v>4153</v>
      </c>
      <c r="AC73" s="99">
        <f>'PANDU CWD'!X26</f>
        <v>0</v>
      </c>
      <c r="AD73" s="99">
        <f>'PANDU CWD'!Y26</f>
        <v>0</v>
      </c>
      <c r="AE73" s="99">
        <f>'PANDU CWD'!Z26</f>
        <v>0</v>
      </c>
      <c r="AF73" s="99">
        <f>'PANDU CWD'!AA26</f>
        <v>4153</v>
      </c>
      <c r="AG73" s="99">
        <f>'PANDU CWD'!AB26</f>
        <v>0</v>
      </c>
      <c r="AH73" s="99">
        <f>'PANDU CWD'!AC26</f>
        <v>0</v>
      </c>
      <c r="AI73" s="99">
        <f>'PANDU CWD'!AD26</f>
        <v>0</v>
      </c>
      <c r="AJ73" s="99">
        <f>'PANDU CWD'!AE26</f>
        <v>4153</v>
      </c>
      <c r="AK73" s="99">
        <f>'PANDU CWD'!AF26</f>
        <v>0</v>
      </c>
      <c r="AL73" s="99">
        <f>'PANDU CWD'!AG26</f>
        <v>0</v>
      </c>
      <c r="AM73" s="99">
        <f>'PANDU CWD'!AH26</f>
        <v>0</v>
      </c>
      <c r="AN73" s="48">
        <f>SUM(AB73:AM73)</f>
        <v>12459</v>
      </c>
    </row>
    <row r="74" spans="1:43">
      <c r="A74" t="s">
        <v>70</v>
      </c>
      <c r="B74" t="s">
        <v>70</v>
      </c>
      <c r="C74" t="s">
        <v>68</v>
      </c>
      <c r="E74" s="99">
        <f>'PANDU CWD'!C25</f>
        <v>1</v>
      </c>
      <c r="F74" s="99">
        <f>'PANDU CWD'!D25</f>
        <v>0</v>
      </c>
      <c r="G74" s="99">
        <f>'PANDU CWD'!E25</f>
        <v>0</v>
      </c>
      <c r="H74" s="99">
        <f>'PANDU CWD'!F25</f>
        <v>0</v>
      </c>
      <c r="I74" s="99">
        <f>'PANDU CWD'!G25</f>
        <v>1</v>
      </c>
      <c r="J74" s="99">
        <f>'PANDU CWD'!H25</f>
        <v>0</v>
      </c>
      <c r="K74" s="99">
        <f>'PANDU CWD'!I25</f>
        <v>0</v>
      </c>
      <c r="L74" s="99">
        <f>'PANDU CWD'!J25</f>
        <v>0</v>
      </c>
      <c r="M74" s="99">
        <f>'PANDU CWD'!K25</f>
        <v>1</v>
      </c>
      <c r="N74" s="99">
        <f>'PANDU CWD'!L25</f>
        <v>0</v>
      </c>
      <c r="O74" s="99">
        <f>'PANDU CWD'!M25</f>
        <v>0</v>
      </c>
      <c r="P74" s="99">
        <f>'PANDU CWD'!N25</f>
        <v>0</v>
      </c>
      <c r="Q74" s="39">
        <f>SUM(E74:P74)</f>
        <v>3</v>
      </c>
      <c r="R74" s="44"/>
      <c r="Z74" s="40" t="s">
        <v>20</v>
      </c>
      <c r="AA74" s="41">
        <v>389</v>
      </c>
      <c r="AB74" s="42"/>
      <c r="AC74" s="42"/>
      <c r="AD74" s="42"/>
      <c r="AE74" s="42"/>
      <c r="AF74" s="42"/>
      <c r="AG74" s="42"/>
      <c r="AH74" s="43"/>
      <c r="AI74" s="43"/>
      <c r="AJ74" s="43"/>
      <c r="AK74" s="43"/>
      <c r="AL74" s="43"/>
      <c r="AM74" s="43"/>
      <c r="AN74" s="48"/>
    </row>
    <row r="75" spans="1:43">
      <c r="A75" t="s">
        <v>70</v>
      </c>
      <c r="B75" t="s">
        <v>70</v>
      </c>
      <c r="E75" s="99">
        <f>'PANDU CWD'!C26</f>
        <v>4153</v>
      </c>
      <c r="F75" s="99">
        <f>'PANDU CWD'!D26</f>
        <v>0</v>
      </c>
      <c r="G75" s="99">
        <f>'PANDU CWD'!E26</f>
        <v>0</v>
      </c>
      <c r="H75" s="99">
        <f>'PANDU CWD'!F26</f>
        <v>0</v>
      </c>
      <c r="I75" s="99">
        <f>'PANDU CWD'!G26</f>
        <v>4153</v>
      </c>
      <c r="J75" s="99">
        <f>'PANDU CWD'!H26</f>
        <v>0</v>
      </c>
      <c r="K75" s="99">
        <f>'PANDU CWD'!I26</f>
        <v>0</v>
      </c>
      <c r="L75" s="99">
        <f>'PANDU CWD'!J26</f>
        <v>0</v>
      </c>
      <c r="M75" s="99">
        <f>'PANDU CWD'!K26</f>
        <v>4153</v>
      </c>
      <c r="N75" s="99">
        <f>'PANDU CWD'!L26</f>
        <v>0</v>
      </c>
      <c r="O75" s="99">
        <f>'PANDU CWD'!M26</f>
        <v>0</v>
      </c>
      <c r="P75" s="99">
        <f>'PANDU CWD'!N26</f>
        <v>0</v>
      </c>
      <c r="Q75" s="39">
        <f>SUM(E75:P75)</f>
        <v>12459</v>
      </c>
      <c r="R75" s="44"/>
      <c r="Z75" s="40" t="s">
        <v>21</v>
      </c>
      <c r="AA75" s="41">
        <v>0.01</v>
      </c>
      <c r="AB75" s="42"/>
      <c r="AC75" s="42"/>
      <c r="AD75" s="42"/>
      <c r="AE75" s="42"/>
      <c r="AF75" s="42"/>
      <c r="AG75" s="42"/>
      <c r="AH75" s="43"/>
      <c r="AI75" s="43"/>
      <c r="AJ75" s="43"/>
      <c r="AK75" s="43"/>
      <c r="AL75" s="43"/>
      <c r="AM75" s="43"/>
      <c r="AN75" s="48"/>
    </row>
    <row r="76" spans="1:43">
      <c r="A76" t="s">
        <v>69</v>
      </c>
      <c r="B76" t="s">
        <v>86</v>
      </c>
      <c r="C76" s="40" t="s">
        <v>20</v>
      </c>
      <c r="D76" s="104">
        <v>389.33</v>
      </c>
      <c r="E76" s="42">
        <f>E74*$G$3</f>
        <v>4.8433000000000002</v>
      </c>
      <c r="F76" s="42">
        <f t="shared" ref="F76:P77" si="19">F74*$G$3</f>
        <v>0</v>
      </c>
      <c r="G76" s="42">
        <f t="shared" si="19"/>
        <v>0</v>
      </c>
      <c r="H76" s="42">
        <f t="shared" si="19"/>
        <v>0</v>
      </c>
      <c r="I76" s="42">
        <f t="shared" si="19"/>
        <v>4.8433000000000002</v>
      </c>
      <c r="J76" s="42">
        <f t="shared" si="19"/>
        <v>0</v>
      </c>
      <c r="K76" s="42">
        <f t="shared" si="19"/>
        <v>0</v>
      </c>
      <c r="L76" s="42">
        <f t="shared" si="19"/>
        <v>0</v>
      </c>
      <c r="M76" s="42">
        <f t="shared" si="19"/>
        <v>4.8433000000000002</v>
      </c>
      <c r="N76" s="42">
        <f t="shared" si="19"/>
        <v>0</v>
      </c>
      <c r="O76" s="42">
        <f t="shared" si="19"/>
        <v>0</v>
      </c>
      <c r="P76" s="42">
        <f t="shared" si="19"/>
        <v>0</v>
      </c>
      <c r="Q76" s="39">
        <f>SUM(E76:P76)</f>
        <v>14.529900000000001</v>
      </c>
      <c r="R76" s="44"/>
      <c r="Z76" s="40" t="s">
        <v>20</v>
      </c>
      <c r="AA76" s="41">
        <v>859</v>
      </c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8"/>
    </row>
    <row r="77" spans="1:43">
      <c r="A77" t="s">
        <v>70</v>
      </c>
      <c r="B77" t="s">
        <v>70</v>
      </c>
      <c r="C77" s="40" t="s">
        <v>21</v>
      </c>
      <c r="D77" s="104">
        <v>0.01</v>
      </c>
      <c r="E77" s="42">
        <f>E75*$G$3</f>
        <v>20114.224900000001</v>
      </c>
      <c r="F77" s="42">
        <f t="shared" si="19"/>
        <v>0</v>
      </c>
      <c r="G77" s="42">
        <f t="shared" si="19"/>
        <v>0</v>
      </c>
      <c r="H77" s="42">
        <f t="shared" si="19"/>
        <v>0</v>
      </c>
      <c r="I77" s="42">
        <f t="shared" si="19"/>
        <v>20114.224900000001</v>
      </c>
      <c r="J77" s="42">
        <f t="shared" si="19"/>
        <v>0</v>
      </c>
      <c r="K77" s="42">
        <f t="shared" si="19"/>
        <v>0</v>
      </c>
      <c r="L77" s="42">
        <f t="shared" si="19"/>
        <v>0</v>
      </c>
      <c r="M77" s="42">
        <f t="shared" si="19"/>
        <v>20114.224900000001</v>
      </c>
      <c r="N77" s="42">
        <f t="shared" si="19"/>
        <v>0</v>
      </c>
      <c r="O77" s="42">
        <f t="shared" si="19"/>
        <v>0</v>
      </c>
      <c r="P77" s="42">
        <f t="shared" si="19"/>
        <v>0</v>
      </c>
      <c r="Q77" s="39">
        <f>SUM(E77:P77)</f>
        <v>60342.674700000003</v>
      </c>
      <c r="R77" s="44"/>
      <c r="Z77" s="40" t="s">
        <v>21</v>
      </c>
      <c r="AA77" s="41">
        <v>0.01</v>
      </c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8"/>
    </row>
    <row r="78" spans="1:43">
      <c r="A78" t="s">
        <v>71</v>
      </c>
      <c r="B78" t="s">
        <v>87</v>
      </c>
      <c r="C78" s="40" t="s">
        <v>20</v>
      </c>
      <c r="D78" s="104">
        <v>859.52</v>
      </c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R78" s="44"/>
      <c r="Z78" s="40" t="s">
        <v>20</v>
      </c>
      <c r="AA78" s="41">
        <v>1342.72</v>
      </c>
      <c r="AB78" s="42"/>
      <c r="AC78" s="42"/>
      <c r="AD78" s="42"/>
      <c r="AE78" s="42"/>
      <c r="AF78" s="42"/>
      <c r="AG78" s="42"/>
      <c r="AH78" s="43"/>
      <c r="AI78" s="43"/>
      <c r="AJ78" s="43"/>
      <c r="AK78" s="43"/>
      <c r="AL78" s="43"/>
      <c r="AM78" s="43"/>
      <c r="AN78" s="48"/>
    </row>
    <row r="79" spans="1:43">
      <c r="A79" t="s">
        <v>70</v>
      </c>
      <c r="B79" t="s">
        <v>70</v>
      </c>
      <c r="C79" s="40" t="s">
        <v>21</v>
      </c>
      <c r="D79" s="104">
        <v>0.01</v>
      </c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R79" s="44"/>
      <c r="Z79" s="40" t="s">
        <v>21</v>
      </c>
      <c r="AA79" s="41">
        <v>0.01</v>
      </c>
      <c r="AB79" s="42"/>
      <c r="AC79" s="42"/>
      <c r="AD79" s="42"/>
      <c r="AE79" s="42"/>
      <c r="AF79" s="42"/>
      <c r="AG79" s="42"/>
      <c r="AH79" s="43"/>
      <c r="AI79" s="43"/>
      <c r="AJ79" s="43"/>
      <c r="AK79" s="43"/>
      <c r="AL79" s="43"/>
      <c r="AM79" s="43"/>
      <c r="AN79" s="48"/>
    </row>
    <row r="80" spans="1:43">
      <c r="A80" t="s">
        <v>72</v>
      </c>
      <c r="B80" t="s">
        <v>88</v>
      </c>
      <c r="C80" s="40" t="s">
        <v>20</v>
      </c>
      <c r="D80" s="104">
        <v>1342.72</v>
      </c>
      <c r="E80" s="42"/>
      <c r="F80" s="42"/>
      <c r="G80" s="42"/>
      <c r="H80" s="42"/>
      <c r="I80" s="42"/>
      <c r="J80" s="42"/>
      <c r="K80" s="43"/>
      <c r="L80" s="43"/>
      <c r="M80" s="43"/>
      <c r="N80" s="43"/>
      <c r="O80" s="43"/>
      <c r="P80" s="43"/>
      <c r="R80" s="44"/>
      <c r="Z80" s="40" t="s">
        <v>20</v>
      </c>
      <c r="AA80" s="41">
        <v>1700.12</v>
      </c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8"/>
    </row>
    <row r="81" spans="1:40">
      <c r="A81" t="s">
        <v>70</v>
      </c>
      <c r="B81" t="s">
        <v>70</v>
      </c>
      <c r="C81" s="40" t="s">
        <v>21</v>
      </c>
      <c r="D81" s="104">
        <v>0.01</v>
      </c>
      <c r="E81" s="42"/>
      <c r="F81" s="42"/>
      <c r="G81" s="42"/>
      <c r="H81" s="42"/>
      <c r="I81" s="42"/>
      <c r="J81" s="42"/>
      <c r="K81" s="43"/>
      <c r="L81" s="43"/>
      <c r="M81" s="43"/>
      <c r="N81" s="43"/>
      <c r="O81" s="43"/>
      <c r="P81" s="43"/>
      <c r="R81" s="44"/>
      <c r="Z81" s="40" t="s">
        <v>21</v>
      </c>
      <c r="AA81" s="41">
        <v>7.0000000000000001E-3</v>
      </c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8"/>
    </row>
    <row r="82" spans="1:40">
      <c r="A82" t="s">
        <v>73</v>
      </c>
      <c r="B82" t="s">
        <v>89</v>
      </c>
      <c r="C82" s="40" t="s">
        <v>20</v>
      </c>
      <c r="D82" s="104">
        <v>1700.12</v>
      </c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R82" s="44"/>
      <c r="Z82" s="40" t="s">
        <v>20</v>
      </c>
      <c r="AA82" s="41">
        <v>1921.86</v>
      </c>
      <c r="AB82" s="42"/>
      <c r="AC82" s="42"/>
      <c r="AD82" s="42"/>
      <c r="AE82" s="42"/>
      <c r="AF82" s="42"/>
      <c r="AG82" s="42"/>
      <c r="AH82" s="43"/>
      <c r="AI82" s="43"/>
      <c r="AJ82" s="43"/>
      <c r="AK82" s="43"/>
      <c r="AL82" s="43"/>
      <c r="AM82" s="43"/>
      <c r="AN82" s="48"/>
    </row>
    <row r="83" spans="1:40">
      <c r="A83" t="s">
        <v>70</v>
      </c>
      <c r="B83" t="s">
        <v>70</v>
      </c>
      <c r="C83" s="40" t="s">
        <v>21</v>
      </c>
      <c r="D83" s="105">
        <v>7.0000000000000001E-3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R83" s="44"/>
      <c r="Z83" s="40" t="s">
        <v>21</v>
      </c>
      <c r="AA83" s="41">
        <v>5.0000000000000001E-3</v>
      </c>
      <c r="AB83" s="42"/>
      <c r="AC83" s="42"/>
      <c r="AD83" s="42"/>
      <c r="AE83" s="42"/>
      <c r="AF83" s="42"/>
      <c r="AG83" s="42"/>
      <c r="AH83" s="43"/>
      <c r="AI83" s="43"/>
      <c r="AJ83" s="43"/>
      <c r="AK83" s="43"/>
      <c r="AL83" s="43"/>
      <c r="AM83" s="43"/>
      <c r="AN83" s="48"/>
    </row>
    <row r="84" spans="1:40">
      <c r="A84" t="s">
        <v>74</v>
      </c>
      <c r="B84" t="s">
        <v>90</v>
      </c>
      <c r="C84" s="40" t="s">
        <v>20</v>
      </c>
      <c r="D84" s="104">
        <v>1921.86</v>
      </c>
      <c r="E84" s="42"/>
      <c r="F84" s="42"/>
      <c r="G84" s="42"/>
      <c r="H84" s="42"/>
      <c r="I84" s="42"/>
      <c r="J84" s="42"/>
      <c r="K84" s="43"/>
      <c r="L84" s="43"/>
      <c r="M84" s="43"/>
      <c r="N84" s="43"/>
      <c r="O84" s="43"/>
      <c r="P84" s="43"/>
      <c r="R84" s="44"/>
      <c r="Z84" s="40" t="s">
        <v>20</v>
      </c>
      <c r="AA84" s="41">
        <v>2000.72</v>
      </c>
      <c r="AB84" s="42">
        <f>AB72*$G$3</f>
        <v>4.8433000000000002</v>
      </c>
      <c r="AC84" s="42">
        <f t="shared" ref="AC84:AM85" si="20">AC72*$G$3</f>
        <v>0</v>
      </c>
      <c r="AD84" s="42">
        <f t="shared" si="20"/>
        <v>0</v>
      </c>
      <c r="AE84" s="42">
        <f t="shared" si="20"/>
        <v>0</v>
      </c>
      <c r="AF84" s="42">
        <f t="shared" si="20"/>
        <v>4.8433000000000002</v>
      </c>
      <c r="AG84" s="42">
        <f t="shared" si="20"/>
        <v>0</v>
      </c>
      <c r="AH84" s="42">
        <f t="shared" si="20"/>
        <v>0</v>
      </c>
      <c r="AI84" s="42">
        <f t="shared" si="20"/>
        <v>0</v>
      </c>
      <c r="AJ84" s="42">
        <f t="shared" si="20"/>
        <v>4.8433000000000002</v>
      </c>
      <c r="AK84" s="42">
        <f t="shared" si="20"/>
        <v>0</v>
      </c>
      <c r="AL84" s="42">
        <f t="shared" si="20"/>
        <v>0</v>
      </c>
      <c r="AM84" s="42">
        <f t="shared" si="20"/>
        <v>0</v>
      </c>
      <c r="AN84" s="48"/>
    </row>
    <row r="85" spans="1:40">
      <c r="A85" t="s">
        <v>70</v>
      </c>
      <c r="B85" t="s">
        <v>70</v>
      </c>
      <c r="C85" s="40" t="s">
        <v>21</v>
      </c>
      <c r="D85" s="105">
        <v>5.0000000000000001E-3</v>
      </c>
      <c r="E85" s="42"/>
      <c r="F85" s="42"/>
      <c r="G85" s="42"/>
      <c r="H85" s="42"/>
      <c r="I85" s="42"/>
      <c r="J85" s="42"/>
      <c r="K85" s="43"/>
      <c r="L85" s="43"/>
      <c r="M85" s="43"/>
      <c r="N85" s="43"/>
      <c r="O85" s="43"/>
      <c r="P85" s="43"/>
      <c r="R85" s="44"/>
      <c r="Z85" s="40" t="s">
        <v>21</v>
      </c>
      <c r="AA85" s="41">
        <v>5.0000000000000001E-3</v>
      </c>
      <c r="AB85" s="42">
        <f>AB73*$G$3</f>
        <v>20114.224900000001</v>
      </c>
      <c r="AC85" s="42">
        <f t="shared" si="20"/>
        <v>0</v>
      </c>
      <c r="AD85" s="42">
        <f t="shared" si="20"/>
        <v>0</v>
      </c>
      <c r="AE85" s="42">
        <f t="shared" si="20"/>
        <v>0</v>
      </c>
      <c r="AF85" s="42">
        <f t="shared" si="20"/>
        <v>20114.224900000001</v>
      </c>
      <c r="AG85" s="42">
        <f t="shared" si="20"/>
        <v>0</v>
      </c>
      <c r="AH85" s="42">
        <f t="shared" si="20"/>
        <v>0</v>
      </c>
      <c r="AI85" s="42">
        <f t="shared" si="20"/>
        <v>0</v>
      </c>
      <c r="AJ85" s="42">
        <f t="shared" si="20"/>
        <v>20114.224900000001</v>
      </c>
      <c r="AK85" s="42">
        <f t="shared" si="20"/>
        <v>0</v>
      </c>
      <c r="AL85" s="42">
        <f t="shared" si="20"/>
        <v>0</v>
      </c>
      <c r="AM85" s="42">
        <f t="shared" si="20"/>
        <v>0</v>
      </c>
      <c r="AN85" s="48"/>
    </row>
    <row r="86" spans="1:40">
      <c r="A86" t="s">
        <v>75</v>
      </c>
      <c r="B86" t="s">
        <v>91</v>
      </c>
      <c r="C86" s="40" t="s">
        <v>20</v>
      </c>
      <c r="D86" s="104">
        <v>2000.72</v>
      </c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39"/>
      <c r="R86" s="44"/>
      <c r="Z86" s="40" t="s">
        <v>20</v>
      </c>
      <c r="AA86" s="41">
        <v>2129.14</v>
      </c>
      <c r="AB86" s="42"/>
      <c r="AC86" s="42"/>
      <c r="AD86" s="42"/>
      <c r="AE86" s="42"/>
      <c r="AF86" s="42"/>
      <c r="AG86" s="42"/>
      <c r="AH86" s="43"/>
      <c r="AI86" s="43"/>
      <c r="AJ86" s="43"/>
      <c r="AK86" s="43"/>
      <c r="AL86" s="43"/>
      <c r="AM86" s="43"/>
      <c r="AN86" s="48"/>
    </row>
    <row r="87" spans="1:40">
      <c r="A87" t="s">
        <v>70</v>
      </c>
      <c r="B87" t="s">
        <v>70</v>
      </c>
      <c r="C87" s="40" t="s">
        <v>21</v>
      </c>
      <c r="D87" s="104">
        <v>5.0000000000000001E-3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39"/>
      <c r="R87" s="44"/>
      <c r="Z87" s="40" t="s">
        <v>21</v>
      </c>
      <c r="AA87" s="41">
        <v>2E-3</v>
      </c>
      <c r="AB87" s="42"/>
      <c r="AC87" s="42"/>
      <c r="AD87" s="42"/>
      <c r="AE87" s="42"/>
      <c r="AF87" s="42"/>
      <c r="AG87" s="42"/>
      <c r="AH87" s="43"/>
      <c r="AI87" s="43"/>
      <c r="AJ87" s="43"/>
      <c r="AK87" s="43"/>
      <c r="AL87" s="43"/>
      <c r="AM87" s="43"/>
      <c r="AN87" s="48"/>
    </row>
    <row r="88" spans="1:40">
      <c r="A88" t="s">
        <v>76</v>
      </c>
      <c r="B88" t="s">
        <v>92</v>
      </c>
      <c r="C88" s="40" t="s">
        <v>20</v>
      </c>
      <c r="D88" s="104">
        <v>2129.14</v>
      </c>
      <c r="E88" s="42"/>
      <c r="F88" s="42"/>
      <c r="G88" s="42"/>
      <c r="H88" s="42"/>
      <c r="I88" s="42"/>
      <c r="J88" s="42"/>
      <c r="K88" s="43"/>
      <c r="L88" s="43"/>
      <c r="M88" s="43"/>
      <c r="N88" s="43"/>
      <c r="O88" s="43"/>
      <c r="P88" s="43"/>
      <c r="R88" s="44"/>
      <c r="Z88" s="40" t="s">
        <v>20</v>
      </c>
      <c r="AA88" s="41">
        <v>2751.2</v>
      </c>
      <c r="AB88" s="42"/>
      <c r="AC88" s="42"/>
      <c r="AD88" s="42"/>
      <c r="AE88" s="42"/>
      <c r="AF88" s="42"/>
      <c r="AG88" s="42"/>
      <c r="AH88" s="43"/>
      <c r="AI88" s="43"/>
      <c r="AJ88" s="43"/>
      <c r="AK88" s="43"/>
      <c r="AL88" s="43"/>
      <c r="AM88" s="43"/>
      <c r="AN88" s="48"/>
    </row>
    <row r="89" spans="1:40">
      <c r="A89" t="s">
        <v>70</v>
      </c>
      <c r="B89" t="s">
        <v>70</v>
      </c>
      <c r="C89" s="40" t="s">
        <v>21</v>
      </c>
      <c r="D89" s="104">
        <v>2E-3</v>
      </c>
      <c r="E89" s="42"/>
      <c r="F89" s="42"/>
      <c r="G89" s="42"/>
      <c r="H89" s="42"/>
      <c r="I89" s="42"/>
      <c r="J89" s="42"/>
      <c r="K89" s="43"/>
      <c r="L89" s="43"/>
      <c r="M89" s="43"/>
      <c r="N89" s="43"/>
      <c r="O89" s="43"/>
      <c r="P89" s="43"/>
      <c r="R89" s="44"/>
      <c r="Z89" s="40" t="s">
        <v>21</v>
      </c>
      <c r="AA89" s="41">
        <v>2E-3</v>
      </c>
      <c r="AB89" s="42"/>
      <c r="AC89" s="42"/>
      <c r="AD89" s="42"/>
      <c r="AE89" s="42"/>
      <c r="AF89" s="42"/>
      <c r="AG89" s="42"/>
      <c r="AH89" s="43"/>
      <c r="AI89" s="43"/>
      <c r="AJ89" s="43"/>
      <c r="AK89" s="43"/>
      <c r="AL89" s="43"/>
      <c r="AM89" s="43"/>
      <c r="AN89" s="48"/>
    </row>
    <row r="90" spans="1:40">
      <c r="A90" t="s">
        <v>77</v>
      </c>
      <c r="B90" t="s">
        <v>93</v>
      </c>
      <c r="C90" s="40" t="s">
        <v>20</v>
      </c>
      <c r="D90" s="104">
        <v>2751.2</v>
      </c>
      <c r="E90" s="42"/>
      <c r="F90" s="42"/>
      <c r="G90" s="42"/>
      <c r="H90" s="42"/>
      <c r="I90" s="42"/>
      <c r="J90" s="42"/>
      <c r="K90" s="43"/>
      <c r="L90" s="43"/>
      <c r="M90" s="43"/>
      <c r="N90" s="43"/>
      <c r="O90" s="43"/>
      <c r="P90" s="43"/>
      <c r="R90" s="44"/>
      <c r="AB90" s="29">
        <f>AB84*$D$64*$E$2</f>
        <v>163762473.27440003</v>
      </c>
      <c r="AC90" s="29">
        <f t="shared" ref="AC90:AM90" si="21">AC84*$D$64*$E$2</f>
        <v>0</v>
      </c>
      <c r="AD90" s="29">
        <f t="shared" si="21"/>
        <v>0</v>
      </c>
      <c r="AE90" s="29">
        <f t="shared" si="21"/>
        <v>0</v>
      </c>
      <c r="AF90" s="29">
        <f t="shared" si="21"/>
        <v>163762473.27440003</v>
      </c>
      <c r="AG90" s="29">
        <f t="shared" si="21"/>
        <v>0</v>
      </c>
      <c r="AH90" s="29">
        <f t="shared" si="21"/>
        <v>0</v>
      </c>
      <c r="AI90" s="29">
        <f t="shared" si="21"/>
        <v>0</v>
      </c>
      <c r="AJ90" s="29">
        <f t="shared" si="21"/>
        <v>163762473.27440003</v>
      </c>
      <c r="AK90" s="29">
        <f t="shared" si="21"/>
        <v>0</v>
      </c>
      <c r="AL90" s="29">
        <f t="shared" si="21"/>
        <v>0</v>
      </c>
      <c r="AM90" s="29">
        <f t="shared" si="21"/>
        <v>0</v>
      </c>
      <c r="AN90" s="48"/>
    </row>
    <row r="91" spans="1:40">
      <c r="A91" t="s">
        <v>70</v>
      </c>
      <c r="B91" t="s">
        <v>70</v>
      </c>
      <c r="C91" s="40" t="s">
        <v>21</v>
      </c>
      <c r="D91" s="41">
        <v>2E-3</v>
      </c>
      <c r="E91" s="42"/>
      <c r="F91" s="42"/>
      <c r="G91" s="42"/>
      <c r="H91" s="42"/>
      <c r="I91" s="42"/>
      <c r="J91" s="42"/>
      <c r="K91" s="43"/>
      <c r="L91" s="43"/>
      <c r="M91" s="43"/>
      <c r="N91" s="43"/>
      <c r="O91" s="43"/>
      <c r="P91" s="43"/>
      <c r="R91" s="44"/>
      <c r="AB91" s="29">
        <f>AB85*$D$65*$E$2</f>
        <v>1699652.0040500001</v>
      </c>
      <c r="AC91" s="29">
        <f t="shared" ref="AC91:AM91" si="22">AC85*$D$65*$E$2</f>
        <v>0</v>
      </c>
      <c r="AD91" s="29">
        <f t="shared" si="22"/>
        <v>0</v>
      </c>
      <c r="AE91" s="29">
        <f t="shared" si="22"/>
        <v>0</v>
      </c>
      <c r="AF91" s="29">
        <f t="shared" si="22"/>
        <v>1699652.0040500001</v>
      </c>
      <c r="AG91" s="29">
        <f t="shared" si="22"/>
        <v>0</v>
      </c>
      <c r="AH91" s="29">
        <f t="shared" si="22"/>
        <v>0</v>
      </c>
      <c r="AI91" s="29">
        <f t="shared" si="22"/>
        <v>0</v>
      </c>
      <c r="AJ91" s="29">
        <f t="shared" si="22"/>
        <v>1699652.0040500001</v>
      </c>
      <c r="AK91" s="29">
        <f t="shared" si="22"/>
        <v>0</v>
      </c>
      <c r="AL91" s="29">
        <f t="shared" si="22"/>
        <v>0</v>
      </c>
      <c r="AM91" s="29">
        <f t="shared" si="22"/>
        <v>0</v>
      </c>
      <c r="AN91" s="48"/>
    </row>
    <row r="92" spans="1:40">
      <c r="A92" t="s">
        <v>70</v>
      </c>
      <c r="B92" t="s">
        <v>70</v>
      </c>
      <c r="E92" s="29">
        <f>E76*$D$76*$E$2</f>
        <v>31867349.614099998</v>
      </c>
      <c r="F92" s="29">
        <f t="shared" ref="F92:P92" si="23">F76*$D$76*$E$2</f>
        <v>0</v>
      </c>
      <c r="G92" s="29">
        <f t="shared" si="23"/>
        <v>0</v>
      </c>
      <c r="H92" s="29">
        <f t="shared" si="23"/>
        <v>0</v>
      </c>
      <c r="I92" s="29">
        <f t="shared" si="23"/>
        <v>31867349.614099998</v>
      </c>
      <c r="J92" s="29">
        <f t="shared" si="23"/>
        <v>0</v>
      </c>
      <c r="K92" s="29">
        <f t="shared" si="23"/>
        <v>0</v>
      </c>
      <c r="L92" s="29">
        <f t="shared" si="23"/>
        <v>0</v>
      </c>
      <c r="M92" s="29">
        <f t="shared" si="23"/>
        <v>31867349.614099998</v>
      </c>
      <c r="N92" s="29">
        <f t="shared" si="23"/>
        <v>0</v>
      </c>
      <c r="O92" s="29">
        <f t="shared" si="23"/>
        <v>0</v>
      </c>
      <c r="P92" s="29">
        <f t="shared" si="23"/>
        <v>0</v>
      </c>
      <c r="Q92" s="39">
        <f>SUM(E92:P92)</f>
        <v>95602048.842299998</v>
      </c>
      <c r="R92" s="44"/>
      <c r="Z92" s="44"/>
      <c r="AA92" s="44"/>
      <c r="AB92" s="177"/>
      <c r="AC92" s="177"/>
      <c r="AD92" s="177"/>
      <c r="AE92" s="177"/>
      <c r="AF92" s="177"/>
      <c r="AG92" s="177"/>
      <c r="AH92" s="177"/>
      <c r="AI92" s="177"/>
      <c r="AJ92" s="177"/>
      <c r="AK92" s="177"/>
      <c r="AL92" s="177"/>
      <c r="AM92" s="177"/>
      <c r="AN92" s="48"/>
    </row>
    <row r="93" spans="1:40">
      <c r="A93" t="s">
        <v>70</v>
      </c>
      <c r="B93" t="s">
        <v>70</v>
      </c>
      <c r="E93" s="29">
        <f>E77*$D$77*$E$2</f>
        <v>3399304.0081000002</v>
      </c>
      <c r="F93" s="29">
        <f t="shared" ref="F93:P93" si="24">F77*$D$77*$E$2</f>
        <v>0</v>
      </c>
      <c r="G93" s="29">
        <f t="shared" si="24"/>
        <v>0</v>
      </c>
      <c r="H93" s="29">
        <f t="shared" si="24"/>
        <v>0</v>
      </c>
      <c r="I93" s="29">
        <f t="shared" si="24"/>
        <v>3399304.0081000002</v>
      </c>
      <c r="J93" s="29">
        <f t="shared" si="24"/>
        <v>0</v>
      </c>
      <c r="K93" s="29">
        <f t="shared" si="24"/>
        <v>0</v>
      </c>
      <c r="L93" s="29">
        <f t="shared" si="24"/>
        <v>0</v>
      </c>
      <c r="M93" s="29">
        <f t="shared" si="24"/>
        <v>3399304.0081000002</v>
      </c>
      <c r="N93" s="29">
        <f t="shared" si="24"/>
        <v>0</v>
      </c>
      <c r="O93" s="29">
        <f t="shared" si="24"/>
        <v>0</v>
      </c>
      <c r="P93" s="29">
        <f t="shared" si="24"/>
        <v>0</v>
      </c>
      <c r="Q93" s="39">
        <f>SUM(E93:P93)</f>
        <v>10197912.024300002</v>
      </c>
      <c r="R93" s="44"/>
      <c r="Z93" s="44"/>
      <c r="AA93" s="44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77"/>
      <c r="AM93" s="177"/>
      <c r="AN93" s="48"/>
    </row>
    <row r="94" spans="1:40">
      <c r="A94" t="s">
        <v>70</v>
      </c>
      <c r="B94" t="s">
        <v>70</v>
      </c>
      <c r="C94" s="47"/>
      <c r="D94" s="47"/>
      <c r="E94" s="45"/>
      <c r="F94" s="45"/>
      <c r="G94" s="45"/>
      <c r="H94" s="45"/>
      <c r="I94" s="45"/>
      <c r="J94" s="45"/>
      <c r="K94" s="46"/>
      <c r="L94" s="46"/>
      <c r="M94" s="46"/>
      <c r="N94" s="46"/>
      <c r="O94" s="46"/>
      <c r="P94" s="46"/>
      <c r="Q94" s="44"/>
      <c r="R94" s="44"/>
      <c r="Z94" s="44"/>
      <c r="AA94" s="44"/>
      <c r="AB94" s="177"/>
      <c r="AC94" s="177"/>
      <c r="AD94" s="177"/>
      <c r="AE94" s="177"/>
      <c r="AF94" s="177"/>
      <c r="AG94" s="177"/>
      <c r="AH94" s="177"/>
      <c r="AI94" s="177"/>
      <c r="AJ94" s="177"/>
      <c r="AK94" s="177"/>
      <c r="AL94" s="177"/>
      <c r="AM94" s="177"/>
      <c r="AN94" s="48"/>
    </row>
    <row r="95" spans="1:40">
      <c r="A95" t="s">
        <v>70</v>
      </c>
      <c r="B95" t="s">
        <v>70</v>
      </c>
      <c r="C95" s="44"/>
      <c r="D95" s="44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8">
        <f>SUM(E95:P95)</f>
        <v>0</v>
      </c>
      <c r="R95" s="44"/>
      <c r="Z95" s="44"/>
      <c r="AA95" s="44"/>
      <c r="AB95" s="177"/>
      <c r="AC95" s="177"/>
      <c r="AD95" s="177"/>
      <c r="AE95" s="177"/>
      <c r="AF95" s="177"/>
      <c r="AG95" s="177"/>
      <c r="AH95" s="177"/>
      <c r="AI95" s="177"/>
      <c r="AJ95" s="177"/>
      <c r="AK95" s="177"/>
      <c r="AL95" s="177"/>
      <c r="AM95" s="177"/>
      <c r="AN95" s="48"/>
    </row>
    <row r="96" spans="1:40">
      <c r="C96" s="44"/>
      <c r="D96" s="44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48"/>
      <c r="R96" s="44"/>
      <c r="Z96" s="44"/>
      <c r="AA96" s="44"/>
      <c r="AB96" s="177"/>
      <c r="AC96" s="177"/>
      <c r="AD96" s="177"/>
      <c r="AE96" s="177"/>
      <c r="AF96" s="177"/>
      <c r="AG96" s="177"/>
      <c r="AH96" s="177"/>
      <c r="AI96" s="177"/>
      <c r="AJ96" s="177"/>
      <c r="AK96" s="177"/>
      <c r="AL96" s="177"/>
      <c r="AM96" s="177"/>
      <c r="AN96" s="48"/>
    </row>
    <row r="97" spans="1:40">
      <c r="A97" t="s">
        <v>70</v>
      </c>
      <c r="B97" t="s">
        <v>70</v>
      </c>
      <c r="C97" s="28" t="s">
        <v>58</v>
      </c>
      <c r="D97" s="28"/>
      <c r="E97" s="28" t="s">
        <v>38</v>
      </c>
      <c r="F97" s="28" t="s">
        <v>39</v>
      </c>
      <c r="G97" s="28" t="s">
        <v>40</v>
      </c>
      <c r="H97" s="28" t="s">
        <v>41</v>
      </c>
      <c r="I97" s="28" t="s">
        <v>42</v>
      </c>
      <c r="J97" s="28" t="s">
        <v>43</v>
      </c>
      <c r="K97" s="28" t="s">
        <v>44</v>
      </c>
      <c r="L97" s="28" t="s">
        <v>45</v>
      </c>
      <c r="M97" s="28" t="s">
        <v>46</v>
      </c>
      <c r="N97" s="28" t="s">
        <v>47</v>
      </c>
      <c r="O97" s="28" t="s">
        <v>48</v>
      </c>
      <c r="P97" s="28" t="s">
        <v>49</v>
      </c>
      <c r="Z97" s="28" t="s">
        <v>58</v>
      </c>
      <c r="AA97" s="28"/>
      <c r="AB97" s="28" t="s">
        <v>38</v>
      </c>
      <c r="AC97" s="28" t="s">
        <v>39</v>
      </c>
      <c r="AD97" s="28" t="s">
        <v>40</v>
      </c>
      <c r="AE97" s="28" t="s">
        <v>41</v>
      </c>
      <c r="AF97" s="28" t="s">
        <v>42</v>
      </c>
      <c r="AG97" s="28" t="s">
        <v>43</v>
      </c>
      <c r="AH97" s="28" t="s">
        <v>44</v>
      </c>
      <c r="AI97" s="28" t="s">
        <v>45</v>
      </c>
      <c r="AJ97" s="28" t="s">
        <v>46</v>
      </c>
      <c r="AK97" s="28" t="s">
        <v>47</v>
      </c>
      <c r="AL97" s="28" t="s">
        <v>48</v>
      </c>
      <c r="AM97" s="28" t="s">
        <v>49</v>
      </c>
    </row>
    <row r="98" spans="1:40">
      <c r="A98" t="s">
        <v>70</v>
      </c>
      <c r="B98" t="s">
        <v>70</v>
      </c>
      <c r="C98" t="s">
        <v>51</v>
      </c>
      <c r="E98" s="100">
        <f>'PANDU CWD'!C34</f>
        <v>1</v>
      </c>
      <c r="F98" s="100">
        <f>'PANDU CWD'!D34</f>
        <v>4</v>
      </c>
      <c r="G98" s="100">
        <f>'PANDU CWD'!E34</f>
        <v>1</v>
      </c>
      <c r="H98" s="100">
        <f>'PANDU CWD'!F34</f>
        <v>3</v>
      </c>
      <c r="I98" s="100">
        <f>'PANDU CWD'!G34</f>
        <v>2</v>
      </c>
      <c r="J98" s="100">
        <f>'PANDU CWD'!H34</f>
        <v>4</v>
      </c>
      <c r="K98" s="100">
        <f>'PANDU CWD'!I34</f>
        <v>1</v>
      </c>
      <c r="L98" s="100">
        <f>'PANDU CWD'!J34</f>
        <v>3</v>
      </c>
      <c r="M98" s="100">
        <f>'PANDU CWD'!K34</f>
        <v>2</v>
      </c>
      <c r="N98" s="100">
        <f>'PANDU CWD'!L34</f>
        <v>4</v>
      </c>
      <c r="O98" s="100">
        <f>'PANDU CWD'!M34</f>
        <v>3</v>
      </c>
      <c r="P98" s="100">
        <f>'PANDU CWD'!N34</f>
        <v>2</v>
      </c>
      <c r="Q98" s="39">
        <f>SUM(E98:P98)</f>
        <v>30</v>
      </c>
      <c r="R98">
        <f>Q99/Q98</f>
        <v>1484.3</v>
      </c>
      <c r="Z98" t="s">
        <v>51</v>
      </c>
      <c r="AB98" s="29">
        <f>'PANDU CWD'!W34</f>
        <v>1</v>
      </c>
      <c r="AC98" s="29">
        <f>'PANDU CWD'!X34</f>
        <v>4</v>
      </c>
      <c r="AD98" s="29">
        <f>'PANDU CWD'!Y34</f>
        <v>1</v>
      </c>
      <c r="AE98" s="29">
        <f>'PANDU CWD'!Z34</f>
        <v>3</v>
      </c>
      <c r="AF98" s="29">
        <f>'PANDU CWD'!AA34</f>
        <v>4</v>
      </c>
      <c r="AG98" s="29">
        <f>'PANDU CWD'!AB34</f>
        <v>4</v>
      </c>
      <c r="AH98" s="29">
        <f>'PANDU CWD'!AC34</f>
        <v>4</v>
      </c>
      <c r="AI98" s="29">
        <f>'PANDU CWD'!AD34</f>
        <v>4</v>
      </c>
      <c r="AJ98" s="29">
        <f>'PANDU CWD'!AE34</f>
        <v>2</v>
      </c>
      <c r="AK98" s="29">
        <f>'PANDU CWD'!AF34</f>
        <v>4</v>
      </c>
      <c r="AL98" s="29">
        <f>'PANDU CWD'!AG34</f>
        <v>4</v>
      </c>
      <c r="AM98" s="29">
        <f>'PANDU CWD'!AH34</f>
        <v>2</v>
      </c>
      <c r="AN98" s="39">
        <f>SUM(AB98:AM98)</f>
        <v>37</v>
      </c>
    </row>
    <row r="99" spans="1:40">
      <c r="A99" t="s">
        <v>70</v>
      </c>
      <c r="B99" t="s">
        <v>70</v>
      </c>
      <c r="E99" s="100">
        <f>'PANDU CWD'!C35</f>
        <v>1022</v>
      </c>
      <c r="F99" s="100">
        <f>'PANDU CWD'!D35</f>
        <v>5220</v>
      </c>
      <c r="G99" s="100">
        <f>'PANDU CWD'!E35</f>
        <v>707</v>
      </c>
      <c r="H99" s="100">
        <f>'PANDU CWD'!F35</f>
        <v>7584</v>
      </c>
      <c r="I99" s="100">
        <f>'PANDU CWD'!G35</f>
        <v>2044</v>
      </c>
      <c r="J99" s="100">
        <f>'PANDU CWD'!H35</f>
        <v>5220</v>
      </c>
      <c r="K99" s="100">
        <f>'PANDU CWD'!I35</f>
        <v>707</v>
      </c>
      <c r="L99" s="100">
        <f>'PANDU CWD'!J35</f>
        <v>7584</v>
      </c>
      <c r="M99" s="100">
        <f>'PANDU CWD'!K35</f>
        <v>2044</v>
      </c>
      <c r="N99" s="100">
        <f>'PANDU CWD'!L35</f>
        <v>5220</v>
      </c>
      <c r="O99" s="100">
        <f>'PANDU CWD'!M35</f>
        <v>2121</v>
      </c>
      <c r="P99" s="100">
        <f>'PANDU CWD'!N35</f>
        <v>5056</v>
      </c>
      <c r="Q99" s="39">
        <f>SUM(E99:P99)</f>
        <v>44529</v>
      </c>
      <c r="AB99" s="29">
        <f>'PANDU CWD'!W35</f>
        <v>1022</v>
      </c>
      <c r="AC99" s="29">
        <f>'PANDU CWD'!X35</f>
        <v>5220</v>
      </c>
      <c r="AD99" s="29">
        <f>'PANDU CWD'!Y35</f>
        <v>707</v>
      </c>
      <c r="AE99" s="29">
        <f>'PANDU CWD'!Z35</f>
        <v>7584</v>
      </c>
      <c r="AF99" s="29">
        <f>'PANDU CWD'!AA35</f>
        <v>20988</v>
      </c>
      <c r="AG99" s="29">
        <f>'PANDU CWD'!AB35</f>
        <v>5220</v>
      </c>
      <c r="AH99" s="29">
        <f>'PANDU CWD'!AC35</f>
        <v>707</v>
      </c>
      <c r="AI99" s="29">
        <f>'PANDU CWD'!AD35</f>
        <v>7584</v>
      </c>
      <c r="AJ99" s="29">
        <f>'PANDU CWD'!AE35</f>
        <v>2044</v>
      </c>
      <c r="AK99" s="29">
        <f>'PANDU CWD'!AF35</f>
        <v>5220</v>
      </c>
      <c r="AL99" s="29">
        <f>'PANDU CWD'!AG35</f>
        <v>2121</v>
      </c>
      <c r="AM99" s="29">
        <f>'PANDU CWD'!AH35</f>
        <v>5056</v>
      </c>
      <c r="AN99" s="39">
        <f>SUM(AB99:AM99)</f>
        <v>63473</v>
      </c>
    </row>
    <row r="100" spans="1:40">
      <c r="A100" t="s">
        <v>78</v>
      </c>
      <c r="B100" t="s">
        <v>86</v>
      </c>
      <c r="C100" s="40" t="s">
        <v>20</v>
      </c>
      <c r="D100" s="49">
        <v>2102150</v>
      </c>
      <c r="E100" s="35"/>
      <c r="F100" s="35"/>
      <c r="G100" s="35"/>
      <c r="H100" s="35"/>
      <c r="I100" s="35"/>
      <c r="J100" s="35"/>
      <c r="K100" s="30"/>
      <c r="L100" s="30"/>
      <c r="M100" s="30"/>
      <c r="N100" s="30"/>
      <c r="O100" s="30"/>
      <c r="P100" s="30"/>
      <c r="Q100" s="39"/>
      <c r="Z100" s="40" t="s">
        <v>20</v>
      </c>
      <c r="AA100" s="49">
        <v>2102150</v>
      </c>
      <c r="AB100" s="35"/>
      <c r="AC100" s="35"/>
      <c r="AD100" s="35"/>
      <c r="AE100" s="35"/>
      <c r="AF100" s="35"/>
      <c r="AG100" s="35"/>
      <c r="AH100" s="30"/>
      <c r="AI100" s="30"/>
      <c r="AJ100" s="30"/>
      <c r="AK100" s="30"/>
      <c r="AL100" s="30"/>
      <c r="AM100" s="30"/>
      <c r="AN100" s="39"/>
    </row>
    <row r="101" spans="1:40">
      <c r="A101" t="s">
        <v>70</v>
      </c>
      <c r="B101" t="s">
        <v>70</v>
      </c>
      <c r="C101" s="40" t="s">
        <v>21</v>
      </c>
      <c r="D101" s="49">
        <v>7.06</v>
      </c>
      <c r="E101" s="35"/>
      <c r="F101" s="35"/>
      <c r="G101" s="35"/>
      <c r="H101" s="35"/>
      <c r="I101" s="35"/>
      <c r="J101" s="35"/>
      <c r="K101" s="30"/>
      <c r="L101" s="30"/>
      <c r="M101" s="30"/>
      <c r="N101" s="30"/>
      <c r="O101" s="30"/>
      <c r="P101" s="30"/>
      <c r="Q101" s="39"/>
      <c r="Z101" s="40" t="s">
        <v>21</v>
      </c>
      <c r="AA101" s="49">
        <v>7.06</v>
      </c>
      <c r="AB101" s="35"/>
      <c r="AC101" s="35"/>
      <c r="AD101" s="35"/>
      <c r="AE101" s="35"/>
      <c r="AF101" s="35"/>
      <c r="AG101" s="35"/>
      <c r="AH101" s="30"/>
      <c r="AI101" s="30"/>
      <c r="AJ101" s="30"/>
      <c r="AK101" s="30"/>
      <c r="AL101" s="30"/>
      <c r="AM101" s="30"/>
      <c r="AN101" s="39"/>
    </row>
    <row r="102" spans="1:40">
      <c r="A102" t="s">
        <v>79</v>
      </c>
      <c r="B102" t="s">
        <v>87</v>
      </c>
      <c r="C102" s="40" t="s">
        <v>20</v>
      </c>
      <c r="D102" s="49">
        <v>3243950</v>
      </c>
      <c r="E102" s="35">
        <f>E98*$G$3</f>
        <v>4.8433000000000002</v>
      </c>
      <c r="F102" s="35">
        <f t="shared" ref="F102:P103" si="25">F98*$G$3</f>
        <v>19.373200000000001</v>
      </c>
      <c r="G102" s="35">
        <f t="shared" si="25"/>
        <v>4.8433000000000002</v>
      </c>
      <c r="H102" s="35">
        <f t="shared" si="25"/>
        <v>14.529900000000001</v>
      </c>
      <c r="I102" s="35">
        <f t="shared" si="25"/>
        <v>9.6866000000000003</v>
      </c>
      <c r="J102" s="35">
        <f t="shared" si="25"/>
        <v>19.373200000000001</v>
      </c>
      <c r="K102" s="35">
        <f t="shared" si="25"/>
        <v>4.8433000000000002</v>
      </c>
      <c r="L102" s="35">
        <f t="shared" si="25"/>
        <v>14.529900000000001</v>
      </c>
      <c r="M102" s="35">
        <f t="shared" si="25"/>
        <v>9.6866000000000003</v>
      </c>
      <c r="N102" s="35">
        <f t="shared" si="25"/>
        <v>19.373200000000001</v>
      </c>
      <c r="O102" s="35">
        <f t="shared" si="25"/>
        <v>14.529900000000001</v>
      </c>
      <c r="P102" s="35">
        <f t="shared" si="25"/>
        <v>9.6866000000000003</v>
      </c>
      <c r="Q102" s="39">
        <f>SUM(E102:P102)</f>
        <v>145.29900000000001</v>
      </c>
      <c r="T102" s="67"/>
      <c r="Z102" s="40" t="s">
        <v>20</v>
      </c>
      <c r="AA102" s="49">
        <v>3243950</v>
      </c>
      <c r="AB102" s="35">
        <f>AB98*$AD$3</f>
        <v>4.5763410000000002</v>
      </c>
      <c r="AC102" s="35">
        <f t="shared" ref="AC102:AM103" si="26">AC98*$AD$3</f>
        <v>18.305364000000001</v>
      </c>
      <c r="AD102" s="35">
        <f t="shared" si="26"/>
        <v>4.5763410000000002</v>
      </c>
      <c r="AE102" s="35">
        <f t="shared" si="26"/>
        <v>13.729023000000002</v>
      </c>
      <c r="AF102" s="35">
        <f t="shared" si="26"/>
        <v>18.305364000000001</v>
      </c>
      <c r="AG102" s="35">
        <f t="shared" si="26"/>
        <v>18.305364000000001</v>
      </c>
      <c r="AH102" s="35">
        <f t="shared" si="26"/>
        <v>18.305364000000001</v>
      </c>
      <c r="AI102" s="35">
        <f t="shared" si="26"/>
        <v>18.305364000000001</v>
      </c>
      <c r="AJ102" s="35">
        <f t="shared" si="26"/>
        <v>9.1526820000000004</v>
      </c>
      <c r="AK102" s="35">
        <f t="shared" si="26"/>
        <v>18.305364000000001</v>
      </c>
      <c r="AL102" s="35">
        <f t="shared" si="26"/>
        <v>18.305364000000001</v>
      </c>
      <c r="AM102" s="35">
        <f t="shared" si="26"/>
        <v>9.1526820000000004</v>
      </c>
      <c r="AN102" s="39">
        <f>SUM(AB102:AM102)</f>
        <v>169.32461699999999</v>
      </c>
    </row>
    <row r="103" spans="1:40">
      <c r="A103" t="s">
        <v>70</v>
      </c>
      <c r="B103" t="s">
        <v>70</v>
      </c>
      <c r="C103" s="40" t="s">
        <v>21</v>
      </c>
      <c r="D103" s="49">
        <v>7.06</v>
      </c>
      <c r="E103" s="35">
        <f>E99*$G$3</f>
        <v>4949.8526000000002</v>
      </c>
      <c r="F103" s="35">
        <f t="shared" si="25"/>
        <v>25282.026000000002</v>
      </c>
      <c r="G103" s="35">
        <f t="shared" si="25"/>
        <v>3424.2130999999999</v>
      </c>
      <c r="H103" s="35">
        <f t="shared" si="25"/>
        <v>36731.587200000002</v>
      </c>
      <c r="I103" s="35">
        <f t="shared" si="25"/>
        <v>9899.7052000000003</v>
      </c>
      <c r="J103" s="35">
        <f t="shared" si="25"/>
        <v>25282.026000000002</v>
      </c>
      <c r="K103" s="35">
        <f t="shared" si="25"/>
        <v>3424.2130999999999</v>
      </c>
      <c r="L103" s="35">
        <f t="shared" si="25"/>
        <v>36731.587200000002</v>
      </c>
      <c r="M103" s="35">
        <f t="shared" si="25"/>
        <v>9899.7052000000003</v>
      </c>
      <c r="N103" s="35">
        <f t="shared" si="25"/>
        <v>25282.026000000002</v>
      </c>
      <c r="O103" s="35">
        <f t="shared" si="25"/>
        <v>10272.639300000001</v>
      </c>
      <c r="P103" s="35">
        <f t="shared" si="25"/>
        <v>24487.7248</v>
      </c>
      <c r="Q103" s="39">
        <f>SUM(E103:P103)</f>
        <v>215667.3057</v>
      </c>
      <c r="T103" s="39"/>
      <c r="Z103" s="40" t="s">
        <v>21</v>
      </c>
      <c r="AA103" s="49">
        <v>7.06</v>
      </c>
      <c r="AB103" s="35">
        <f>AB99*$AD$3</f>
        <v>4677.0205020000003</v>
      </c>
      <c r="AC103" s="35">
        <f t="shared" si="26"/>
        <v>23888.500019999999</v>
      </c>
      <c r="AD103" s="35">
        <f t="shared" si="26"/>
        <v>3235.4730870000003</v>
      </c>
      <c r="AE103" s="35">
        <f t="shared" si="26"/>
        <v>34706.970143999999</v>
      </c>
      <c r="AF103" s="35">
        <f t="shared" si="26"/>
        <v>96048.244908000008</v>
      </c>
      <c r="AG103" s="35">
        <f t="shared" si="26"/>
        <v>23888.500019999999</v>
      </c>
      <c r="AH103" s="35">
        <f t="shared" si="26"/>
        <v>3235.4730870000003</v>
      </c>
      <c r="AI103" s="35">
        <f t="shared" si="26"/>
        <v>34706.970143999999</v>
      </c>
      <c r="AJ103" s="35">
        <f t="shared" si="26"/>
        <v>9354.0410040000006</v>
      </c>
      <c r="AK103" s="35">
        <f t="shared" si="26"/>
        <v>23888.500019999999</v>
      </c>
      <c r="AL103" s="35">
        <f t="shared" si="26"/>
        <v>9706.4192610000009</v>
      </c>
      <c r="AM103" s="35">
        <f t="shared" si="26"/>
        <v>23137.980095999999</v>
      </c>
      <c r="AN103" s="39">
        <f>SUM(AB103:AM103)</f>
        <v>290474.09229300002</v>
      </c>
    </row>
    <row r="104" spans="1:40">
      <c r="A104" t="s">
        <v>80</v>
      </c>
      <c r="B104" t="s">
        <v>88</v>
      </c>
      <c r="C104" s="40" t="s">
        <v>20</v>
      </c>
      <c r="D104" s="49">
        <v>3898120</v>
      </c>
      <c r="E104" s="35"/>
      <c r="F104" s="35"/>
      <c r="G104" s="35"/>
      <c r="H104" s="35"/>
      <c r="I104" s="35"/>
      <c r="J104" s="35"/>
      <c r="K104" s="30"/>
      <c r="L104" s="30"/>
      <c r="M104" s="30"/>
      <c r="N104" s="30"/>
      <c r="O104" s="30"/>
      <c r="P104" s="30"/>
      <c r="Q104" s="39"/>
      <c r="Z104" s="40" t="s">
        <v>20</v>
      </c>
      <c r="AA104" s="49">
        <v>3898120</v>
      </c>
      <c r="AB104" s="35"/>
      <c r="AC104" s="35"/>
      <c r="AD104" s="35"/>
      <c r="AE104" s="35"/>
      <c r="AF104" s="35"/>
      <c r="AG104" s="35"/>
      <c r="AH104" s="30"/>
      <c r="AI104" s="30"/>
      <c r="AJ104" s="30"/>
      <c r="AK104" s="30"/>
      <c r="AL104" s="30"/>
      <c r="AM104" s="30"/>
      <c r="AN104" s="39"/>
    </row>
    <row r="105" spans="1:40">
      <c r="A105" t="s">
        <v>70</v>
      </c>
      <c r="B105" t="s">
        <v>70</v>
      </c>
      <c r="C105" s="40" t="s">
        <v>21</v>
      </c>
      <c r="D105" s="49">
        <v>7.46</v>
      </c>
      <c r="E105" s="35"/>
      <c r="F105" s="35"/>
      <c r="G105" s="35"/>
      <c r="H105" s="35"/>
      <c r="I105" s="35"/>
      <c r="J105" s="35"/>
      <c r="K105" s="30"/>
      <c r="L105" s="30"/>
      <c r="M105" s="30"/>
      <c r="N105" s="30"/>
      <c r="O105" s="30"/>
      <c r="P105" s="30"/>
      <c r="Q105" s="39"/>
      <c r="Z105" s="40" t="s">
        <v>21</v>
      </c>
      <c r="AA105" s="49">
        <v>7.46</v>
      </c>
      <c r="AB105" s="35"/>
      <c r="AC105" s="35"/>
      <c r="AD105" s="35"/>
      <c r="AE105" s="35"/>
      <c r="AF105" s="35"/>
      <c r="AG105" s="35"/>
      <c r="AH105" s="30"/>
      <c r="AI105" s="30"/>
      <c r="AJ105" s="30"/>
      <c r="AK105" s="30"/>
      <c r="AL105" s="30"/>
      <c r="AM105" s="30"/>
      <c r="AN105" s="39"/>
    </row>
    <row r="106" spans="1:40">
      <c r="A106" t="s">
        <v>81</v>
      </c>
      <c r="B106" t="s">
        <v>89</v>
      </c>
      <c r="C106" s="40" t="s">
        <v>20</v>
      </c>
      <c r="D106" s="49">
        <v>4239050</v>
      </c>
      <c r="E106" s="35"/>
      <c r="F106" s="35"/>
      <c r="G106" s="35"/>
      <c r="H106" s="35"/>
      <c r="I106" s="35"/>
      <c r="J106" s="35"/>
      <c r="K106" s="30"/>
      <c r="L106" s="30"/>
      <c r="M106" s="30"/>
      <c r="N106" s="30"/>
      <c r="O106" s="30"/>
      <c r="P106" s="30"/>
      <c r="Q106" s="39"/>
      <c r="Z106" s="40" t="s">
        <v>20</v>
      </c>
      <c r="AA106" s="49">
        <v>4239050</v>
      </c>
      <c r="AB106" s="35"/>
      <c r="AC106" s="35"/>
      <c r="AD106" s="35"/>
      <c r="AE106" s="35"/>
      <c r="AF106" s="35"/>
      <c r="AG106" s="35"/>
      <c r="AH106" s="30"/>
      <c r="AI106" s="30"/>
      <c r="AJ106" s="30"/>
      <c r="AK106" s="30"/>
      <c r="AL106" s="30"/>
      <c r="AM106" s="30"/>
      <c r="AN106" s="39"/>
    </row>
    <row r="107" spans="1:40">
      <c r="A107" t="s">
        <v>70</v>
      </c>
      <c r="B107" t="s">
        <v>70</v>
      </c>
      <c r="C107" s="40" t="s">
        <v>21</v>
      </c>
      <c r="D107" s="49">
        <v>7.46</v>
      </c>
      <c r="E107" s="35"/>
      <c r="F107" s="35"/>
      <c r="G107" s="35"/>
      <c r="H107" s="35"/>
      <c r="I107" s="35"/>
      <c r="J107" s="35"/>
      <c r="K107" s="30"/>
      <c r="L107" s="30"/>
      <c r="M107" s="30"/>
      <c r="N107" s="30"/>
      <c r="O107" s="30"/>
      <c r="P107" s="30"/>
      <c r="Q107" s="39"/>
      <c r="Z107" s="40" t="s">
        <v>21</v>
      </c>
      <c r="AA107" s="49">
        <v>7.46</v>
      </c>
      <c r="AB107" s="35"/>
      <c r="AC107" s="35"/>
      <c r="AD107" s="35"/>
      <c r="AE107" s="35"/>
      <c r="AF107" s="35"/>
      <c r="AG107" s="35"/>
      <c r="AH107" s="30"/>
      <c r="AI107" s="30"/>
      <c r="AJ107" s="30"/>
      <c r="AK107" s="30"/>
      <c r="AL107" s="30"/>
      <c r="AM107" s="30"/>
      <c r="AN107" s="39"/>
    </row>
    <row r="108" spans="1:40">
      <c r="A108" t="s">
        <v>82</v>
      </c>
      <c r="B108" t="s">
        <v>90</v>
      </c>
      <c r="C108" s="40" t="s">
        <v>20</v>
      </c>
      <c r="D108" s="49">
        <v>4371600</v>
      </c>
      <c r="E108" s="35"/>
      <c r="F108" s="35"/>
      <c r="G108" s="35"/>
      <c r="H108" s="35"/>
      <c r="I108" s="35"/>
      <c r="J108" s="35"/>
      <c r="K108" s="30"/>
      <c r="L108" s="30"/>
      <c r="M108" s="30"/>
      <c r="N108" s="30"/>
      <c r="O108" s="30"/>
      <c r="P108" s="30"/>
      <c r="Q108" s="39"/>
      <c r="Z108" s="40" t="s">
        <v>20</v>
      </c>
      <c r="AA108" s="49">
        <v>4371600</v>
      </c>
      <c r="AB108" s="35"/>
      <c r="AC108" s="35"/>
      <c r="AD108" s="35"/>
      <c r="AE108" s="35"/>
      <c r="AF108" s="35"/>
      <c r="AG108" s="35"/>
      <c r="AH108" s="30"/>
      <c r="AI108" s="30"/>
      <c r="AJ108" s="30"/>
      <c r="AK108" s="30"/>
      <c r="AL108" s="30"/>
      <c r="AM108" s="30"/>
      <c r="AN108" s="39"/>
    </row>
    <row r="109" spans="1:40">
      <c r="A109" t="s">
        <v>70</v>
      </c>
      <c r="B109" t="s">
        <v>70</v>
      </c>
      <c r="C109" s="40" t="s">
        <v>21</v>
      </c>
      <c r="D109" s="49">
        <v>5.97</v>
      </c>
      <c r="E109" s="35"/>
      <c r="F109" s="35"/>
      <c r="G109" s="35"/>
      <c r="H109" s="35"/>
      <c r="I109" s="35"/>
      <c r="J109" s="35"/>
      <c r="K109" s="30"/>
      <c r="L109" s="30"/>
      <c r="M109" s="30"/>
      <c r="N109" s="30"/>
      <c r="O109" s="30"/>
      <c r="P109" s="30"/>
      <c r="Q109" s="39"/>
      <c r="Z109" s="40" t="s">
        <v>21</v>
      </c>
      <c r="AA109" s="49">
        <v>5.97</v>
      </c>
      <c r="AB109" s="35"/>
      <c r="AC109" s="35"/>
      <c r="AD109" s="35"/>
      <c r="AE109" s="35"/>
      <c r="AF109" s="35"/>
      <c r="AG109" s="35"/>
      <c r="AH109" s="30"/>
      <c r="AI109" s="30"/>
      <c r="AJ109" s="30"/>
      <c r="AK109" s="30"/>
      <c r="AL109" s="30"/>
      <c r="AM109" s="30"/>
      <c r="AN109" s="39"/>
    </row>
    <row r="110" spans="1:40">
      <c r="A110" t="s">
        <v>83</v>
      </c>
      <c r="B110" t="s">
        <v>91</v>
      </c>
      <c r="C110" s="40" t="s">
        <v>20</v>
      </c>
      <c r="D110" s="49">
        <v>5120900</v>
      </c>
      <c r="E110" s="35"/>
      <c r="F110" s="35"/>
      <c r="G110" s="35"/>
      <c r="H110" s="35"/>
      <c r="I110" s="35"/>
      <c r="J110" s="35"/>
      <c r="K110" s="30"/>
      <c r="L110" s="30"/>
      <c r="M110" s="30"/>
      <c r="N110" s="30"/>
      <c r="O110" s="30"/>
      <c r="P110" s="30"/>
      <c r="Q110" s="39"/>
      <c r="Z110" s="40" t="s">
        <v>20</v>
      </c>
      <c r="AA110" s="49">
        <v>5120900</v>
      </c>
      <c r="AB110" s="35"/>
      <c r="AC110" s="35"/>
      <c r="AD110" s="35"/>
      <c r="AE110" s="35"/>
      <c r="AF110" s="35"/>
      <c r="AG110" s="35"/>
      <c r="AH110" s="30"/>
      <c r="AI110" s="30"/>
      <c r="AJ110" s="30"/>
      <c r="AK110" s="30"/>
      <c r="AL110" s="30"/>
      <c r="AM110" s="30"/>
      <c r="AN110" s="39"/>
    </row>
    <row r="111" spans="1:40">
      <c r="A111" t="s">
        <v>70</v>
      </c>
      <c r="B111" t="s">
        <v>70</v>
      </c>
      <c r="C111" s="40" t="s">
        <v>21</v>
      </c>
      <c r="D111" s="49">
        <v>5.97</v>
      </c>
      <c r="E111" s="35"/>
      <c r="F111" s="35"/>
      <c r="G111" s="35"/>
      <c r="H111" s="35"/>
      <c r="I111" s="35"/>
      <c r="J111" s="35"/>
      <c r="K111" s="30"/>
      <c r="L111" s="30"/>
      <c r="M111" s="30"/>
      <c r="N111" s="30"/>
      <c r="O111" s="30"/>
      <c r="P111" s="30"/>
      <c r="Q111" s="39"/>
      <c r="Z111" s="40" t="s">
        <v>21</v>
      </c>
      <c r="AA111" s="49">
        <v>5.97</v>
      </c>
      <c r="AB111" s="35"/>
      <c r="AC111" s="35"/>
      <c r="AD111" s="35"/>
      <c r="AE111" s="35"/>
      <c r="AF111" s="35"/>
      <c r="AG111" s="35"/>
      <c r="AH111" s="30"/>
      <c r="AI111" s="30"/>
      <c r="AJ111" s="30"/>
      <c r="AK111" s="30"/>
      <c r="AL111" s="30"/>
      <c r="AM111" s="30"/>
      <c r="AN111" s="39"/>
    </row>
    <row r="112" spans="1:40">
      <c r="A112" t="s">
        <v>84</v>
      </c>
      <c r="B112" t="s">
        <v>92</v>
      </c>
      <c r="C112" s="40" t="s">
        <v>20</v>
      </c>
      <c r="D112" s="49">
        <v>4937500</v>
      </c>
      <c r="E112" s="35"/>
      <c r="F112" s="35"/>
      <c r="G112" s="35"/>
      <c r="H112" s="35"/>
      <c r="I112" s="35"/>
      <c r="J112" s="35"/>
      <c r="K112" s="30"/>
      <c r="L112" s="30"/>
      <c r="M112" s="30"/>
      <c r="N112" s="30"/>
      <c r="O112" s="30"/>
      <c r="P112" s="30"/>
      <c r="Q112" s="39"/>
      <c r="Z112" s="40" t="s">
        <v>20</v>
      </c>
      <c r="AA112" s="49">
        <v>4937500</v>
      </c>
      <c r="AB112" s="35"/>
      <c r="AC112" s="35"/>
      <c r="AD112" s="35"/>
      <c r="AE112" s="35"/>
      <c r="AF112" s="35"/>
      <c r="AG112" s="35"/>
      <c r="AH112" s="30"/>
      <c r="AI112" s="30"/>
      <c r="AJ112" s="30"/>
      <c r="AK112" s="30"/>
      <c r="AL112" s="30"/>
      <c r="AM112" s="30"/>
      <c r="AN112" s="39"/>
    </row>
    <row r="113" spans="1:43">
      <c r="A113" t="s">
        <v>70</v>
      </c>
      <c r="B113" t="s">
        <v>70</v>
      </c>
      <c r="C113" s="40" t="s">
        <v>21</v>
      </c>
      <c r="D113" s="49">
        <v>5.97</v>
      </c>
      <c r="E113" s="35"/>
      <c r="F113" s="35"/>
      <c r="G113" s="35"/>
      <c r="H113" s="35"/>
      <c r="I113" s="35"/>
      <c r="J113" s="35"/>
      <c r="K113" s="30"/>
      <c r="L113" s="30"/>
      <c r="M113" s="30"/>
      <c r="N113" s="30"/>
      <c r="O113" s="30"/>
      <c r="P113" s="30"/>
      <c r="Q113" s="39"/>
      <c r="Z113" s="40" t="s">
        <v>21</v>
      </c>
      <c r="AA113" s="49">
        <v>5.97</v>
      </c>
      <c r="AB113" s="35"/>
      <c r="AC113" s="35"/>
      <c r="AD113" s="35"/>
      <c r="AE113" s="35"/>
      <c r="AF113" s="35"/>
      <c r="AG113" s="35"/>
      <c r="AH113" s="30"/>
      <c r="AI113" s="30"/>
      <c r="AJ113" s="30"/>
      <c r="AK113" s="30"/>
      <c r="AL113" s="30"/>
      <c r="AM113" s="30"/>
      <c r="AN113" s="39"/>
    </row>
    <row r="114" spans="1:43">
      <c r="A114" t="s">
        <v>85</v>
      </c>
      <c r="B114" t="s">
        <v>93</v>
      </c>
      <c r="C114" s="40" t="s">
        <v>20</v>
      </c>
      <c r="D114" s="49">
        <v>6248800</v>
      </c>
      <c r="E114" s="35"/>
      <c r="F114" s="35"/>
      <c r="G114" s="35"/>
      <c r="H114" s="35"/>
      <c r="I114" s="35"/>
      <c r="J114" s="35"/>
      <c r="K114" s="30"/>
      <c r="L114" s="30"/>
      <c r="M114" s="30"/>
      <c r="N114" s="30"/>
      <c r="O114" s="30"/>
      <c r="P114" s="30"/>
      <c r="Q114" s="39"/>
      <c r="Z114" s="40" t="s">
        <v>20</v>
      </c>
      <c r="AA114" s="49">
        <v>6248800</v>
      </c>
      <c r="AB114" s="35"/>
      <c r="AC114" s="35"/>
      <c r="AD114" s="35"/>
      <c r="AE114" s="35"/>
      <c r="AF114" s="35"/>
      <c r="AG114" s="35"/>
      <c r="AH114" s="30"/>
      <c r="AI114" s="30"/>
      <c r="AJ114" s="30"/>
      <c r="AK114" s="30"/>
      <c r="AL114" s="30"/>
      <c r="AM114" s="30"/>
      <c r="AN114" s="39"/>
    </row>
    <row r="115" spans="1:43">
      <c r="A115" t="s">
        <v>70</v>
      </c>
      <c r="B115" t="s">
        <v>70</v>
      </c>
      <c r="C115" s="40" t="s">
        <v>21</v>
      </c>
      <c r="D115" s="49">
        <v>5.97</v>
      </c>
      <c r="E115" s="35"/>
      <c r="F115" s="35"/>
      <c r="G115" s="35"/>
      <c r="H115" s="35"/>
      <c r="I115" s="35"/>
      <c r="J115" s="35"/>
      <c r="K115" s="30"/>
      <c r="L115" s="30"/>
      <c r="M115" s="30"/>
      <c r="N115" s="30"/>
      <c r="O115" s="30"/>
      <c r="P115" s="30"/>
      <c r="Q115" s="39"/>
      <c r="Z115" s="40" t="s">
        <v>21</v>
      </c>
      <c r="AA115" s="49">
        <v>5.97</v>
      </c>
      <c r="AB115" s="35"/>
      <c r="AC115" s="35"/>
      <c r="AD115" s="35"/>
      <c r="AE115" s="35"/>
      <c r="AF115" s="35"/>
      <c r="AG115" s="35"/>
      <c r="AH115" s="30"/>
      <c r="AI115" s="30"/>
      <c r="AJ115" s="30"/>
      <c r="AK115" s="30"/>
      <c r="AL115" s="30"/>
      <c r="AM115" s="30"/>
      <c r="AN115" s="39"/>
    </row>
    <row r="116" spans="1:43">
      <c r="A116" t="s">
        <v>70</v>
      </c>
      <c r="B116" t="s">
        <v>70</v>
      </c>
      <c r="D116" t="s">
        <v>67</v>
      </c>
      <c r="E116" s="35">
        <f>E102*$D$102</f>
        <v>15711423.035</v>
      </c>
      <c r="F116" s="35">
        <f t="shared" ref="F116:P116" si="27">F102*$D$102</f>
        <v>62845692.140000001</v>
      </c>
      <c r="G116" s="35">
        <f t="shared" si="27"/>
        <v>15711423.035</v>
      </c>
      <c r="H116" s="35">
        <f t="shared" si="27"/>
        <v>47134269.105000004</v>
      </c>
      <c r="I116" s="35">
        <f t="shared" si="27"/>
        <v>31422846.07</v>
      </c>
      <c r="J116" s="35">
        <f t="shared" si="27"/>
        <v>62845692.140000001</v>
      </c>
      <c r="K116" s="35">
        <f t="shared" si="27"/>
        <v>15711423.035</v>
      </c>
      <c r="L116" s="35">
        <f t="shared" si="27"/>
        <v>47134269.105000004</v>
      </c>
      <c r="M116" s="35">
        <f t="shared" si="27"/>
        <v>31422846.07</v>
      </c>
      <c r="N116" s="35">
        <f t="shared" si="27"/>
        <v>62845692.140000001</v>
      </c>
      <c r="O116" s="35">
        <f t="shared" si="27"/>
        <v>47134269.105000004</v>
      </c>
      <c r="P116" s="35">
        <f t="shared" si="27"/>
        <v>31422846.07</v>
      </c>
      <c r="Q116" s="39">
        <f>SUM(E116:P116)</f>
        <v>471342691.04999995</v>
      </c>
      <c r="AA116" t="s">
        <v>67</v>
      </c>
      <c r="AB116" s="35">
        <f>AB102*$D$102</f>
        <v>14845421.386950001</v>
      </c>
      <c r="AC116" s="35">
        <f t="shared" ref="AC116:AM116" si="28">AC102*$D$102</f>
        <v>59381685.547800004</v>
      </c>
      <c r="AD116" s="35">
        <f t="shared" si="28"/>
        <v>14845421.386950001</v>
      </c>
      <c r="AE116" s="35">
        <f t="shared" si="28"/>
        <v>44536264.160850003</v>
      </c>
      <c r="AF116" s="35">
        <f t="shared" si="28"/>
        <v>59381685.547800004</v>
      </c>
      <c r="AG116" s="35">
        <f t="shared" si="28"/>
        <v>59381685.547800004</v>
      </c>
      <c r="AH116" s="35">
        <f t="shared" si="28"/>
        <v>59381685.547800004</v>
      </c>
      <c r="AI116" s="35">
        <f t="shared" si="28"/>
        <v>59381685.547800004</v>
      </c>
      <c r="AJ116" s="35">
        <f t="shared" si="28"/>
        <v>29690842.773900002</v>
      </c>
      <c r="AK116" s="35">
        <f t="shared" si="28"/>
        <v>59381685.547800004</v>
      </c>
      <c r="AL116" s="35">
        <f t="shared" si="28"/>
        <v>59381685.547800004</v>
      </c>
      <c r="AM116" s="35">
        <f t="shared" si="28"/>
        <v>29690842.773900002</v>
      </c>
      <c r="AN116" s="39">
        <f>SUM(AB116:AM116)</f>
        <v>549280591.31715012</v>
      </c>
      <c r="AP116">
        <v>2125769108.6146801</v>
      </c>
      <c r="AQ116" s="54">
        <f>AN116/AP116</f>
        <v>0.2583914636312995</v>
      </c>
    </row>
    <row r="117" spans="1:43">
      <c r="A117" t="s">
        <v>70</v>
      </c>
      <c r="B117" t="s">
        <v>70</v>
      </c>
      <c r="E117" s="35">
        <f>E103*$D$103</f>
        <v>34945.959355999999</v>
      </c>
      <c r="F117" s="35">
        <f t="shared" ref="F117:P117" si="29">F103*$D$103</f>
        <v>178491.10355999999</v>
      </c>
      <c r="G117" s="35">
        <f t="shared" si="29"/>
        <v>24174.944485999997</v>
      </c>
      <c r="H117" s="35">
        <f t="shared" si="29"/>
        <v>259325.00563199999</v>
      </c>
      <c r="I117" s="35">
        <f t="shared" si="29"/>
        <v>69891.918711999999</v>
      </c>
      <c r="J117" s="35">
        <f t="shared" si="29"/>
        <v>178491.10355999999</v>
      </c>
      <c r="K117" s="35">
        <f t="shared" si="29"/>
        <v>24174.944485999997</v>
      </c>
      <c r="L117" s="35">
        <f t="shared" si="29"/>
        <v>259325.00563199999</v>
      </c>
      <c r="M117" s="35">
        <f t="shared" si="29"/>
        <v>69891.918711999999</v>
      </c>
      <c r="N117" s="35">
        <f t="shared" si="29"/>
        <v>178491.10355999999</v>
      </c>
      <c r="O117" s="35">
        <f t="shared" si="29"/>
        <v>72524.833458000008</v>
      </c>
      <c r="P117" s="35">
        <f t="shared" si="29"/>
        <v>172883.337088</v>
      </c>
      <c r="Q117" s="39">
        <f>SUM(E117:P117)</f>
        <v>1522611.1782419998</v>
      </c>
      <c r="AB117" s="35">
        <f>AB103*$D$103</f>
        <v>33019.764744120002</v>
      </c>
      <c r="AC117" s="35">
        <f t="shared" ref="AC117:AM117" si="30">AC103*$D$103</f>
        <v>168652.8101412</v>
      </c>
      <c r="AD117" s="35">
        <f t="shared" si="30"/>
        <v>22842.43999422</v>
      </c>
      <c r="AE117" s="35">
        <f t="shared" si="30"/>
        <v>245031.20921663998</v>
      </c>
      <c r="AF117" s="35">
        <f t="shared" si="30"/>
        <v>678100.60905048007</v>
      </c>
      <c r="AG117" s="35">
        <f t="shared" si="30"/>
        <v>168652.8101412</v>
      </c>
      <c r="AH117" s="35">
        <f t="shared" si="30"/>
        <v>22842.43999422</v>
      </c>
      <c r="AI117" s="35">
        <f t="shared" si="30"/>
        <v>245031.20921663998</v>
      </c>
      <c r="AJ117" s="35">
        <f t="shared" si="30"/>
        <v>66039.529488240005</v>
      </c>
      <c r="AK117" s="35">
        <f t="shared" si="30"/>
        <v>168652.8101412</v>
      </c>
      <c r="AL117" s="35">
        <f t="shared" si="30"/>
        <v>68527.319982660003</v>
      </c>
      <c r="AM117" s="35">
        <f t="shared" si="30"/>
        <v>163354.13947775998</v>
      </c>
      <c r="AN117" s="39">
        <f>SUM(AB117:AM117)</f>
        <v>2050747.0915885798</v>
      </c>
      <c r="AP117">
        <v>16689838.347886199</v>
      </c>
      <c r="AQ117" s="54">
        <f>AN117/AP117</f>
        <v>0.12287399367461885</v>
      </c>
    </row>
    <row r="118" spans="1:43">
      <c r="A118" t="s">
        <v>70</v>
      </c>
      <c r="B118" t="s">
        <v>70</v>
      </c>
      <c r="C118" s="44"/>
      <c r="D118" s="44"/>
      <c r="E118" s="50"/>
      <c r="F118" s="50"/>
      <c r="G118" s="50"/>
      <c r="H118" s="50"/>
      <c r="I118" s="50"/>
      <c r="J118" s="50"/>
      <c r="K118" s="46"/>
      <c r="L118" s="46"/>
      <c r="M118" s="46"/>
      <c r="N118" s="46"/>
      <c r="O118" s="46"/>
      <c r="P118" s="46"/>
      <c r="Q118" s="48"/>
      <c r="R118" s="44"/>
      <c r="Z118" s="44"/>
      <c r="AA118" s="44"/>
      <c r="AB118" s="50"/>
      <c r="AC118" s="50"/>
      <c r="AD118" s="50"/>
      <c r="AE118" s="50"/>
      <c r="AF118" s="50"/>
      <c r="AG118" s="50"/>
      <c r="AH118" s="46"/>
      <c r="AI118" s="46"/>
      <c r="AJ118" s="46"/>
      <c r="AK118" s="46"/>
      <c r="AL118" s="46"/>
      <c r="AM118" s="46"/>
      <c r="AN118" s="48"/>
    </row>
    <row r="119" spans="1:43">
      <c r="A119" t="s">
        <v>70</v>
      </c>
      <c r="B119" t="s">
        <v>70</v>
      </c>
      <c r="C119" s="44"/>
      <c r="D119" s="44"/>
      <c r="E119" s="50"/>
      <c r="F119" s="50"/>
      <c r="G119" s="50"/>
      <c r="H119" s="50"/>
      <c r="I119" s="50"/>
      <c r="J119" s="50"/>
      <c r="K119" s="46"/>
      <c r="L119" s="46"/>
      <c r="M119" s="46"/>
      <c r="N119" s="46"/>
      <c r="O119" s="46"/>
      <c r="P119" s="46"/>
      <c r="Q119" s="48"/>
      <c r="R119" s="44"/>
      <c r="Z119" s="44"/>
      <c r="AA119" s="44"/>
      <c r="AB119" s="50"/>
      <c r="AC119" s="50"/>
      <c r="AD119" s="50"/>
      <c r="AE119" s="50"/>
      <c r="AF119" s="50"/>
      <c r="AG119" s="50"/>
      <c r="AH119" s="46"/>
      <c r="AI119" s="46"/>
      <c r="AJ119" s="46"/>
      <c r="AK119" s="46"/>
      <c r="AL119" s="46"/>
      <c r="AM119" s="46"/>
      <c r="AN119" s="48"/>
    </row>
    <row r="120" spans="1:43">
      <c r="A120" t="s">
        <v>70</v>
      </c>
      <c r="B120" t="s">
        <v>70</v>
      </c>
      <c r="C120" t="s">
        <v>56</v>
      </c>
      <c r="E120" s="100">
        <f>'PANDU CWD'!C40</f>
        <v>8</v>
      </c>
      <c r="F120" s="100">
        <f>'PANDU CWD'!D40</f>
        <v>5</v>
      </c>
      <c r="G120" s="100">
        <f>'PANDU CWD'!E40</f>
        <v>6</v>
      </c>
      <c r="H120" s="100">
        <f>'PANDU CWD'!F40</f>
        <v>7</v>
      </c>
      <c r="I120" s="100">
        <f>'PANDU CWD'!G40</f>
        <v>8</v>
      </c>
      <c r="J120" s="100">
        <f>'PANDU CWD'!H40</f>
        <v>6</v>
      </c>
      <c r="K120" s="100">
        <f>'PANDU CWD'!I40</f>
        <v>9</v>
      </c>
      <c r="L120" s="100">
        <f>'PANDU CWD'!J40</f>
        <v>7</v>
      </c>
      <c r="M120" s="100">
        <f>'PANDU CWD'!K40</f>
        <v>8</v>
      </c>
      <c r="N120" s="100">
        <f>'PANDU CWD'!L40</f>
        <v>9</v>
      </c>
      <c r="O120" s="100">
        <f>'PANDU CWD'!M40</f>
        <v>7</v>
      </c>
      <c r="P120" s="100">
        <f>'PANDU CWD'!N40</f>
        <v>5</v>
      </c>
      <c r="Q120" s="39">
        <f>SUM(E120:P120)</f>
        <v>85</v>
      </c>
      <c r="R120">
        <f>Q121/Q120</f>
        <v>3632.5852474323065</v>
      </c>
      <c r="Z120" t="s">
        <v>56</v>
      </c>
      <c r="AB120" s="29">
        <f>'PANDU CWD'!W40</f>
        <v>8</v>
      </c>
      <c r="AC120" s="29">
        <f>'PANDU CWD'!X40</f>
        <v>5</v>
      </c>
      <c r="AD120" s="29">
        <f>'PANDU CWD'!Y40</f>
        <v>6</v>
      </c>
      <c r="AE120" s="29">
        <f>'PANDU CWD'!Z40</f>
        <v>7</v>
      </c>
      <c r="AF120" s="29">
        <f>'PANDU CWD'!AA40</f>
        <v>4</v>
      </c>
      <c r="AG120" s="29">
        <f>'PANDU CWD'!AB40</f>
        <v>6</v>
      </c>
      <c r="AH120" s="29">
        <f>'PANDU CWD'!AC40</f>
        <v>9</v>
      </c>
      <c r="AI120" s="29">
        <f>'PANDU CWD'!AD40</f>
        <v>7</v>
      </c>
      <c r="AJ120" s="29">
        <f>'PANDU CWD'!AE40</f>
        <v>8</v>
      </c>
      <c r="AK120" s="29">
        <f>'PANDU CWD'!AF40</f>
        <v>9</v>
      </c>
      <c r="AL120" s="29">
        <f>'PANDU CWD'!AG40</f>
        <v>4</v>
      </c>
      <c r="AM120" s="29">
        <f>'PANDU CWD'!AH40</f>
        <v>5</v>
      </c>
      <c r="AN120" s="39">
        <f>SUM(AB120:AM120)</f>
        <v>78</v>
      </c>
    </row>
    <row r="121" spans="1:43">
      <c r="A121" t="s">
        <v>70</v>
      </c>
      <c r="B121" t="s">
        <v>70</v>
      </c>
      <c r="E121" s="100">
        <f>'PANDU CWD'!C41</f>
        <v>31615</v>
      </c>
      <c r="F121" s="100">
        <f>'PANDU CWD'!D41</f>
        <v>20195</v>
      </c>
      <c r="G121" s="100">
        <f>'PANDU CWD'!E41</f>
        <v>22928</v>
      </c>
      <c r="H121" s="100">
        <f>'PANDU CWD'!F41</f>
        <v>25589</v>
      </c>
      <c r="I121" s="100">
        <f>'PANDU CWD'!G41</f>
        <v>31615</v>
      </c>
      <c r="J121" s="100">
        <f>'PANDU CWD'!H41</f>
        <v>24234</v>
      </c>
      <c r="K121" s="100">
        <f>'PANDU CWD'!I41</f>
        <v>22928</v>
      </c>
      <c r="L121" s="100">
        <f>'PANDU CWD'!J41</f>
        <v>25589</v>
      </c>
      <c r="M121" s="100">
        <f>'PANDU CWD'!K41</f>
        <v>31615</v>
      </c>
      <c r="N121" s="100">
        <f>'PANDU CWD'!L41</f>
        <v>36351</v>
      </c>
      <c r="O121" s="100">
        <f>'PANDU CWD'!M41</f>
        <v>17832.888888888891</v>
      </c>
      <c r="P121" s="100">
        <f>'PANDU CWD'!N41</f>
        <v>18277.857142857141</v>
      </c>
      <c r="Q121" s="39">
        <f>SUM(E121:P121)</f>
        <v>308769.74603174604</v>
      </c>
      <c r="AB121" s="29">
        <f>'PANDU CWD'!W41</f>
        <v>31615</v>
      </c>
      <c r="AC121" s="29">
        <f>'PANDU CWD'!X41</f>
        <v>20195</v>
      </c>
      <c r="AD121" s="29">
        <f>'PANDU CWD'!Y41</f>
        <v>22928</v>
      </c>
      <c r="AE121" s="29">
        <f>'PANDU CWD'!Z41</f>
        <v>25589</v>
      </c>
      <c r="AF121" s="29">
        <f>'PANDU CWD'!AA41</f>
        <v>31615</v>
      </c>
      <c r="AG121" s="29">
        <f>'PANDU CWD'!AB41</f>
        <v>24234</v>
      </c>
      <c r="AH121" s="29">
        <f>'PANDU CWD'!AC41</f>
        <v>22928</v>
      </c>
      <c r="AI121" s="29">
        <f>'PANDU CWD'!AD41</f>
        <v>25589</v>
      </c>
      <c r="AJ121" s="29">
        <f>'PANDU CWD'!AE41</f>
        <v>31615</v>
      </c>
      <c r="AK121" s="29">
        <f>'PANDU CWD'!AF41</f>
        <v>36351</v>
      </c>
      <c r="AL121" s="29">
        <f>'PANDU CWD'!AG41</f>
        <v>17833</v>
      </c>
      <c r="AM121" s="29">
        <f>'PANDU CWD'!AH41</f>
        <v>18278</v>
      </c>
      <c r="AN121" s="39">
        <f>SUM(AB121:AM121)</f>
        <v>308770</v>
      </c>
    </row>
    <row r="122" spans="1:43">
      <c r="A122" t="s">
        <v>78</v>
      </c>
      <c r="B122" t="s">
        <v>86</v>
      </c>
      <c r="C122" s="40" t="s">
        <v>20</v>
      </c>
      <c r="D122" s="49">
        <v>2102150</v>
      </c>
      <c r="E122" s="35">
        <f>E120*$G$3</f>
        <v>38.746400000000001</v>
      </c>
      <c r="F122" s="35">
        <f t="shared" ref="F122:P123" si="31">F120*$G$3</f>
        <v>24.2165</v>
      </c>
      <c r="G122" s="35">
        <f t="shared" si="31"/>
        <v>29.059800000000003</v>
      </c>
      <c r="H122" s="35">
        <f t="shared" si="31"/>
        <v>33.903100000000002</v>
      </c>
      <c r="I122" s="35">
        <f t="shared" si="31"/>
        <v>38.746400000000001</v>
      </c>
      <c r="J122" s="35">
        <f t="shared" si="31"/>
        <v>29.059800000000003</v>
      </c>
      <c r="K122" s="35">
        <f t="shared" si="31"/>
        <v>43.589700000000001</v>
      </c>
      <c r="L122" s="35">
        <f t="shared" si="31"/>
        <v>33.903100000000002</v>
      </c>
      <c r="M122" s="35">
        <f t="shared" si="31"/>
        <v>38.746400000000001</v>
      </c>
      <c r="N122" s="35">
        <f t="shared" si="31"/>
        <v>43.589700000000001</v>
      </c>
      <c r="O122" s="35">
        <f t="shared" si="31"/>
        <v>33.903100000000002</v>
      </c>
      <c r="P122" s="35">
        <f t="shared" si="31"/>
        <v>24.2165</v>
      </c>
      <c r="Q122" s="39">
        <f>SUM(E122:P122)</f>
        <v>411.68049999999999</v>
      </c>
      <c r="T122" s="67"/>
      <c r="Z122" s="40" t="s">
        <v>20</v>
      </c>
      <c r="AA122" s="49">
        <v>2102150</v>
      </c>
      <c r="AB122" s="35">
        <f>AB120*$AD$3</f>
        <v>36.610728000000002</v>
      </c>
      <c r="AC122" s="35">
        <f t="shared" ref="AC122:AM123" si="32">AC120*$AD$3</f>
        <v>22.881705</v>
      </c>
      <c r="AD122" s="35">
        <f t="shared" si="32"/>
        <v>27.458046000000003</v>
      </c>
      <c r="AE122" s="35">
        <f t="shared" si="32"/>
        <v>32.034387000000002</v>
      </c>
      <c r="AF122" s="35">
        <f t="shared" si="32"/>
        <v>18.305364000000001</v>
      </c>
      <c r="AG122" s="35">
        <f t="shared" si="32"/>
        <v>27.458046000000003</v>
      </c>
      <c r="AH122" s="35">
        <f t="shared" si="32"/>
        <v>41.187069000000001</v>
      </c>
      <c r="AI122" s="35">
        <f t="shared" si="32"/>
        <v>32.034387000000002</v>
      </c>
      <c r="AJ122" s="35">
        <f t="shared" si="32"/>
        <v>36.610728000000002</v>
      </c>
      <c r="AK122" s="35">
        <f t="shared" si="32"/>
        <v>41.187069000000001</v>
      </c>
      <c r="AL122" s="35">
        <f t="shared" si="32"/>
        <v>18.305364000000001</v>
      </c>
      <c r="AM122" s="35">
        <f t="shared" si="32"/>
        <v>22.881705</v>
      </c>
      <c r="AN122" s="39">
        <f>SUM(AB122:AM122)</f>
        <v>356.95459800000003</v>
      </c>
    </row>
    <row r="123" spans="1:43">
      <c r="A123" t="s">
        <v>70</v>
      </c>
      <c r="B123" t="s">
        <v>70</v>
      </c>
      <c r="C123" s="40" t="s">
        <v>21</v>
      </c>
      <c r="D123" s="49">
        <v>7.06</v>
      </c>
      <c r="E123" s="35">
        <f>E121*$G$3</f>
        <v>153120.9295</v>
      </c>
      <c r="F123" s="35">
        <f t="shared" si="31"/>
        <v>97810.443500000008</v>
      </c>
      <c r="G123" s="35">
        <f t="shared" si="31"/>
        <v>111047.18240000001</v>
      </c>
      <c r="H123" s="35">
        <f t="shared" si="31"/>
        <v>123935.2037</v>
      </c>
      <c r="I123" s="35">
        <f t="shared" si="31"/>
        <v>153120.9295</v>
      </c>
      <c r="J123" s="35">
        <f t="shared" si="31"/>
        <v>117372.5322</v>
      </c>
      <c r="K123" s="35">
        <f t="shared" si="31"/>
        <v>111047.18240000001</v>
      </c>
      <c r="L123" s="35">
        <f t="shared" si="31"/>
        <v>123935.2037</v>
      </c>
      <c r="M123" s="35">
        <f t="shared" si="31"/>
        <v>153120.9295</v>
      </c>
      <c r="N123" s="35">
        <f t="shared" si="31"/>
        <v>176058.79829999999</v>
      </c>
      <c r="O123" s="35">
        <f t="shared" si="31"/>
        <v>86370.030755555563</v>
      </c>
      <c r="P123" s="35">
        <f t="shared" si="31"/>
        <v>88525.145499999999</v>
      </c>
      <c r="Q123" s="39">
        <f>SUM(E123:P123)</f>
        <v>1495464.5109555556</v>
      </c>
      <c r="T123" s="39"/>
      <c r="Z123" s="40" t="s">
        <v>21</v>
      </c>
      <c r="AA123" s="49">
        <v>7.06</v>
      </c>
      <c r="AB123" s="35">
        <f>AB121*$AD$3</f>
        <v>144681.02071500002</v>
      </c>
      <c r="AC123" s="35">
        <f t="shared" si="32"/>
        <v>92419.206495000006</v>
      </c>
      <c r="AD123" s="35">
        <f t="shared" si="32"/>
        <v>104926.34644800001</v>
      </c>
      <c r="AE123" s="35">
        <f t="shared" si="32"/>
        <v>117103.98984900001</v>
      </c>
      <c r="AF123" s="35">
        <f t="shared" si="32"/>
        <v>144681.02071500002</v>
      </c>
      <c r="AG123" s="35">
        <f t="shared" si="32"/>
        <v>110903.047794</v>
      </c>
      <c r="AH123" s="35">
        <f t="shared" si="32"/>
        <v>104926.34644800001</v>
      </c>
      <c r="AI123" s="35">
        <f t="shared" si="32"/>
        <v>117103.98984900001</v>
      </c>
      <c r="AJ123" s="35">
        <f t="shared" si="32"/>
        <v>144681.02071500002</v>
      </c>
      <c r="AK123" s="35">
        <f t="shared" si="32"/>
        <v>166354.57169100002</v>
      </c>
      <c r="AL123" s="35">
        <f t="shared" si="32"/>
        <v>81609.889053000006</v>
      </c>
      <c r="AM123" s="35">
        <f t="shared" si="32"/>
        <v>83646.360798000009</v>
      </c>
      <c r="AN123" s="39">
        <f>SUM(AB123:AM123)</f>
        <v>1413036.8105700002</v>
      </c>
    </row>
    <row r="124" spans="1:43">
      <c r="A124" t="s">
        <v>79</v>
      </c>
      <c r="B124" t="s">
        <v>87</v>
      </c>
      <c r="C124" s="40" t="s">
        <v>20</v>
      </c>
      <c r="D124" s="49">
        <v>3243950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9"/>
      <c r="Z124" s="40" t="s">
        <v>20</v>
      </c>
      <c r="AA124" s="49">
        <v>3243950</v>
      </c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9"/>
    </row>
    <row r="125" spans="1:43">
      <c r="A125" t="s">
        <v>70</v>
      </c>
      <c r="B125" t="s">
        <v>70</v>
      </c>
      <c r="C125" s="40" t="s">
        <v>21</v>
      </c>
      <c r="D125" s="49">
        <v>7.06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9"/>
      <c r="Z125" s="40" t="s">
        <v>21</v>
      </c>
      <c r="AA125" s="49">
        <v>7.06</v>
      </c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9"/>
    </row>
    <row r="126" spans="1:43">
      <c r="A126" t="s">
        <v>80</v>
      </c>
      <c r="B126" t="s">
        <v>88</v>
      </c>
      <c r="C126" s="40" t="s">
        <v>20</v>
      </c>
      <c r="D126" s="49">
        <v>3898120</v>
      </c>
      <c r="E126" s="35"/>
      <c r="F126" s="35"/>
      <c r="G126" s="35"/>
      <c r="H126" s="35"/>
      <c r="I126" s="35"/>
      <c r="J126" s="35"/>
      <c r="K126" s="30"/>
      <c r="L126" s="30"/>
      <c r="M126" s="30"/>
      <c r="N126" s="30"/>
      <c r="O126" s="30"/>
      <c r="P126" s="30"/>
      <c r="Q126" s="39"/>
      <c r="Z126" s="40" t="s">
        <v>20</v>
      </c>
      <c r="AA126" s="49">
        <v>3898120</v>
      </c>
      <c r="AB126" s="35"/>
      <c r="AC126" s="35"/>
      <c r="AD126" s="35"/>
      <c r="AE126" s="35"/>
      <c r="AF126" s="35"/>
      <c r="AG126" s="35"/>
      <c r="AH126" s="30"/>
      <c r="AI126" s="30"/>
      <c r="AJ126" s="30"/>
      <c r="AK126" s="30"/>
      <c r="AL126" s="30"/>
      <c r="AM126" s="30"/>
      <c r="AN126" s="39"/>
    </row>
    <row r="127" spans="1:43">
      <c r="A127" t="s">
        <v>70</v>
      </c>
      <c r="B127" t="s">
        <v>70</v>
      </c>
      <c r="C127" s="40" t="s">
        <v>21</v>
      </c>
      <c r="D127" s="49">
        <v>7.46</v>
      </c>
      <c r="E127" s="35"/>
      <c r="F127" s="35"/>
      <c r="G127" s="35"/>
      <c r="H127" s="35"/>
      <c r="I127" s="35"/>
      <c r="J127" s="35"/>
      <c r="K127" s="30"/>
      <c r="L127" s="30"/>
      <c r="M127" s="30"/>
      <c r="N127" s="30"/>
      <c r="O127" s="30"/>
      <c r="P127" s="30"/>
      <c r="Q127" s="39"/>
      <c r="Z127" s="40" t="s">
        <v>21</v>
      </c>
      <c r="AA127" s="49">
        <v>7.46</v>
      </c>
      <c r="AB127" s="35"/>
      <c r="AC127" s="35"/>
      <c r="AD127" s="35"/>
      <c r="AE127" s="35"/>
      <c r="AF127" s="35"/>
      <c r="AG127" s="35"/>
      <c r="AH127" s="30"/>
      <c r="AI127" s="30"/>
      <c r="AJ127" s="30"/>
      <c r="AK127" s="30"/>
      <c r="AL127" s="30"/>
      <c r="AM127" s="30"/>
      <c r="AN127" s="39"/>
    </row>
    <row r="128" spans="1:43">
      <c r="A128" t="s">
        <v>81</v>
      </c>
      <c r="B128" t="s">
        <v>89</v>
      </c>
      <c r="C128" s="40" t="s">
        <v>20</v>
      </c>
      <c r="D128" s="49">
        <v>4239050</v>
      </c>
      <c r="E128" s="35"/>
      <c r="F128" s="35"/>
      <c r="G128" s="35"/>
      <c r="H128" s="35"/>
      <c r="I128" s="35"/>
      <c r="J128" s="35"/>
      <c r="K128" s="30"/>
      <c r="L128" s="30"/>
      <c r="M128" s="30"/>
      <c r="N128" s="30"/>
      <c r="O128" s="30"/>
      <c r="P128" s="30"/>
      <c r="Q128" s="39"/>
      <c r="Z128" s="40" t="s">
        <v>20</v>
      </c>
      <c r="AA128" s="49">
        <v>4239050</v>
      </c>
      <c r="AB128" s="35"/>
      <c r="AC128" s="35"/>
      <c r="AD128" s="35"/>
      <c r="AE128" s="35"/>
      <c r="AF128" s="35"/>
      <c r="AG128" s="35"/>
      <c r="AH128" s="30"/>
      <c r="AI128" s="30"/>
      <c r="AJ128" s="30"/>
      <c r="AK128" s="30"/>
      <c r="AL128" s="30"/>
      <c r="AM128" s="30"/>
      <c r="AN128" s="39"/>
    </row>
    <row r="129" spans="1:43">
      <c r="A129" t="s">
        <v>70</v>
      </c>
      <c r="B129" t="s">
        <v>70</v>
      </c>
      <c r="C129" s="40" t="s">
        <v>21</v>
      </c>
      <c r="D129" s="49">
        <v>7.46</v>
      </c>
      <c r="E129" s="35"/>
      <c r="F129" s="35"/>
      <c r="G129" s="35"/>
      <c r="H129" s="35"/>
      <c r="I129" s="35"/>
      <c r="J129" s="35"/>
      <c r="K129" s="30"/>
      <c r="L129" s="30"/>
      <c r="M129" s="30"/>
      <c r="N129" s="30"/>
      <c r="O129" s="30"/>
      <c r="P129" s="30"/>
      <c r="Q129" s="39"/>
      <c r="Z129" s="40" t="s">
        <v>21</v>
      </c>
      <c r="AA129" s="49">
        <v>7.46</v>
      </c>
      <c r="AB129" s="35"/>
      <c r="AC129" s="35"/>
      <c r="AD129" s="35"/>
      <c r="AE129" s="35"/>
      <c r="AF129" s="35"/>
      <c r="AG129" s="35"/>
      <c r="AH129" s="30"/>
      <c r="AI129" s="30"/>
      <c r="AJ129" s="30"/>
      <c r="AK129" s="30"/>
      <c r="AL129" s="30"/>
      <c r="AM129" s="30"/>
      <c r="AN129" s="39"/>
    </row>
    <row r="130" spans="1:43">
      <c r="A130" t="s">
        <v>82</v>
      </c>
      <c r="B130" t="s">
        <v>90</v>
      </c>
      <c r="C130" s="40" t="s">
        <v>20</v>
      </c>
      <c r="D130" s="49">
        <v>4371600</v>
      </c>
      <c r="E130" s="35"/>
      <c r="F130" s="35"/>
      <c r="G130" s="35"/>
      <c r="H130" s="35"/>
      <c r="I130" s="35"/>
      <c r="J130" s="35"/>
      <c r="K130" s="30"/>
      <c r="L130" s="30"/>
      <c r="M130" s="30"/>
      <c r="N130" s="30"/>
      <c r="O130" s="30"/>
      <c r="P130" s="30"/>
      <c r="Q130" s="39"/>
      <c r="Z130" s="40" t="s">
        <v>20</v>
      </c>
      <c r="AA130" s="49">
        <v>4371600</v>
      </c>
      <c r="AB130" s="35"/>
      <c r="AC130" s="35"/>
      <c r="AD130" s="35"/>
      <c r="AE130" s="35"/>
      <c r="AF130" s="35"/>
      <c r="AG130" s="35"/>
      <c r="AH130" s="30"/>
      <c r="AI130" s="30"/>
      <c r="AJ130" s="30"/>
      <c r="AK130" s="30"/>
      <c r="AL130" s="30"/>
      <c r="AM130" s="30"/>
      <c r="AN130" s="39"/>
    </row>
    <row r="131" spans="1:43">
      <c r="A131" t="s">
        <v>70</v>
      </c>
      <c r="B131" t="s">
        <v>70</v>
      </c>
      <c r="C131" s="40" t="s">
        <v>21</v>
      </c>
      <c r="D131" s="49">
        <v>5.97</v>
      </c>
      <c r="E131" s="35"/>
      <c r="F131" s="35"/>
      <c r="G131" s="35"/>
      <c r="H131" s="35"/>
      <c r="I131" s="35"/>
      <c r="J131" s="35"/>
      <c r="K131" s="30"/>
      <c r="L131" s="30"/>
      <c r="M131" s="30"/>
      <c r="N131" s="30"/>
      <c r="O131" s="30"/>
      <c r="P131" s="30"/>
      <c r="Q131" s="39"/>
      <c r="Z131" s="40" t="s">
        <v>21</v>
      </c>
      <c r="AA131" s="49">
        <v>5.97</v>
      </c>
      <c r="AB131" s="35"/>
      <c r="AC131" s="35"/>
      <c r="AD131" s="35"/>
      <c r="AE131" s="35"/>
      <c r="AF131" s="35"/>
      <c r="AG131" s="35"/>
      <c r="AH131" s="30"/>
      <c r="AI131" s="30"/>
      <c r="AJ131" s="30"/>
      <c r="AK131" s="30"/>
      <c r="AL131" s="30"/>
      <c r="AM131" s="30"/>
      <c r="AN131" s="39"/>
    </row>
    <row r="132" spans="1:43">
      <c r="A132" t="s">
        <v>83</v>
      </c>
      <c r="B132" t="s">
        <v>91</v>
      </c>
      <c r="C132" s="40" t="s">
        <v>20</v>
      </c>
      <c r="D132" s="49">
        <v>5120900</v>
      </c>
      <c r="E132" s="35"/>
      <c r="F132" s="35"/>
      <c r="G132" s="35"/>
      <c r="H132" s="35"/>
      <c r="I132" s="35"/>
      <c r="J132" s="35"/>
      <c r="K132" s="30"/>
      <c r="L132" s="30"/>
      <c r="M132" s="30"/>
      <c r="N132" s="30"/>
      <c r="O132" s="30"/>
      <c r="P132" s="30"/>
      <c r="Q132" s="39"/>
      <c r="Z132" s="40" t="s">
        <v>20</v>
      </c>
      <c r="AA132" s="49">
        <v>5120900</v>
      </c>
      <c r="AB132" s="35"/>
      <c r="AC132" s="35"/>
      <c r="AD132" s="35"/>
      <c r="AE132" s="35"/>
      <c r="AF132" s="35"/>
      <c r="AG132" s="35"/>
      <c r="AH132" s="30"/>
      <c r="AI132" s="30"/>
      <c r="AJ132" s="30"/>
      <c r="AK132" s="30"/>
      <c r="AL132" s="30"/>
      <c r="AM132" s="30"/>
      <c r="AN132" s="39"/>
    </row>
    <row r="133" spans="1:43">
      <c r="A133" t="s">
        <v>70</v>
      </c>
      <c r="B133" t="s">
        <v>70</v>
      </c>
      <c r="C133" s="40" t="s">
        <v>21</v>
      </c>
      <c r="D133" s="49">
        <v>5.97</v>
      </c>
      <c r="E133" s="35"/>
      <c r="F133" s="35"/>
      <c r="G133" s="35"/>
      <c r="H133" s="35"/>
      <c r="I133" s="35"/>
      <c r="J133" s="35"/>
      <c r="K133" s="30"/>
      <c r="L133" s="30"/>
      <c r="M133" s="30"/>
      <c r="N133" s="30"/>
      <c r="O133" s="30"/>
      <c r="P133" s="30"/>
      <c r="Q133" s="39"/>
      <c r="Z133" s="40" t="s">
        <v>21</v>
      </c>
      <c r="AA133" s="49">
        <v>5.97</v>
      </c>
      <c r="AB133" s="35"/>
      <c r="AC133" s="35"/>
      <c r="AD133" s="35"/>
      <c r="AE133" s="35"/>
      <c r="AF133" s="35"/>
      <c r="AG133" s="35"/>
      <c r="AH133" s="30"/>
      <c r="AI133" s="30"/>
      <c r="AJ133" s="30"/>
      <c r="AK133" s="30"/>
      <c r="AL133" s="30"/>
      <c r="AM133" s="30"/>
      <c r="AN133" s="39"/>
    </row>
    <row r="134" spans="1:43">
      <c r="A134" t="s">
        <v>84</v>
      </c>
      <c r="B134" t="s">
        <v>92</v>
      </c>
      <c r="C134" s="40" t="s">
        <v>20</v>
      </c>
      <c r="D134" s="49">
        <v>4937500</v>
      </c>
      <c r="E134" s="35"/>
      <c r="F134" s="35"/>
      <c r="G134" s="35"/>
      <c r="H134" s="35"/>
      <c r="I134" s="35"/>
      <c r="J134" s="35"/>
      <c r="K134" s="30"/>
      <c r="L134" s="30"/>
      <c r="M134" s="30"/>
      <c r="N134" s="30"/>
      <c r="O134" s="30"/>
      <c r="P134" s="30"/>
      <c r="Q134" s="39"/>
      <c r="Z134" s="40" t="s">
        <v>20</v>
      </c>
      <c r="AA134" s="49">
        <v>4937500</v>
      </c>
      <c r="AB134" s="35"/>
      <c r="AC134" s="35"/>
      <c r="AD134" s="35"/>
      <c r="AE134" s="35"/>
      <c r="AF134" s="35"/>
      <c r="AG134" s="35"/>
      <c r="AH134" s="30"/>
      <c r="AI134" s="30"/>
      <c r="AJ134" s="30"/>
      <c r="AK134" s="30"/>
      <c r="AL134" s="30"/>
      <c r="AM134" s="30"/>
      <c r="AN134" s="39"/>
    </row>
    <row r="135" spans="1:43">
      <c r="A135" t="s">
        <v>70</v>
      </c>
      <c r="B135" t="s">
        <v>70</v>
      </c>
      <c r="C135" s="40" t="s">
        <v>21</v>
      </c>
      <c r="D135" s="49">
        <v>5.97</v>
      </c>
      <c r="E135" s="35"/>
      <c r="F135" s="35"/>
      <c r="G135" s="35"/>
      <c r="H135" s="35"/>
      <c r="I135" s="35"/>
      <c r="J135" s="35"/>
      <c r="K135" s="30"/>
      <c r="L135" s="30"/>
      <c r="M135" s="30"/>
      <c r="N135" s="30"/>
      <c r="O135" s="30"/>
      <c r="P135" s="30"/>
      <c r="Q135" s="39"/>
      <c r="Z135" s="40" t="s">
        <v>21</v>
      </c>
      <c r="AA135" s="49">
        <v>5.97</v>
      </c>
      <c r="AB135" s="35"/>
      <c r="AC135" s="35"/>
      <c r="AD135" s="35"/>
      <c r="AE135" s="35"/>
      <c r="AF135" s="35"/>
      <c r="AG135" s="35"/>
      <c r="AH135" s="30"/>
      <c r="AI135" s="30"/>
      <c r="AJ135" s="30"/>
      <c r="AK135" s="30"/>
      <c r="AL135" s="30"/>
      <c r="AM135" s="30"/>
      <c r="AN135" s="39"/>
    </row>
    <row r="136" spans="1:43">
      <c r="A136" t="s">
        <v>85</v>
      </c>
      <c r="B136" t="s">
        <v>93</v>
      </c>
      <c r="C136" s="40" t="s">
        <v>20</v>
      </c>
      <c r="D136" s="49">
        <v>6248800</v>
      </c>
      <c r="E136" s="35"/>
      <c r="F136" s="35"/>
      <c r="G136" s="35"/>
      <c r="H136" s="35"/>
      <c r="I136" s="35"/>
      <c r="J136" s="35"/>
      <c r="K136" s="30"/>
      <c r="L136" s="30"/>
      <c r="M136" s="30"/>
      <c r="N136" s="30"/>
      <c r="O136" s="30"/>
      <c r="P136" s="30"/>
      <c r="Q136" s="39"/>
      <c r="Z136" s="40" t="s">
        <v>20</v>
      </c>
      <c r="AA136" s="49">
        <v>6248800</v>
      </c>
      <c r="AB136" s="35"/>
      <c r="AC136" s="35"/>
      <c r="AD136" s="35"/>
      <c r="AE136" s="35"/>
      <c r="AF136" s="35"/>
      <c r="AG136" s="35"/>
      <c r="AH136" s="30"/>
      <c r="AI136" s="30"/>
      <c r="AJ136" s="30"/>
      <c r="AK136" s="30"/>
      <c r="AL136" s="30"/>
      <c r="AM136" s="30"/>
      <c r="AN136" s="39"/>
    </row>
    <row r="137" spans="1:43">
      <c r="A137" t="s">
        <v>70</v>
      </c>
      <c r="B137" t="s">
        <v>70</v>
      </c>
      <c r="C137" s="40" t="s">
        <v>21</v>
      </c>
      <c r="D137" s="49">
        <v>5.97</v>
      </c>
      <c r="E137" s="35"/>
      <c r="F137" s="35"/>
      <c r="G137" s="35"/>
      <c r="H137" s="35"/>
      <c r="I137" s="35"/>
      <c r="J137" s="35"/>
      <c r="K137" s="30"/>
      <c r="L137" s="30"/>
      <c r="M137" s="30"/>
      <c r="N137" s="30"/>
      <c r="O137" s="30"/>
      <c r="P137" s="30"/>
      <c r="Q137" s="39"/>
      <c r="Z137" s="40" t="s">
        <v>21</v>
      </c>
      <c r="AA137" s="49">
        <v>5.97</v>
      </c>
      <c r="AB137" s="35"/>
      <c r="AC137" s="35"/>
      <c r="AD137" s="35"/>
      <c r="AE137" s="35"/>
      <c r="AF137" s="35"/>
      <c r="AG137" s="35"/>
      <c r="AH137" s="30"/>
      <c r="AI137" s="30"/>
      <c r="AJ137" s="30"/>
      <c r="AK137" s="30"/>
      <c r="AL137" s="30"/>
      <c r="AM137" s="30"/>
      <c r="AN137" s="39"/>
    </row>
    <row r="138" spans="1:43">
      <c r="A138" t="s">
        <v>70</v>
      </c>
      <c r="B138" t="s">
        <v>70</v>
      </c>
      <c r="D138" t="s">
        <v>67</v>
      </c>
      <c r="E138" s="35">
        <f>E122*$D$122</f>
        <v>81450744.760000005</v>
      </c>
      <c r="F138" s="35">
        <f t="shared" ref="F138:P138" si="33">F122*$D$122</f>
        <v>50906715.475000001</v>
      </c>
      <c r="G138" s="35">
        <f t="shared" si="33"/>
        <v>61088058.570000008</v>
      </c>
      <c r="H138" s="35">
        <f t="shared" si="33"/>
        <v>71269401.665000007</v>
      </c>
      <c r="I138" s="35">
        <f t="shared" si="33"/>
        <v>81450744.760000005</v>
      </c>
      <c r="J138" s="35">
        <f t="shared" si="33"/>
        <v>61088058.570000008</v>
      </c>
      <c r="K138" s="35">
        <f t="shared" si="33"/>
        <v>91632087.855000004</v>
      </c>
      <c r="L138" s="35">
        <f t="shared" si="33"/>
        <v>71269401.665000007</v>
      </c>
      <c r="M138" s="35">
        <f t="shared" si="33"/>
        <v>81450744.760000005</v>
      </c>
      <c r="N138" s="35">
        <f t="shared" si="33"/>
        <v>91632087.855000004</v>
      </c>
      <c r="O138" s="35">
        <f t="shared" si="33"/>
        <v>71269401.665000007</v>
      </c>
      <c r="P138" s="35">
        <f t="shared" si="33"/>
        <v>50906715.475000001</v>
      </c>
      <c r="Q138" s="39">
        <f>SUM(E138:P138)</f>
        <v>865414163.07500005</v>
      </c>
      <c r="AA138" t="s">
        <v>67</v>
      </c>
      <c r="AB138" s="35">
        <f>AB122*$D$122</f>
        <v>76961241.865199998</v>
      </c>
      <c r="AC138" s="35">
        <f t="shared" ref="AC138:AM138" si="34">AC122*$D$122</f>
        <v>48100776.165749997</v>
      </c>
      <c r="AD138" s="35">
        <f t="shared" si="34"/>
        <v>57720931.39890001</v>
      </c>
      <c r="AE138" s="35">
        <f t="shared" si="34"/>
        <v>67341086.632050008</v>
      </c>
      <c r="AF138" s="35">
        <f t="shared" si="34"/>
        <v>38480620.932599999</v>
      </c>
      <c r="AG138" s="35">
        <f t="shared" si="34"/>
        <v>57720931.39890001</v>
      </c>
      <c r="AH138" s="35">
        <f t="shared" si="34"/>
        <v>86581397.098350003</v>
      </c>
      <c r="AI138" s="35">
        <f t="shared" si="34"/>
        <v>67341086.632050008</v>
      </c>
      <c r="AJ138" s="35">
        <f t="shared" si="34"/>
        <v>76961241.865199998</v>
      </c>
      <c r="AK138" s="35">
        <f t="shared" si="34"/>
        <v>86581397.098350003</v>
      </c>
      <c r="AL138" s="35">
        <f t="shared" si="34"/>
        <v>38480620.932599999</v>
      </c>
      <c r="AM138" s="35">
        <f t="shared" si="34"/>
        <v>48100776.165749997</v>
      </c>
      <c r="AN138" s="39">
        <f>SUM(AB138:AM138)</f>
        <v>750372108.18570018</v>
      </c>
      <c r="AP138" s="81">
        <v>2625480160.3669887</v>
      </c>
      <c r="AQ138" s="54">
        <f>AN138/AP138</f>
        <v>0.28580376249379597</v>
      </c>
    </row>
    <row r="139" spans="1:43">
      <c r="A139" t="s">
        <v>70</v>
      </c>
      <c r="B139" t="s">
        <v>70</v>
      </c>
      <c r="E139" s="35">
        <f>E123*$D$123</f>
        <v>1081033.7622699998</v>
      </c>
      <c r="F139" s="35">
        <f t="shared" ref="F139:P139" si="35">F123*$D$123</f>
        <v>690541.73111000005</v>
      </c>
      <c r="G139" s="35">
        <f t="shared" si="35"/>
        <v>783993.10774400004</v>
      </c>
      <c r="H139" s="35">
        <f t="shared" si="35"/>
        <v>874982.53812199994</v>
      </c>
      <c r="I139" s="35">
        <f t="shared" si="35"/>
        <v>1081033.7622699998</v>
      </c>
      <c r="J139" s="35">
        <f t="shared" si="35"/>
        <v>828650.07733200002</v>
      </c>
      <c r="K139" s="35">
        <f t="shared" si="35"/>
        <v>783993.10774400004</v>
      </c>
      <c r="L139" s="35">
        <f t="shared" si="35"/>
        <v>874982.53812199994</v>
      </c>
      <c r="M139" s="35">
        <f t="shared" si="35"/>
        <v>1081033.7622699998</v>
      </c>
      <c r="N139" s="35">
        <f t="shared" si="35"/>
        <v>1242975.1159979999</v>
      </c>
      <c r="O139" s="35">
        <f t="shared" si="35"/>
        <v>609772.41713422223</v>
      </c>
      <c r="P139" s="35">
        <f t="shared" si="35"/>
        <v>624987.52723000001</v>
      </c>
      <c r="Q139" s="39">
        <f>SUM(E139:P139)</f>
        <v>10557979.447346222</v>
      </c>
      <c r="AB139" s="35">
        <f>AB123*$D$123</f>
        <v>1021448.0062479001</v>
      </c>
      <c r="AC139" s="35">
        <f t="shared" ref="AC139:AM139" si="36">AC123*$D$123</f>
        <v>652479.59785470006</v>
      </c>
      <c r="AD139" s="35">
        <f t="shared" si="36"/>
        <v>740780.00592288002</v>
      </c>
      <c r="AE139" s="35">
        <f t="shared" si="36"/>
        <v>826754.16833393998</v>
      </c>
      <c r="AF139" s="35">
        <f t="shared" si="36"/>
        <v>1021448.0062479001</v>
      </c>
      <c r="AG139" s="35">
        <f t="shared" si="36"/>
        <v>782975.5174256399</v>
      </c>
      <c r="AH139" s="35">
        <f t="shared" si="36"/>
        <v>740780.00592288002</v>
      </c>
      <c r="AI139" s="35">
        <f t="shared" si="36"/>
        <v>826754.16833393998</v>
      </c>
      <c r="AJ139" s="35">
        <f t="shared" si="36"/>
        <v>1021448.0062479001</v>
      </c>
      <c r="AK139" s="35">
        <f t="shared" si="36"/>
        <v>1174463.27613846</v>
      </c>
      <c r="AL139" s="35">
        <f t="shared" si="36"/>
        <v>576165.81671418005</v>
      </c>
      <c r="AM139" s="35">
        <f t="shared" si="36"/>
        <v>590543.30723388004</v>
      </c>
      <c r="AN139" s="39">
        <f>SUM(AB139:AM139)</f>
        <v>9976039.8826242015</v>
      </c>
      <c r="AP139" s="84">
        <v>16682556.530452</v>
      </c>
      <c r="AQ139" s="54">
        <f>AN139/AP139</f>
        <v>0.59799227201263427</v>
      </c>
    </row>
    <row r="140" spans="1:43">
      <c r="A140" t="s">
        <v>70</v>
      </c>
      <c r="B140" t="s">
        <v>70</v>
      </c>
      <c r="C140" s="44"/>
      <c r="D140" s="44"/>
      <c r="E140" s="50"/>
      <c r="F140" s="50"/>
      <c r="G140" s="50"/>
      <c r="H140" s="50"/>
      <c r="I140" s="50"/>
      <c r="J140" s="50"/>
      <c r="K140" s="46"/>
      <c r="L140" s="46"/>
      <c r="M140" s="46"/>
      <c r="N140" s="46"/>
      <c r="O140" s="46"/>
      <c r="P140" s="46"/>
      <c r="Q140" s="48"/>
      <c r="R140" s="44"/>
      <c r="Z140" s="44"/>
      <c r="AA140" s="44"/>
      <c r="AB140" s="50"/>
      <c r="AC140" s="50"/>
      <c r="AD140" s="50"/>
      <c r="AE140" s="50"/>
      <c r="AF140" s="50"/>
      <c r="AG140" s="50"/>
      <c r="AH140" s="46"/>
      <c r="AI140" s="46"/>
      <c r="AJ140" s="46"/>
      <c r="AK140" s="46"/>
      <c r="AL140" s="46"/>
      <c r="AM140" s="46"/>
      <c r="AN140" s="48"/>
    </row>
    <row r="141" spans="1:43">
      <c r="A141" t="s">
        <v>70</v>
      </c>
      <c r="B141" t="s">
        <v>70</v>
      </c>
      <c r="C141" s="44"/>
      <c r="D141" s="44"/>
      <c r="E141" s="50"/>
      <c r="F141" s="50"/>
      <c r="G141" s="50"/>
      <c r="H141" s="50"/>
      <c r="I141" s="50"/>
      <c r="J141" s="50"/>
      <c r="K141" s="46"/>
      <c r="L141" s="46"/>
      <c r="M141" s="46"/>
      <c r="N141" s="46"/>
      <c r="O141" s="46"/>
      <c r="P141" s="46"/>
      <c r="Q141" s="48"/>
      <c r="R141" s="44"/>
      <c r="Z141" s="44"/>
      <c r="AA141" s="44"/>
      <c r="AB141" s="50"/>
      <c r="AC141" s="50"/>
      <c r="AD141" s="50"/>
      <c r="AE141" s="50"/>
      <c r="AF141" s="50"/>
      <c r="AG141" s="50"/>
      <c r="AH141" s="46"/>
      <c r="AI141" s="46"/>
      <c r="AJ141" s="46"/>
      <c r="AK141" s="46"/>
      <c r="AL141" s="46"/>
      <c r="AM141" s="46"/>
      <c r="AN141" s="48"/>
    </row>
    <row r="142" spans="1:43">
      <c r="A142" t="s">
        <v>70</v>
      </c>
      <c r="B142" t="s">
        <v>70</v>
      </c>
      <c r="C142" t="s">
        <v>57</v>
      </c>
      <c r="E142" s="100">
        <f>'PANDU CWD'!C46</f>
        <v>7</v>
      </c>
      <c r="F142" s="100">
        <f>'PANDU CWD'!D46</f>
        <v>5</v>
      </c>
      <c r="G142" s="100">
        <f>'PANDU CWD'!E46</f>
        <v>4</v>
      </c>
      <c r="H142" s="100">
        <f>'PANDU CWD'!F46</f>
        <v>3</v>
      </c>
      <c r="I142" s="100">
        <f>'PANDU CWD'!G46</f>
        <v>4</v>
      </c>
      <c r="J142" s="100">
        <f>'PANDU CWD'!H46</f>
        <v>6</v>
      </c>
      <c r="K142" s="100">
        <f>'PANDU CWD'!I46</f>
        <v>5</v>
      </c>
      <c r="L142" s="100">
        <f>'PANDU CWD'!J46</f>
        <v>7</v>
      </c>
      <c r="M142" s="100">
        <f>'PANDU CWD'!K46</f>
        <v>6</v>
      </c>
      <c r="N142" s="100">
        <f>'PANDU CWD'!L46</f>
        <v>5</v>
      </c>
      <c r="O142" s="100">
        <f>'PANDU CWD'!M46</f>
        <v>4</v>
      </c>
      <c r="P142" s="100">
        <f>'PANDU CWD'!N46</f>
        <v>3</v>
      </c>
      <c r="Q142" s="39">
        <f>SUM(E142:P142)</f>
        <v>59</v>
      </c>
      <c r="R142">
        <f>Q143/Q142</f>
        <v>2871.103631961259</v>
      </c>
      <c r="Z142" t="s">
        <v>57</v>
      </c>
      <c r="AB142" s="29">
        <f>'PANDU CWD'!W46</f>
        <v>2</v>
      </c>
      <c r="AC142" s="29">
        <f>'PANDU CWD'!X46</f>
        <v>1</v>
      </c>
      <c r="AD142" s="29">
        <f>'PANDU CWD'!Y46</f>
        <v>1</v>
      </c>
      <c r="AE142" s="29">
        <f>'PANDU CWD'!Z46</f>
        <v>3</v>
      </c>
      <c r="AF142" s="29">
        <f>'PANDU CWD'!AA46</f>
        <v>4</v>
      </c>
      <c r="AG142" s="29">
        <f>'PANDU CWD'!AB46</f>
        <v>6</v>
      </c>
      <c r="AH142" s="29">
        <f>'PANDU CWD'!AC46</f>
        <v>5</v>
      </c>
      <c r="AI142" s="29">
        <f>'PANDU CWD'!AD46</f>
        <v>7</v>
      </c>
      <c r="AJ142" s="29">
        <f>'PANDU CWD'!AE46</f>
        <v>6</v>
      </c>
      <c r="AK142" s="29">
        <f>'PANDU CWD'!AF46</f>
        <v>5</v>
      </c>
      <c r="AL142" s="29">
        <f>'PANDU CWD'!AG46</f>
        <v>4</v>
      </c>
      <c r="AM142" s="29">
        <f>'PANDU CWD'!AH46</f>
        <v>3</v>
      </c>
      <c r="AN142" s="39">
        <f>SUM(AB142:AM142)</f>
        <v>47</v>
      </c>
    </row>
    <row r="143" spans="1:43">
      <c r="A143" t="s">
        <v>70</v>
      </c>
      <c r="B143" t="s">
        <v>70</v>
      </c>
      <c r="E143" s="100">
        <f>'PANDU CWD'!C47</f>
        <v>21410</v>
      </c>
      <c r="F143" s="100">
        <f>'PANDU CWD'!D47</f>
        <v>12812</v>
      </c>
      <c r="G143" s="100">
        <f>'PANDU CWD'!E47</f>
        <v>9388</v>
      </c>
      <c r="H143" s="100">
        <f>'PANDU CWD'!F47</f>
        <v>10590</v>
      </c>
      <c r="I143" s="100">
        <f>'PANDU CWD'!G47</f>
        <v>12234.285714285714</v>
      </c>
      <c r="J143" s="100">
        <f>'PANDU CWD'!H47</f>
        <v>15374.400000000001</v>
      </c>
      <c r="K143" s="100">
        <f>'PANDU CWD'!I47</f>
        <v>11735</v>
      </c>
      <c r="L143" s="100">
        <f>'PANDU CWD'!J47</f>
        <v>24710</v>
      </c>
      <c r="M143" s="100">
        <f>'PANDU CWD'!K47</f>
        <v>18351.428571428572</v>
      </c>
      <c r="N143" s="100">
        <f>'PANDU CWD'!L47</f>
        <v>12812</v>
      </c>
      <c r="O143" s="100">
        <f>'PANDU CWD'!M47</f>
        <v>9388</v>
      </c>
      <c r="P143" s="100">
        <f>'PANDU CWD'!N47</f>
        <v>10590</v>
      </c>
      <c r="Q143" s="39">
        <f>SUM(E143:P143)</f>
        <v>169395.11428571428</v>
      </c>
      <c r="AB143" s="29">
        <f>'PANDU CWD'!W47</f>
        <v>8018</v>
      </c>
      <c r="AC143" s="29">
        <f>'PANDU CWD'!X47</f>
        <v>8018</v>
      </c>
      <c r="AD143" s="29">
        <f>'PANDU CWD'!Y47</f>
        <v>4009</v>
      </c>
      <c r="AE143" s="29">
        <f>'PANDU CWD'!Z47</f>
        <v>8018</v>
      </c>
      <c r="AF143" s="29">
        <f>'PANDU CWD'!AA47</f>
        <v>8018</v>
      </c>
      <c r="AG143" s="29">
        <f>'PANDU CWD'!AB47</f>
        <v>8018</v>
      </c>
      <c r="AH143" s="29">
        <f>'PANDU CWD'!AC47</f>
        <v>8018</v>
      </c>
      <c r="AI143" s="29">
        <f>'PANDU CWD'!AD47</f>
        <v>4009</v>
      </c>
      <c r="AJ143" s="29">
        <f>'PANDU CWD'!AE47</f>
        <v>4009</v>
      </c>
      <c r="AK143" s="29">
        <f>'PANDU CWD'!AF47</f>
        <v>4009</v>
      </c>
      <c r="AL143" s="29">
        <f>'PANDU CWD'!AG47</f>
        <v>4009</v>
      </c>
      <c r="AM143" s="29">
        <f>'PANDU CWD'!AH47</f>
        <v>4009</v>
      </c>
      <c r="AN143" s="39">
        <f>SUM(AB143:AM143)</f>
        <v>72162</v>
      </c>
    </row>
    <row r="144" spans="1:43">
      <c r="A144" t="s">
        <v>78</v>
      </c>
      <c r="B144" t="s">
        <v>86</v>
      </c>
      <c r="C144" s="40" t="s">
        <v>20</v>
      </c>
      <c r="D144" s="49">
        <v>2102150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9"/>
      <c r="Z144" s="40" t="s">
        <v>20</v>
      </c>
      <c r="AA144" s="49">
        <v>2102150</v>
      </c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9"/>
    </row>
    <row r="145" spans="1:43">
      <c r="A145" t="s">
        <v>70</v>
      </c>
      <c r="B145" t="s">
        <v>70</v>
      </c>
      <c r="C145" s="40" t="s">
        <v>21</v>
      </c>
      <c r="D145" s="49">
        <v>7.06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9"/>
      <c r="Z145" s="40" t="s">
        <v>21</v>
      </c>
      <c r="AA145" s="49">
        <v>7.06</v>
      </c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9"/>
    </row>
    <row r="146" spans="1:43">
      <c r="A146" t="s">
        <v>79</v>
      </c>
      <c r="B146" t="s">
        <v>87</v>
      </c>
      <c r="C146" s="40" t="s">
        <v>20</v>
      </c>
      <c r="D146" s="49">
        <v>3243950</v>
      </c>
      <c r="E146" s="35">
        <f>E142*$G$3</f>
        <v>33.903100000000002</v>
      </c>
      <c r="F146" s="35">
        <f t="shared" ref="F146:P147" si="37">F142*$G$3</f>
        <v>24.2165</v>
      </c>
      <c r="G146" s="35">
        <f t="shared" si="37"/>
        <v>19.373200000000001</v>
      </c>
      <c r="H146" s="35">
        <f t="shared" si="37"/>
        <v>14.529900000000001</v>
      </c>
      <c r="I146" s="35">
        <f t="shared" si="37"/>
        <v>19.373200000000001</v>
      </c>
      <c r="J146" s="35">
        <f t="shared" si="37"/>
        <v>29.059800000000003</v>
      </c>
      <c r="K146" s="35">
        <f t="shared" si="37"/>
        <v>24.2165</v>
      </c>
      <c r="L146" s="35">
        <f t="shared" si="37"/>
        <v>33.903100000000002</v>
      </c>
      <c r="M146" s="35">
        <f t="shared" si="37"/>
        <v>29.059800000000003</v>
      </c>
      <c r="N146" s="35">
        <f t="shared" si="37"/>
        <v>24.2165</v>
      </c>
      <c r="O146" s="35">
        <f t="shared" si="37"/>
        <v>19.373200000000001</v>
      </c>
      <c r="P146" s="35">
        <f t="shared" si="37"/>
        <v>14.529900000000001</v>
      </c>
      <c r="Q146" s="39">
        <f>SUM(E146:P146)</f>
        <v>285.75470000000001</v>
      </c>
      <c r="T146" s="67"/>
      <c r="Z146" s="40" t="s">
        <v>20</v>
      </c>
      <c r="AA146" s="49">
        <v>3243950</v>
      </c>
      <c r="AB146" s="35">
        <f>AB142*$AD$3</f>
        <v>9.1526820000000004</v>
      </c>
      <c r="AC146" s="35">
        <f t="shared" ref="AC146:AM147" si="38">AC142*$AD$3</f>
        <v>4.5763410000000002</v>
      </c>
      <c r="AD146" s="35">
        <f t="shared" si="38"/>
        <v>4.5763410000000002</v>
      </c>
      <c r="AE146" s="35">
        <f t="shared" si="38"/>
        <v>13.729023000000002</v>
      </c>
      <c r="AF146" s="35">
        <f t="shared" si="38"/>
        <v>18.305364000000001</v>
      </c>
      <c r="AG146" s="35">
        <f t="shared" si="38"/>
        <v>27.458046000000003</v>
      </c>
      <c r="AH146" s="35">
        <f t="shared" si="38"/>
        <v>22.881705</v>
      </c>
      <c r="AI146" s="35">
        <f t="shared" si="38"/>
        <v>32.034387000000002</v>
      </c>
      <c r="AJ146" s="35">
        <f t="shared" si="38"/>
        <v>27.458046000000003</v>
      </c>
      <c r="AK146" s="35">
        <f t="shared" si="38"/>
        <v>22.881705</v>
      </c>
      <c r="AL146" s="35">
        <f t="shared" si="38"/>
        <v>18.305364000000001</v>
      </c>
      <c r="AM146" s="35">
        <f t="shared" si="38"/>
        <v>13.729023000000002</v>
      </c>
      <c r="AN146" s="39">
        <f>SUM(AB146:AM146)</f>
        <v>215.08802700000001</v>
      </c>
    </row>
    <row r="147" spans="1:43">
      <c r="A147" t="s">
        <v>70</v>
      </c>
      <c r="B147" t="s">
        <v>70</v>
      </c>
      <c r="C147" s="40" t="s">
        <v>21</v>
      </c>
      <c r="D147" s="49">
        <v>7.06</v>
      </c>
      <c r="E147" s="35">
        <f>E143*$G$3</f>
        <v>103695.053</v>
      </c>
      <c r="F147" s="35">
        <f t="shared" si="37"/>
        <v>62052.359600000003</v>
      </c>
      <c r="G147" s="35">
        <f t="shared" si="37"/>
        <v>45468.900399999999</v>
      </c>
      <c r="H147" s="35">
        <f t="shared" si="37"/>
        <v>51290.546999999999</v>
      </c>
      <c r="I147" s="35">
        <f t="shared" si="37"/>
        <v>59254.315999999999</v>
      </c>
      <c r="J147" s="35">
        <f t="shared" si="37"/>
        <v>74462.831520000007</v>
      </c>
      <c r="K147" s="35">
        <f t="shared" si="37"/>
        <v>56836.125500000002</v>
      </c>
      <c r="L147" s="35">
        <f t="shared" si="37"/>
        <v>119677.943</v>
      </c>
      <c r="M147" s="35">
        <f t="shared" si="37"/>
        <v>88881.474000000002</v>
      </c>
      <c r="N147" s="35">
        <f t="shared" si="37"/>
        <v>62052.359600000003</v>
      </c>
      <c r="O147" s="35">
        <f t="shared" si="37"/>
        <v>45468.900399999999</v>
      </c>
      <c r="P147" s="35">
        <f t="shared" si="37"/>
        <v>51290.546999999999</v>
      </c>
      <c r="Q147" s="39">
        <f>SUM(E147:P147)</f>
        <v>820431.35702000011</v>
      </c>
      <c r="T147" s="39"/>
      <c r="Z147" s="40" t="s">
        <v>21</v>
      </c>
      <c r="AA147" s="49">
        <v>7.06</v>
      </c>
      <c r="AB147" s="35">
        <f>AB143*$AD$3</f>
        <v>36693.102138000002</v>
      </c>
      <c r="AC147" s="35">
        <f t="shared" si="38"/>
        <v>36693.102138000002</v>
      </c>
      <c r="AD147" s="35">
        <f t="shared" si="38"/>
        <v>18346.551069000001</v>
      </c>
      <c r="AE147" s="35">
        <f t="shared" si="38"/>
        <v>36693.102138000002</v>
      </c>
      <c r="AF147" s="35">
        <f t="shared" si="38"/>
        <v>36693.102138000002</v>
      </c>
      <c r="AG147" s="35">
        <f t="shared" si="38"/>
        <v>36693.102138000002</v>
      </c>
      <c r="AH147" s="35">
        <f t="shared" si="38"/>
        <v>36693.102138000002</v>
      </c>
      <c r="AI147" s="35">
        <f t="shared" si="38"/>
        <v>18346.551069000001</v>
      </c>
      <c r="AJ147" s="35">
        <f t="shared" si="38"/>
        <v>18346.551069000001</v>
      </c>
      <c r="AK147" s="35">
        <f t="shared" si="38"/>
        <v>18346.551069000001</v>
      </c>
      <c r="AL147" s="35">
        <f t="shared" si="38"/>
        <v>18346.551069000001</v>
      </c>
      <c r="AM147" s="35">
        <f t="shared" si="38"/>
        <v>18346.551069000001</v>
      </c>
      <c r="AN147" s="39">
        <f>SUM(AB147:AM147)</f>
        <v>330237.91924199997</v>
      </c>
    </row>
    <row r="148" spans="1:43">
      <c r="A148" t="s">
        <v>80</v>
      </c>
      <c r="B148" t="s">
        <v>88</v>
      </c>
      <c r="C148" s="40" t="s">
        <v>20</v>
      </c>
      <c r="D148" s="49">
        <v>3898120</v>
      </c>
      <c r="E148" s="35"/>
      <c r="F148" s="35"/>
      <c r="G148" s="35"/>
      <c r="H148" s="35"/>
      <c r="I148" s="35"/>
      <c r="J148" s="35"/>
      <c r="K148" s="30"/>
      <c r="L148" s="30"/>
      <c r="M148" s="30"/>
      <c r="N148" s="30"/>
      <c r="O148" s="30"/>
      <c r="P148" s="30"/>
      <c r="Q148" s="39"/>
      <c r="Z148" s="40" t="s">
        <v>20</v>
      </c>
      <c r="AA148" s="49">
        <v>3898120</v>
      </c>
      <c r="AB148" s="35"/>
      <c r="AC148" s="35"/>
      <c r="AD148" s="35"/>
      <c r="AE148" s="35"/>
      <c r="AF148" s="35"/>
      <c r="AG148" s="35"/>
      <c r="AH148" s="30"/>
      <c r="AI148" s="30"/>
      <c r="AJ148" s="30"/>
      <c r="AK148" s="30"/>
      <c r="AL148" s="30"/>
      <c r="AM148" s="30"/>
      <c r="AN148" s="39"/>
    </row>
    <row r="149" spans="1:43">
      <c r="A149" t="s">
        <v>70</v>
      </c>
      <c r="B149" t="s">
        <v>70</v>
      </c>
      <c r="C149" s="40" t="s">
        <v>21</v>
      </c>
      <c r="D149" s="49">
        <v>7.46</v>
      </c>
      <c r="E149" s="35"/>
      <c r="F149" s="35"/>
      <c r="G149" s="35"/>
      <c r="H149" s="35"/>
      <c r="I149" s="35"/>
      <c r="J149" s="35"/>
      <c r="K149" s="30"/>
      <c r="L149" s="30"/>
      <c r="M149" s="30"/>
      <c r="N149" s="30"/>
      <c r="O149" s="30"/>
      <c r="P149" s="30"/>
      <c r="Q149" s="39"/>
      <c r="Z149" s="40" t="s">
        <v>21</v>
      </c>
      <c r="AA149" s="49">
        <v>7.46</v>
      </c>
      <c r="AB149" s="35"/>
      <c r="AC149" s="35"/>
      <c r="AD149" s="35"/>
      <c r="AE149" s="35"/>
      <c r="AF149" s="35"/>
      <c r="AG149" s="35"/>
      <c r="AH149" s="30"/>
      <c r="AI149" s="30"/>
      <c r="AJ149" s="30"/>
      <c r="AK149" s="30"/>
      <c r="AL149" s="30"/>
      <c r="AM149" s="30"/>
      <c r="AN149" s="39"/>
    </row>
    <row r="150" spans="1:43">
      <c r="A150" t="s">
        <v>81</v>
      </c>
      <c r="B150" t="s">
        <v>89</v>
      </c>
      <c r="C150" s="40" t="s">
        <v>20</v>
      </c>
      <c r="D150" s="49">
        <v>4239050</v>
      </c>
      <c r="E150" s="35"/>
      <c r="F150" s="35"/>
      <c r="G150" s="35"/>
      <c r="H150" s="35"/>
      <c r="I150" s="35"/>
      <c r="J150" s="35"/>
      <c r="K150" s="30"/>
      <c r="L150" s="30"/>
      <c r="M150" s="30"/>
      <c r="N150" s="30"/>
      <c r="O150" s="30"/>
      <c r="P150" s="30"/>
      <c r="Q150" s="39"/>
      <c r="Z150" s="40" t="s">
        <v>20</v>
      </c>
      <c r="AA150" s="49">
        <v>4239050</v>
      </c>
      <c r="AB150" s="35"/>
      <c r="AC150" s="35"/>
      <c r="AD150" s="35"/>
      <c r="AE150" s="35"/>
      <c r="AF150" s="35"/>
      <c r="AG150" s="35"/>
      <c r="AH150" s="30"/>
      <c r="AI150" s="30"/>
      <c r="AJ150" s="30"/>
      <c r="AK150" s="30"/>
      <c r="AL150" s="30"/>
      <c r="AM150" s="30"/>
      <c r="AN150" s="39"/>
    </row>
    <row r="151" spans="1:43">
      <c r="A151" t="s">
        <v>70</v>
      </c>
      <c r="B151" t="s">
        <v>70</v>
      </c>
      <c r="C151" s="40" t="s">
        <v>21</v>
      </c>
      <c r="D151" s="49">
        <v>7.46</v>
      </c>
      <c r="E151" s="35"/>
      <c r="F151" s="35"/>
      <c r="G151" s="35"/>
      <c r="H151" s="35"/>
      <c r="I151" s="35"/>
      <c r="J151" s="35"/>
      <c r="K151" s="30"/>
      <c r="L151" s="30"/>
      <c r="M151" s="30"/>
      <c r="N151" s="30"/>
      <c r="O151" s="30"/>
      <c r="P151" s="30"/>
      <c r="Q151" s="39"/>
      <c r="Z151" s="40" t="s">
        <v>21</v>
      </c>
      <c r="AA151" s="49">
        <v>7.46</v>
      </c>
      <c r="AB151" s="35"/>
      <c r="AC151" s="35"/>
      <c r="AD151" s="35"/>
      <c r="AE151" s="35"/>
      <c r="AF151" s="35"/>
      <c r="AG151" s="35"/>
      <c r="AH151" s="30"/>
      <c r="AI151" s="30"/>
      <c r="AJ151" s="30"/>
      <c r="AK151" s="30"/>
      <c r="AL151" s="30"/>
      <c r="AM151" s="30"/>
      <c r="AN151" s="39"/>
    </row>
    <row r="152" spans="1:43">
      <c r="A152" t="s">
        <v>82</v>
      </c>
      <c r="B152" t="s">
        <v>90</v>
      </c>
      <c r="C152" s="40" t="s">
        <v>20</v>
      </c>
      <c r="D152" s="49">
        <v>4371600</v>
      </c>
      <c r="E152" s="35"/>
      <c r="F152" s="35"/>
      <c r="G152" s="35"/>
      <c r="H152" s="35"/>
      <c r="I152" s="35"/>
      <c r="J152" s="35"/>
      <c r="K152" s="30"/>
      <c r="L152" s="30"/>
      <c r="M152" s="30"/>
      <c r="N152" s="30"/>
      <c r="O152" s="30"/>
      <c r="P152" s="30"/>
      <c r="Q152" s="39"/>
      <c r="Z152" s="40" t="s">
        <v>20</v>
      </c>
      <c r="AA152" s="49">
        <v>4371600</v>
      </c>
      <c r="AB152" s="35"/>
      <c r="AC152" s="35"/>
      <c r="AD152" s="35"/>
      <c r="AE152" s="35"/>
      <c r="AF152" s="35"/>
      <c r="AG152" s="35"/>
      <c r="AH152" s="30"/>
      <c r="AI152" s="30"/>
      <c r="AJ152" s="30"/>
      <c r="AK152" s="30"/>
      <c r="AL152" s="30"/>
      <c r="AM152" s="30"/>
      <c r="AN152" s="39"/>
    </row>
    <row r="153" spans="1:43">
      <c r="A153" t="s">
        <v>70</v>
      </c>
      <c r="B153" t="s">
        <v>70</v>
      </c>
      <c r="C153" s="40" t="s">
        <v>21</v>
      </c>
      <c r="D153" s="49">
        <v>5.97</v>
      </c>
      <c r="E153" s="35"/>
      <c r="F153" s="35"/>
      <c r="G153" s="35"/>
      <c r="H153" s="35"/>
      <c r="I153" s="35"/>
      <c r="J153" s="35"/>
      <c r="K153" s="30"/>
      <c r="L153" s="30"/>
      <c r="M153" s="30"/>
      <c r="N153" s="30"/>
      <c r="O153" s="30"/>
      <c r="P153" s="30"/>
      <c r="Q153" s="39"/>
      <c r="Z153" s="40" t="s">
        <v>21</v>
      </c>
      <c r="AA153" s="49">
        <v>5.97</v>
      </c>
      <c r="AB153" s="35"/>
      <c r="AC153" s="35"/>
      <c r="AD153" s="35"/>
      <c r="AE153" s="35"/>
      <c r="AF153" s="35"/>
      <c r="AG153" s="35"/>
      <c r="AH153" s="30"/>
      <c r="AI153" s="30"/>
      <c r="AJ153" s="30"/>
      <c r="AK153" s="30"/>
      <c r="AL153" s="30"/>
      <c r="AM153" s="30"/>
      <c r="AN153" s="39"/>
    </row>
    <row r="154" spans="1:43">
      <c r="A154" t="s">
        <v>83</v>
      </c>
      <c r="B154" t="s">
        <v>91</v>
      </c>
      <c r="C154" s="40" t="s">
        <v>20</v>
      </c>
      <c r="D154" s="49">
        <v>5120900</v>
      </c>
      <c r="E154" s="35"/>
      <c r="F154" s="35"/>
      <c r="G154" s="35"/>
      <c r="H154" s="35"/>
      <c r="I154" s="35"/>
      <c r="J154" s="35"/>
      <c r="K154" s="30"/>
      <c r="L154" s="30"/>
      <c r="M154" s="30"/>
      <c r="N154" s="30"/>
      <c r="O154" s="30"/>
      <c r="P154" s="30"/>
      <c r="Q154" s="39"/>
      <c r="Z154" s="40" t="s">
        <v>20</v>
      </c>
      <c r="AA154" s="49">
        <v>5120900</v>
      </c>
      <c r="AB154" s="35"/>
      <c r="AC154" s="35"/>
      <c r="AD154" s="35"/>
      <c r="AE154" s="35"/>
      <c r="AF154" s="35"/>
      <c r="AG154" s="35"/>
      <c r="AH154" s="30"/>
      <c r="AI154" s="30"/>
      <c r="AJ154" s="30"/>
      <c r="AK154" s="30"/>
      <c r="AL154" s="30"/>
      <c r="AM154" s="30"/>
      <c r="AN154" s="39"/>
    </row>
    <row r="155" spans="1:43">
      <c r="A155" t="s">
        <v>70</v>
      </c>
      <c r="B155" t="s">
        <v>70</v>
      </c>
      <c r="C155" s="40" t="s">
        <v>21</v>
      </c>
      <c r="D155" s="49">
        <v>5.97</v>
      </c>
      <c r="E155" s="35"/>
      <c r="F155" s="35"/>
      <c r="G155" s="35"/>
      <c r="H155" s="35"/>
      <c r="I155" s="35"/>
      <c r="J155" s="35"/>
      <c r="K155" s="30"/>
      <c r="L155" s="30"/>
      <c r="M155" s="30"/>
      <c r="N155" s="30"/>
      <c r="O155" s="30"/>
      <c r="P155" s="30"/>
      <c r="Q155" s="39"/>
      <c r="Z155" s="40" t="s">
        <v>21</v>
      </c>
      <c r="AA155" s="49">
        <v>5.97</v>
      </c>
      <c r="AB155" s="35"/>
      <c r="AC155" s="35"/>
      <c r="AD155" s="35"/>
      <c r="AE155" s="35"/>
      <c r="AF155" s="35"/>
      <c r="AG155" s="35"/>
      <c r="AH155" s="30"/>
      <c r="AI155" s="30"/>
      <c r="AJ155" s="30"/>
      <c r="AK155" s="30"/>
      <c r="AL155" s="30"/>
      <c r="AM155" s="30"/>
      <c r="AN155" s="39"/>
    </row>
    <row r="156" spans="1:43">
      <c r="A156" t="s">
        <v>84</v>
      </c>
      <c r="B156" t="s">
        <v>92</v>
      </c>
      <c r="C156" s="40" t="s">
        <v>20</v>
      </c>
      <c r="D156" s="49">
        <v>4937500</v>
      </c>
      <c r="E156" s="35"/>
      <c r="F156" s="35"/>
      <c r="G156" s="35"/>
      <c r="H156" s="35"/>
      <c r="I156" s="35"/>
      <c r="J156" s="35"/>
      <c r="K156" s="30"/>
      <c r="L156" s="30"/>
      <c r="M156" s="30"/>
      <c r="N156" s="30"/>
      <c r="O156" s="30"/>
      <c r="P156" s="30"/>
      <c r="Q156" s="39"/>
      <c r="Z156" s="40" t="s">
        <v>20</v>
      </c>
      <c r="AA156" s="49">
        <v>4937500</v>
      </c>
      <c r="AB156" s="35"/>
      <c r="AC156" s="35"/>
      <c r="AD156" s="35"/>
      <c r="AE156" s="35"/>
      <c r="AF156" s="35"/>
      <c r="AG156" s="35"/>
      <c r="AH156" s="30"/>
      <c r="AI156" s="30"/>
      <c r="AJ156" s="30"/>
      <c r="AK156" s="30"/>
      <c r="AL156" s="30"/>
      <c r="AM156" s="30"/>
      <c r="AN156" s="39"/>
    </row>
    <row r="157" spans="1:43">
      <c r="A157" t="s">
        <v>70</v>
      </c>
      <c r="B157" t="s">
        <v>70</v>
      </c>
      <c r="C157" s="40" t="s">
        <v>21</v>
      </c>
      <c r="D157" s="49">
        <v>5.97</v>
      </c>
      <c r="E157" s="35"/>
      <c r="F157" s="35"/>
      <c r="G157" s="35"/>
      <c r="H157" s="35"/>
      <c r="I157" s="35"/>
      <c r="J157" s="35"/>
      <c r="K157" s="30"/>
      <c r="L157" s="30"/>
      <c r="M157" s="30"/>
      <c r="N157" s="30"/>
      <c r="O157" s="30"/>
      <c r="P157" s="30"/>
      <c r="Q157" s="39"/>
      <c r="Z157" s="40" t="s">
        <v>21</v>
      </c>
      <c r="AA157" s="49">
        <v>5.97</v>
      </c>
      <c r="AB157" s="35"/>
      <c r="AC157" s="35"/>
      <c r="AD157" s="35"/>
      <c r="AE157" s="35"/>
      <c r="AF157" s="35"/>
      <c r="AG157" s="35"/>
      <c r="AH157" s="30"/>
      <c r="AI157" s="30"/>
      <c r="AJ157" s="30"/>
      <c r="AK157" s="30"/>
      <c r="AL157" s="30"/>
      <c r="AM157" s="30"/>
      <c r="AN157" s="39"/>
    </row>
    <row r="158" spans="1:43">
      <c r="A158" t="s">
        <v>85</v>
      </c>
      <c r="B158" t="s">
        <v>93</v>
      </c>
      <c r="C158" s="40" t="s">
        <v>20</v>
      </c>
      <c r="D158" s="49">
        <v>6248800</v>
      </c>
      <c r="E158" s="35"/>
      <c r="F158" s="35"/>
      <c r="G158" s="35"/>
      <c r="H158" s="35"/>
      <c r="I158" s="35"/>
      <c r="J158" s="35"/>
      <c r="K158" s="30"/>
      <c r="L158" s="30"/>
      <c r="M158" s="30"/>
      <c r="N158" s="30"/>
      <c r="O158" s="30"/>
      <c r="P158" s="30"/>
      <c r="Q158" s="39"/>
      <c r="Z158" s="40" t="s">
        <v>20</v>
      </c>
      <c r="AA158" s="49">
        <v>6248800</v>
      </c>
      <c r="AB158" s="35"/>
      <c r="AC158" s="35"/>
      <c r="AD158" s="35"/>
      <c r="AE158" s="35"/>
      <c r="AF158" s="35"/>
      <c r="AG158" s="35"/>
      <c r="AH158" s="30"/>
      <c r="AI158" s="30"/>
      <c r="AJ158" s="30"/>
      <c r="AK158" s="30"/>
      <c r="AL158" s="30"/>
      <c r="AM158" s="30"/>
      <c r="AN158" s="39"/>
    </row>
    <row r="159" spans="1:43">
      <c r="A159" t="s">
        <v>70</v>
      </c>
      <c r="B159" t="s">
        <v>70</v>
      </c>
      <c r="C159" s="40" t="s">
        <v>21</v>
      </c>
      <c r="D159" s="49">
        <v>5.97</v>
      </c>
      <c r="E159" s="35"/>
      <c r="F159" s="35"/>
      <c r="G159" s="35"/>
      <c r="H159" s="35"/>
      <c r="I159" s="35"/>
      <c r="J159" s="35"/>
      <c r="K159" s="30"/>
      <c r="L159" s="30"/>
      <c r="M159" s="30"/>
      <c r="N159" s="30"/>
      <c r="O159" s="30"/>
      <c r="P159" s="30"/>
      <c r="Q159" s="39"/>
      <c r="Z159" s="40" t="s">
        <v>21</v>
      </c>
      <c r="AA159" s="49">
        <v>5.97</v>
      </c>
      <c r="AB159" s="35"/>
      <c r="AC159" s="35"/>
      <c r="AD159" s="35"/>
      <c r="AE159" s="35"/>
      <c r="AF159" s="35"/>
      <c r="AG159" s="35"/>
      <c r="AH159" s="30"/>
      <c r="AI159" s="30"/>
      <c r="AJ159" s="30"/>
      <c r="AK159" s="30"/>
      <c r="AL159" s="30"/>
      <c r="AM159" s="30"/>
      <c r="AN159" s="39"/>
    </row>
    <row r="160" spans="1:43">
      <c r="A160" t="s">
        <v>70</v>
      </c>
      <c r="B160" t="s">
        <v>70</v>
      </c>
      <c r="D160" t="s">
        <v>67</v>
      </c>
      <c r="E160" s="35">
        <f>E146*$D$146</f>
        <v>109979961.245</v>
      </c>
      <c r="F160" s="35">
        <f t="shared" ref="F160:P160" si="39">F146*$D$146</f>
        <v>78557115.174999997</v>
      </c>
      <c r="G160" s="35">
        <f t="shared" si="39"/>
        <v>62845692.140000001</v>
      </c>
      <c r="H160" s="35">
        <f t="shared" si="39"/>
        <v>47134269.105000004</v>
      </c>
      <c r="I160" s="35">
        <f t="shared" si="39"/>
        <v>62845692.140000001</v>
      </c>
      <c r="J160" s="35">
        <f t="shared" si="39"/>
        <v>94268538.210000008</v>
      </c>
      <c r="K160" s="35">
        <f t="shared" si="39"/>
        <v>78557115.174999997</v>
      </c>
      <c r="L160" s="35">
        <f t="shared" si="39"/>
        <v>109979961.245</v>
      </c>
      <c r="M160" s="35">
        <f t="shared" si="39"/>
        <v>94268538.210000008</v>
      </c>
      <c r="N160" s="35">
        <f t="shared" si="39"/>
        <v>78557115.174999997</v>
      </c>
      <c r="O160" s="35">
        <f t="shared" si="39"/>
        <v>62845692.140000001</v>
      </c>
      <c r="P160" s="35">
        <f t="shared" si="39"/>
        <v>47134269.105000004</v>
      </c>
      <c r="Q160" s="39">
        <f>SUM(E160:P160)</f>
        <v>926973959.06499994</v>
      </c>
      <c r="AA160" t="s">
        <v>67</v>
      </c>
      <c r="AB160" s="35">
        <f>AB146*$D$146</f>
        <v>29690842.773900002</v>
      </c>
      <c r="AC160" s="35">
        <f t="shared" ref="AC160:AM160" si="40">AC146*$D$146</f>
        <v>14845421.386950001</v>
      </c>
      <c r="AD160" s="35">
        <f t="shared" si="40"/>
        <v>14845421.386950001</v>
      </c>
      <c r="AE160" s="35">
        <f t="shared" si="40"/>
        <v>44536264.160850003</v>
      </c>
      <c r="AF160" s="35">
        <f t="shared" si="40"/>
        <v>59381685.547800004</v>
      </c>
      <c r="AG160" s="35">
        <f t="shared" si="40"/>
        <v>89072528.321700007</v>
      </c>
      <c r="AH160" s="35">
        <f t="shared" si="40"/>
        <v>74227106.934750006</v>
      </c>
      <c r="AI160" s="35">
        <f t="shared" si="40"/>
        <v>103917949.70865001</v>
      </c>
      <c r="AJ160" s="35">
        <f t="shared" si="40"/>
        <v>89072528.321700007</v>
      </c>
      <c r="AK160" s="35">
        <f t="shared" si="40"/>
        <v>74227106.934750006</v>
      </c>
      <c r="AL160" s="35">
        <f t="shared" si="40"/>
        <v>59381685.547800004</v>
      </c>
      <c r="AM160" s="35">
        <f t="shared" si="40"/>
        <v>44536264.160850003</v>
      </c>
      <c r="AN160" s="39">
        <f>SUM(AB160:AM160)</f>
        <v>697734805.18665004</v>
      </c>
      <c r="AP160" s="81">
        <v>1600934940.163502</v>
      </c>
      <c r="AQ160" s="54">
        <f>AN160/AP160</f>
        <v>0.43582958162896429</v>
      </c>
    </row>
    <row r="161" spans="1:43">
      <c r="A161" t="s">
        <v>70</v>
      </c>
      <c r="B161" t="s">
        <v>70</v>
      </c>
      <c r="E161" s="35">
        <f>E147*$D$147</f>
        <v>732087.07418</v>
      </c>
      <c r="F161" s="35">
        <f t="shared" ref="F161:P161" si="41">F147*$D$147</f>
        <v>438089.65877600003</v>
      </c>
      <c r="G161" s="35">
        <f t="shared" si="41"/>
        <v>321010.43682399997</v>
      </c>
      <c r="H161" s="35">
        <f t="shared" si="41"/>
        <v>362111.26181999996</v>
      </c>
      <c r="I161" s="35">
        <f t="shared" si="41"/>
        <v>418335.47095999995</v>
      </c>
      <c r="J161" s="35">
        <f t="shared" si="41"/>
        <v>525707.59053120005</v>
      </c>
      <c r="K161" s="35">
        <f t="shared" si="41"/>
        <v>401263.04602999997</v>
      </c>
      <c r="L161" s="35">
        <f t="shared" si="41"/>
        <v>844926.27757999999</v>
      </c>
      <c r="M161" s="35">
        <f t="shared" si="41"/>
        <v>627503.20643999998</v>
      </c>
      <c r="N161" s="35">
        <f t="shared" si="41"/>
        <v>438089.65877600003</v>
      </c>
      <c r="O161" s="35">
        <f t="shared" si="41"/>
        <v>321010.43682399997</v>
      </c>
      <c r="P161" s="35">
        <f t="shared" si="41"/>
        <v>362111.26181999996</v>
      </c>
      <c r="Q161" s="39">
        <f>SUM(E161:P161)</f>
        <v>5792245.380561199</v>
      </c>
      <c r="AB161" s="35">
        <f>AB147*$D$147</f>
        <v>259053.30109428</v>
      </c>
      <c r="AC161" s="35">
        <f t="shared" ref="AC161:AM161" si="42">AC147*$D$147</f>
        <v>259053.30109428</v>
      </c>
      <c r="AD161" s="35">
        <f t="shared" si="42"/>
        <v>129526.65054714</v>
      </c>
      <c r="AE161" s="35">
        <f t="shared" si="42"/>
        <v>259053.30109428</v>
      </c>
      <c r="AF161" s="35">
        <f t="shared" si="42"/>
        <v>259053.30109428</v>
      </c>
      <c r="AG161" s="35">
        <f t="shared" si="42"/>
        <v>259053.30109428</v>
      </c>
      <c r="AH161" s="35">
        <f t="shared" si="42"/>
        <v>259053.30109428</v>
      </c>
      <c r="AI161" s="35">
        <f t="shared" si="42"/>
        <v>129526.65054714</v>
      </c>
      <c r="AJ161" s="35">
        <f t="shared" si="42"/>
        <v>129526.65054714</v>
      </c>
      <c r="AK161" s="35">
        <f t="shared" si="42"/>
        <v>129526.65054714</v>
      </c>
      <c r="AL161" s="35">
        <f t="shared" si="42"/>
        <v>129526.65054714</v>
      </c>
      <c r="AM161" s="35">
        <f t="shared" si="42"/>
        <v>129526.65054714</v>
      </c>
      <c r="AN161" s="39">
        <f>SUM(AB161:AM161)</f>
        <v>2331479.7098485199</v>
      </c>
      <c r="AP161" s="84">
        <v>17824371.989958402</v>
      </c>
      <c r="AQ161" s="54">
        <f>AN161/AP161</f>
        <v>0.13080290913822884</v>
      </c>
    </row>
    <row r="162" spans="1:43">
      <c r="A162" t="s">
        <v>70</v>
      </c>
      <c r="B162" t="s">
        <v>70</v>
      </c>
      <c r="C162" s="44"/>
      <c r="D162" s="44"/>
      <c r="E162" s="50"/>
      <c r="F162" s="50"/>
      <c r="G162" s="50"/>
      <c r="H162" s="50"/>
      <c r="I162" s="50"/>
      <c r="J162" s="50"/>
      <c r="K162" s="46"/>
      <c r="L162" s="46"/>
      <c r="M162" s="46"/>
      <c r="N162" s="46"/>
      <c r="O162" s="46"/>
      <c r="P162" s="46"/>
      <c r="Q162" s="48"/>
      <c r="R162" s="44"/>
      <c r="Z162" s="44"/>
      <c r="AA162" s="44"/>
      <c r="AB162" s="50"/>
      <c r="AC162" s="50"/>
      <c r="AD162" s="50"/>
      <c r="AE162" s="50"/>
      <c r="AF162" s="50"/>
      <c r="AG162" s="50"/>
      <c r="AH162" s="46"/>
      <c r="AI162" s="46"/>
      <c r="AJ162" s="46"/>
      <c r="AK162" s="46"/>
      <c r="AL162" s="46"/>
      <c r="AM162" s="46"/>
      <c r="AN162" s="48"/>
    </row>
    <row r="163" spans="1:43">
      <c r="A163" t="s">
        <v>70</v>
      </c>
      <c r="B163" t="s">
        <v>70</v>
      </c>
      <c r="C163" s="44"/>
      <c r="D163" s="44"/>
      <c r="E163" s="50"/>
      <c r="F163" s="50"/>
      <c r="G163" s="50"/>
      <c r="H163" s="50"/>
      <c r="I163" s="50"/>
      <c r="J163" s="50"/>
      <c r="K163" s="46"/>
      <c r="L163" s="46"/>
      <c r="M163" s="46"/>
      <c r="N163" s="46"/>
      <c r="O163" s="46"/>
      <c r="P163" s="46"/>
      <c r="Q163" s="48"/>
      <c r="R163" s="44"/>
      <c r="Z163" s="44"/>
      <c r="AA163" s="44"/>
      <c r="AB163" s="50"/>
      <c r="AC163" s="50"/>
      <c r="AD163" s="50"/>
      <c r="AE163" s="50"/>
      <c r="AF163" s="50"/>
      <c r="AG163" s="50"/>
      <c r="AH163" s="46"/>
      <c r="AI163" s="46"/>
      <c r="AJ163" s="46"/>
      <c r="AK163" s="46"/>
      <c r="AL163" s="46"/>
      <c r="AM163" s="46"/>
      <c r="AN163" s="48"/>
    </row>
    <row r="164" spans="1:43">
      <c r="A164" t="s">
        <v>70</v>
      </c>
      <c r="B164" t="s">
        <v>70</v>
      </c>
      <c r="C164" t="s">
        <v>59</v>
      </c>
      <c r="E164" s="101">
        <f>'PANDU CWD'!C52</f>
        <v>33</v>
      </c>
      <c r="F164" s="101">
        <f>'PANDU CWD'!D52</f>
        <v>0</v>
      </c>
      <c r="G164" s="101">
        <f>'PANDU CWD'!E52</f>
        <v>238</v>
      </c>
      <c r="H164" s="101">
        <f>'PANDU CWD'!F52</f>
        <v>0</v>
      </c>
      <c r="I164" s="101">
        <f>'PANDU CWD'!G52</f>
        <v>0</v>
      </c>
      <c r="J164" s="101">
        <f>'PANDU CWD'!H52</f>
        <v>0</v>
      </c>
      <c r="K164" s="101">
        <f>'PANDU CWD'!I52</f>
        <v>0</v>
      </c>
      <c r="L164" s="101">
        <f>'PANDU CWD'!J52</f>
        <v>0</v>
      </c>
      <c r="M164" s="101">
        <f>'PANDU CWD'!K52</f>
        <v>0</v>
      </c>
      <c r="N164" s="101">
        <f>'PANDU CWD'!L52</f>
        <v>0</v>
      </c>
      <c r="O164" s="101">
        <f>'PANDU CWD'!M52</f>
        <v>0</v>
      </c>
      <c r="P164" s="101">
        <f>'PANDU CWD'!N52</f>
        <v>35</v>
      </c>
      <c r="Q164" s="39">
        <f t="shared" ref="Q164:Q169" si="43">SUM(E164:P164)</f>
        <v>306</v>
      </c>
      <c r="R164">
        <f>Q165/Q164</f>
        <v>8207.6237868884928</v>
      </c>
      <c r="Z164" t="s">
        <v>59</v>
      </c>
      <c r="AB164" s="29">
        <f>'PANDU CWD'!W52</f>
        <v>33</v>
      </c>
      <c r="AC164" s="29">
        <f>'PANDU CWD'!X52</f>
        <v>0</v>
      </c>
      <c r="AD164" s="29">
        <f>'PANDU CWD'!Y52</f>
        <v>140</v>
      </c>
      <c r="AE164" s="29">
        <f>'PANDU CWD'!Z52</f>
        <v>0</v>
      </c>
      <c r="AF164" s="29">
        <f>'PANDU CWD'!AA52</f>
        <v>0</v>
      </c>
      <c r="AG164" s="29">
        <f>'PANDU CWD'!AB52</f>
        <v>0</v>
      </c>
      <c r="AH164" s="29">
        <f>'PANDU CWD'!AC52</f>
        <v>0</v>
      </c>
      <c r="AI164" s="29">
        <f>'PANDU CWD'!AD52</f>
        <v>0</v>
      </c>
      <c r="AJ164" s="29">
        <f>'PANDU CWD'!AE52</f>
        <v>0</v>
      </c>
      <c r="AK164" s="29">
        <f>'PANDU CWD'!AF52</f>
        <v>0</v>
      </c>
      <c r="AL164" s="29">
        <f>'PANDU CWD'!AG52</f>
        <v>0</v>
      </c>
      <c r="AM164" s="29">
        <f>'PANDU CWD'!AH52</f>
        <v>35</v>
      </c>
      <c r="AN164" s="39">
        <f t="shared" ref="AN164:AN169" si="44">SUM(AB164:AM164)</f>
        <v>208</v>
      </c>
    </row>
    <row r="165" spans="1:43">
      <c r="A165" t="s">
        <v>70</v>
      </c>
      <c r="B165" t="s">
        <v>70</v>
      </c>
      <c r="E165" s="101">
        <f>'PANDU CWD'!C53</f>
        <v>237433</v>
      </c>
      <c r="F165" s="101">
        <f>'PANDU CWD'!D53</f>
        <v>0</v>
      </c>
      <c r="G165" s="101">
        <f>'PANDU CWD'!E53</f>
        <v>2022277</v>
      </c>
      <c r="H165" s="101">
        <f>'PANDU CWD'!F53</f>
        <v>0</v>
      </c>
      <c r="I165" s="101">
        <f>'PANDU CWD'!G53</f>
        <v>0</v>
      </c>
      <c r="J165" s="101">
        <f>'PANDU CWD'!H53</f>
        <v>0</v>
      </c>
      <c r="K165" s="101">
        <f>'PANDU CWD'!I53</f>
        <v>0</v>
      </c>
      <c r="L165" s="101">
        <f>'PANDU CWD'!J53</f>
        <v>0</v>
      </c>
      <c r="M165" s="101">
        <f>'PANDU CWD'!K53</f>
        <v>0</v>
      </c>
      <c r="N165" s="101">
        <f>'PANDU CWD'!L53</f>
        <v>0</v>
      </c>
      <c r="O165" s="101">
        <f>'PANDU CWD'!M53</f>
        <v>0</v>
      </c>
      <c r="P165" s="101">
        <f>'PANDU CWD'!N53</f>
        <v>251822.87878787878</v>
      </c>
      <c r="Q165" s="39">
        <f t="shared" si="43"/>
        <v>2511532.8787878789</v>
      </c>
      <c r="AB165" s="29">
        <f>'PANDU CWD'!W53</f>
        <v>237433</v>
      </c>
      <c r="AC165" s="29">
        <f>'PANDU CWD'!X53</f>
        <v>0</v>
      </c>
      <c r="AD165" s="29">
        <f>'PANDU CWD'!Y53</f>
        <v>1109112.2307692308</v>
      </c>
      <c r="AE165" s="29">
        <f>'PANDU CWD'!Z53</f>
        <v>0</v>
      </c>
      <c r="AF165" s="29">
        <f>'PANDU CWD'!AA53</f>
        <v>0</v>
      </c>
      <c r="AG165" s="29">
        <f>'PANDU CWD'!AB53</f>
        <v>0</v>
      </c>
      <c r="AH165" s="29">
        <f>'PANDU CWD'!AC53</f>
        <v>0</v>
      </c>
      <c r="AI165" s="29">
        <f>'PANDU CWD'!AD53</f>
        <v>0</v>
      </c>
      <c r="AJ165" s="29">
        <f>'PANDU CWD'!AE53</f>
        <v>0</v>
      </c>
      <c r="AK165" s="29">
        <f>'PANDU CWD'!AF53</f>
        <v>0</v>
      </c>
      <c r="AL165" s="29">
        <f>'PANDU CWD'!AG53</f>
        <v>0</v>
      </c>
      <c r="AM165" s="29">
        <f>'PANDU CWD'!AH53</f>
        <v>251823</v>
      </c>
      <c r="AN165" s="39">
        <f t="shared" si="44"/>
        <v>1598368.2307692308</v>
      </c>
    </row>
    <row r="166" spans="1:43">
      <c r="A166" t="s">
        <v>80</v>
      </c>
      <c r="B166" t="s">
        <v>88</v>
      </c>
      <c r="C166" s="40" t="s">
        <v>20</v>
      </c>
      <c r="D166" s="49">
        <v>5120900</v>
      </c>
      <c r="E166" s="35"/>
      <c r="F166" s="35"/>
      <c r="G166" s="35"/>
      <c r="H166" s="35">
        <f>H164*$G$3</f>
        <v>0</v>
      </c>
      <c r="I166" s="35">
        <f>I164*$G$3</f>
        <v>0</v>
      </c>
      <c r="J166" s="35"/>
      <c r="K166" s="30"/>
      <c r="L166" s="30"/>
      <c r="M166" s="30"/>
      <c r="N166" s="30"/>
      <c r="O166" s="30"/>
      <c r="P166" s="30"/>
      <c r="Q166" s="39">
        <f t="shared" si="43"/>
        <v>0</v>
      </c>
      <c r="T166" s="67"/>
      <c r="Z166" s="40" t="s">
        <v>20</v>
      </c>
      <c r="AA166" s="49">
        <v>5120900</v>
      </c>
      <c r="AB166" s="35"/>
      <c r="AC166" s="35"/>
      <c r="AD166" s="35"/>
      <c r="AE166" s="35">
        <f>AE164*$G$3</f>
        <v>0</v>
      </c>
      <c r="AF166" s="35">
        <f>AF164*$G$3</f>
        <v>0</v>
      </c>
      <c r="AG166" s="35"/>
      <c r="AH166" s="30"/>
      <c r="AI166" s="30"/>
      <c r="AJ166" s="30"/>
      <c r="AK166" s="30"/>
      <c r="AL166" s="30"/>
      <c r="AM166" s="30"/>
      <c r="AN166" s="39">
        <f t="shared" si="44"/>
        <v>0</v>
      </c>
    </row>
    <row r="167" spans="1:43">
      <c r="A167" t="s">
        <v>70</v>
      </c>
      <c r="B167" t="s">
        <v>70</v>
      </c>
      <c r="C167" s="40" t="s">
        <v>21</v>
      </c>
      <c r="D167" s="49">
        <v>5.97</v>
      </c>
      <c r="E167" s="35"/>
      <c r="F167" s="35"/>
      <c r="G167" s="35"/>
      <c r="H167" s="35">
        <f>H165*$G$3</f>
        <v>0</v>
      </c>
      <c r="I167" s="35">
        <f>I165*$G$3</f>
        <v>0</v>
      </c>
      <c r="J167" s="35"/>
      <c r="K167" s="30"/>
      <c r="L167" s="30"/>
      <c r="M167" s="30"/>
      <c r="N167" s="30"/>
      <c r="O167" s="30"/>
      <c r="P167" s="30"/>
      <c r="Q167" s="39">
        <f t="shared" si="43"/>
        <v>0</v>
      </c>
      <c r="T167" s="39"/>
      <c r="Z167" s="40" t="s">
        <v>21</v>
      </c>
      <c r="AA167" s="49">
        <v>5.97</v>
      </c>
      <c r="AB167" s="35"/>
      <c r="AC167" s="35"/>
      <c r="AD167" s="35"/>
      <c r="AE167" s="35">
        <f>AE165*$G$3</f>
        <v>0</v>
      </c>
      <c r="AF167" s="35">
        <f>AF165*$G$3</f>
        <v>0</v>
      </c>
      <c r="AG167" s="35"/>
      <c r="AH167" s="30"/>
      <c r="AI167" s="30"/>
      <c r="AJ167" s="30"/>
      <c r="AK167" s="30"/>
      <c r="AL167" s="30"/>
      <c r="AM167" s="30"/>
      <c r="AN167" s="39">
        <f t="shared" si="44"/>
        <v>0</v>
      </c>
    </row>
    <row r="168" spans="1:43">
      <c r="A168" t="s">
        <v>70</v>
      </c>
      <c r="B168" t="s">
        <v>70</v>
      </c>
      <c r="C168" s="41"/>
      <c r="D168" s="51"/>
      <c r="E168" s="35"/>
      <c r="F168" s="35"/>
      <c r="G168" s="35"/>
      <c r="H168" s="35">
        <f>H166*$D$166</f>
        <v>0</v>
      </c>
      <c r="I168" s="35">
        <f>I166*$D$166</f>
        <v>0</v>
      </c>
      <c r="J168" s="35"/>
      <c r="K168" s="30"/>
      <c r="L168" s="30"/>
      <c r="M168" s="30"/>
      <c r="N168" s="30"/>
      <c r="O168" s="30"/>
      <c r="P168" s="30"/>
      <c r="Q168" s="39">
        <f t="shared" si="43"/>
        <v>0</v>
      </c>
      <c r="Z168" s="41"/>
      <c r="AA168" s="51"/>
      <c r="AB168" s="35"/>
      <c r="AC168" s="35"/>
      <c r="AD168" s="35"/>
      <c r="AE168" s="35">
        <f>AE166*$D$166</f>
        <v>0</v>
      </c>
      <c r="AF168" s="35">
        <f>AF166*$D$166</f>
        <v>0</v>
      </c>
      <c r="AG168" s="35"/>
      <c r="AH168" s="30"/>
      <c r="AI168" s="30"/>
      <c r="AJ168" s="30"/>
      <c r="AK168" s="30"/>
      <c r="AL168" s="30"/>
      <c r="AM168" s="30"/>
      <c r="AN168" s="39">
        <f t="shared" si="44"/>
        <v>0</v>
      </c>
    </row>
    <row r="169" spans="1:43">
      <c r="A169" t="s">
        <v>70</v>
      </c>
      <c r="B169" t="s">
        <v>70</v>
      </c>
      <c r="C169" s="41"/>
      <c r="D169" s="51"/>
      <c r="E169" s="35"/>
      <c r="F169" s="35"/>
      <c r="G169" s="35"/>
      <c r="H169" s="35">
        <f>H167*$D$167</f>
        <v>0</v>
      </c>
      <c r="I169" s="35">
        <f>I167*$D$167</f>
        <v>0</v>
      </c>
      <c r="J169" s="35"/>
      <c r="K169" s="30"/>
      <c r="L169" s="30"/>
      <c r="M169" s="30"/>
      <c r="N169" s="30"/>
      <c r="O169" s="30"/>
      <c r="P169" s="30"/>
      <c r="Q169" s="39">
        <f t="shared" si="43"/>
        <v>0</v>
      </c>
      <c r="R169" s="39">
        <f>Q168+Q169</f>
        <v>0</v>
      </c>
      <c r="Z169" s="41"/>
      <c r="AA169" s="51"/>
      <c r="AB169" s="35"/>
      <c r="AC169" s="35"/>
      <c r="AD169" s="35"/>
      <c r="AE169" s="35">
        <f>AE167*$D$167</f>
        <v>0</v>
      </c>
      <c r="AF169" s="35">
        <f>AF167*$D$167</f>
        <v>0</v>
      </c>
      <c r="AG169" s="35"/>
      <c r="AH169" s="30"/>
      <c r="AI169" s="30"/>
      <c r="AJ169" s="30"/>
      <c r="AK169" s="30"/>
      <c r="AL169" s="30"/>
      <c r="AM169" s="30"/>
      <c r="AN169" s="39">
        <f t="shared" si="44"/>
        <v>0</v>
      </c>
    </row>
    <row r="170" spans="1:43">
      <c r="A170" t="s">
        <v>70</v>
      </c>
      <c r="B170" t="s">
        <v>70</v>
      </c>
      <c r="C170" s="44"/>
      <c r="D170" s="44"/>
      <c r="E170" s="50"/>
      <c r="F170" s="50"/>
      <c r="G170" s="50"/>
      <c r="H170" s="50"/>
      <c r="I170" s="50"/>
      <c r="J170" s="50"/>
      <c r="K170" s="46"/>
      <c r="L170" s="46"/>
      <c r="M170" s="46"/>
      <c r="N170" s="46"/>
      <c r="O170" s="46"/>
      <c r="P170" s="46"/>
      <c r="Q170" s="48"/>
      <c r="R170" s="44"/>
      <c r="Z170" s="44"/>
      <c r="AA170" s="44"/>
      <c r="AB170" s="50"/>
      <c r="AC170" s="50"/>
      <c r="AD170" s="50"/>
      <c r="AE170" s="50"/>
      <c r="AF170" s="50"/>
      <c r="AG170" s="50"/>
      <c r="AH170" s="46"/>
      <c r="AI170" s="46"/>
      <c r="AJ170" s="46"/>
      <c r="AK170" s="46"/>
      <c r="AL170" s="46"/>
      <c r="AM170" s="46"/>
      <c r="AN170" s="48"/>
    </row>
    <row r="171" spans="1:43">
      <c r="A171" t="s">
        <v>70</v>
      </c>
      <c r="B171" t="s">
        <v>70</v>
      </c>
      <c r="C171" s="44"/>
      <c r="D171" s="44"/>
      <c r="E171" s="50"/>
      <c r="F171" s="50"/>
      <c r="G171" s="50"/>
      <c r="H171" s="50"/>
      <c r="I171" s="50"/>
      <c r="J171" s="50"/>
      <c r="K171" s="46"/>
      <c r="L171" s="46"/>
      <c r="M171" s="46"/>
      <c r="N171" s="46"/>
      <c r="O171" s="46"/>
      <c r="P171" s="46"/>
      <c r="Q171" s="48"/>
      <c r="R171" s="44"/>
      <c r="Z171" s="44"/>
      <c r="AA171" s="44"/>
      <c r="AB171" s="50"/>
      <c r="AC171" s="50"/>
      <c r="AD171" s="50"/>
      <c r="AE171" s="50"/>
      <c r="AF171" s="50"/>
      <c r="AG171" s="50"/>
      <c r="AH171" s="46"/>
      <c r="AI171" s="46"/>
      <c r="AJ171" s="46"/>
      <c r="AK171" s="46"/>
      <c r="AL171" s="46"/>
      <c r="AM171" s="46"/>
      <c r="AN171" s="48"/>
    </row>
    <row r="172" spans="1:43">
      <c r="A172" t="s">
        <v>70</v>
      </c>
      <c r="B172" t="s">
        <v>70</v>
      </c>
      <c r="C172" t="s">
        <v>60</v>
      </c>
      <c r="E172" s="100">
        <f>'PANDU CWD'!C58</f>
        <v>8</v>
      </c>
      <c r="F172" s="100">
        <f>'PANDU CWD'!D58</f>
        <v>6</v>
      </c>
      <c r="G172" s="100">
        <f>'PANDU CWD'!E58</f>
        <v>4</v>
      </c>
      <c r="H172" s="100">
        <f>'PANDU CWD'!F58</f>
        <v>11</v>
      </c>
      <c r="I172" s="100">
        <f>'PANDU CWD'!G58</f>
        <v>10</v>
      </c>
      <c r="J172" s="100">
        <f>'PANDU CWD'!H58</f>
        <v>8</v>
      </c>
      <c r="K172" s="100">
        <f>'PANDU CWD'!I58</f>
        <v>9</v>
      </c>
      <c r="L172" s="100">
        <f>'PANDU CWD'!J58</f>
        <v>6</v>
      </c>
      <c r="M172" s="100">
        <f>'PANDU CWD'!K58</f>
        <v>8</v>
      </c>
      <c r="N172" s="100">
        <f>'PANDU CWD'!L58</f>
        <v>8</v>
      </c>
      <c r="O172" s="100">
        <f>'PANDU CWD'!M58</f>
        <v>8</v>
      </c>
      <c r="P172" s="100">
        <f>'PANDU CWD'!N58</f>
        <v>6</v>
      </c>
      <c r="Z172" t="s">
        <v>60</v>
      </c>
      <c r="AB172" s="29">
        <f>'PANDU CWD'!W58</f>
        <v>8</v>
      </c>
      <c r="AC172" s="29">
        <f>'PANDU CWD'!X58</f>
        <v>6</v>
      </c>
      <c r="AD172" s="29">
        <f>'PANDU CWD'!Y58</f>
        <v>24</v>
      </c>
      <c r="AE172" s="29">
        <f>'PANDU CWD'!Z58</f>
        <v>11</v>
      </c>
      <c r="AF172" s="29">
        <f>'PANDU CWD'!AA58</f>
        <v>10</v>
      </c>
      <c r="AG172" s="29">
        <f>'PANDU CWD'!AB58</f>
        <v>8</v>
      </c>
      <c r="AH172" s="29">
        <f>'PANDU CWD'!AC58</f>
        <v>34</v>
      </c>
      <c r="AI172" s="29">
        <f>'PANDU CWD'!AD58</f>
        <v>38</v>
      </c>
      <c r="AJ172" s="29">
        <f>'PANDU CWD'!AE58</f>
        <v>34</v>
      </c>
      <c r="AK172" s="29">
        <f>'PANDU CWD'!AF58</f>
        <v>36</v>
      </c>
      <c r="AL172" s="29">
        <f>'PANDU CWD'!AG58</f>
        <v>32</v>
      </c>
      <c r="AM172" s="29">
        <f>'PANDU CWD'!AH58</f>
        <v>32</v>
      </c>
    </row>
    <row r="173" spans="1:43">
      <c r="A173" t="s">
        <v>70</v>
      </c>
      <c r="B173" t="s">
        <v>70</v>
      </c>
      <c r="E173" s="100">
        <f>'PANDU CWD'!C59</f>
        <v>30163</v>
      </c>
      <c r="F173" s="100">
        <f>'PANDU CWD'!D59</f>
        <v>24047</v>
      </c>
      <c r="G173" s="100">
        <f>'PANDU CWD'!E59</f>
        <v>14317</v>
      </c>
      <c r="H173" s="100">
        <f>'PANDU CWD'!F59</f>
        <v>39136</v>
      </c>
      <c r="I173" s="100">
        <f>'PANDU CWD'!G59</f>
        <v>37703.75</v>
      </c>
      <c r="J173" s="100">
        <f>'PANDU CWD'!H59</f>
        <v>32062.666666666668</v>
      </c>
      <c r="K173" s="100">
        <f>'PANDU CWD'!I59</f>
        <v>28975.5</v>
      </c>
      <c r="L173" s="100">
        <f>'PANDU CWD'!J59</f>
        <v>21346.909090909092</v>
      </c>
      <c r="M173" s="100">
        <f>'PANDU CWD'!K59</f>
        <v>30163</v>
      </c>
      <c r="N173" s="100">
        <f>'PANDU CWD'!L59</f>
        <v>32062.666666666668</v>
      </c>
      <c r="O173" s="100">
        <f>'PANDU CWD'!M59</f>
        <v>32062.666666666668</v>
      </c>
      <c r="P173" s="100">
        <f>'PANDU CWD'!N59</f>
        <v>21346.909090909092</v>
      </c>
      <c r="AB173" s="29">
        <f>'PANDU CWD'!W59</f>
        <v>32226</v>
      </c>
      <c r="AC173" s="29">
        <f>'PANDU CWD'!X59</f>
        <v>33262</v>
      </c>
      <c r="AD173" s="29">
        <f>'PANDU CWD'!Y59</f>
        <v>48377</v>
      </c>
      <c r="AE173" s="29">
        <f>'PANDU CWD'!Z59</f>
        <v>36073</v>
      </c>
      <c r="AF173" s="29">
        <f>'PANDU CWD'!AA59</f>
        <v>35858</v>
      </c>
      <c r="AG173" s="29">
        <f>'PANDU CWD'!AB59</f>
        <v>35914</v>
      </c>
      <c r="AH173" s="29">
        <f>'PANDU CWD'!AC59</f>
        <v>80144</v>
      </c>
      <c r="AI173" s="29">
        <f>'PANDU CWD'!AD59</f>
        <v>90060</v>
      </c>
      <c r="AJ173" s="29">
        <f>'PANDU CWD'!AE59</f>
        <v>80144</v>
      </c>
      <c r="AK173" s="29">
        <f>'PANDU CWD'!AF59</f>
        <v>85102</v>
      </c>
      <c r="AL173" s="29">
        <f>'PANDU CWD'!AG59</f>
        <v>75186</v>
      </c>
      <c r="AM173" s="29">
        <f>'PANDU CWD'!AH59</f>
        <v>75186</v>
      </c>
    </row>
    <row r="174" spans="1:43">
      <c r="A174" t="s">
        <v>78</v>
      </c>
      <c r="B174" t="s">
        <v>86</v>
      </c>
      <c r="C174" s="40" t="s">
        <v>20</v>
      </c>
      <c r="D174" s="49">
        <v>2102150</v>
      </c>
      <c r="E174" s="35">
        <f>E172*$G$3</f>
        <v>38.746400000000001</v>
      </c>
      <c r="F174" s="35">
        <f t="shared" ref="F174:P175" si="45">F172*$G$3</f>
        <v>29.059800000000003</v>
      </c>
      <c r="G174" s="35">
        <f t="shared" si="45"/>
        <v>19.373200000000001</v>
      </c>
      <c r="H174" s="35">
        <f t="shared" si="45"/>
        <v>53.276299999999999</v>
      </c>
      <c r="I174" s="35">
        <f t="shared" si="45"/>
        <v>48.433</v>
      </c>
      <c r="J174" s="35">
        <f t="shared" si="45"/>
        <v>38.746400000000001</v>
      </c>
      <c r="K174" s="35">
        <f t="shared" si="45"/>
        <v>43.589700000000001</v>
      </c>
      <c r="L174" s="35">
        <f t="shared" si="45"/>
        <v>29.059800000000003</v>
      </c>
      <c r="M174" s="35">
        <f t="shared" si="45"/>
        <v>38.746400000000001</v>
      </c>
      <c r="N174" s="35">
        <f t="shared" si="45"/>
        <v>38.746400000000001</v>
      </c>
      <c r="O174" s="35">
        <f t="shared" si="45"/>
        <v>38.746400000000001</v>
      </c>
      <c r="P174" s="35">
        <f t="shared" si="45"/>
        <v>29.059800000000003</v>
      </c>
      <c r="Q174" s="39">
        <f>SUM(E174:P174)</f>
        <v>445.58359999999999</v>
      </c>
      <c r="T174" s="67"/>
      <c r="Z174" s="40" t="s">
        <v>20</v>
      </c>
      <c r="AA174" s="49">
        <v>2102150</v>
      </c>
      <c r="AB174" s="35">
        <f>AB172*$AD$3</f>
        <v>36.610728000000002</v>
      </c>
      <c r="AC174" s="35">
        <f t="shared" ref="AC174:AM175" si="46">AC172*$AD$3</f>
        <v>27.458046000000003</v>
      </c>
      <c r="AD174" s="35">
        <f t="shared" si="46"/>
        <v>109.83218400000001</v>
      </c>
      <c r="AE174" s="35">
        <f t="shared" si="46"/>
        <v>50.339751</v>
      </c>
      <c r="AF174" s="35">
        <f t="shared" si="46"/>
        <v>45.76341</v>
      </c>
      <c r="AG174" s="35">
        <f t="shared" si="46"/>
        <v>36.610728000000002</v>
      </c>
      <c r="AH174" s="35">
        <f t="shared" si="46"/>
        <v>155.59559400000001</v>
      </c>
      <c r="AI174" s="35">
        <f t="shared" si="46"/>
        <v>173.900958</v>
      </c>
      <c r="AJ174" s="35">
        <f t="shared" si="46"/>
        <v>155.59559400000001</v>
      </c>
      <c r="AK174" s="35">
        <f t="shared" si="46"/>
        <v>164.748276</v>
      </c>
      <c r="AL174" s="35">
        <f t="shared" si="46"/>
        <v>146.44291200000001</v>
      </c>
      <c r="AM174" s="35">
        <f t="shared" si="46"/>
        <v>146.44291200000001</v>
      </c>
      <c r="AN174" s="39">
        <f>SUM(AB174:AM174)</f>
        <v>1249.341093</v>
      </c>
    </row>
    <row r="175" spans="1:43">
      <c r="A175" t="s">
        <v>70</v>
      </c>
      <c r="B175" t="s">
        <v>70</v>
      </c>
      <c r="C175" s="40" t="s">
        <v>21</v>
      </c>
      <c r="D175" s="49">
        <v>7.06</v>
      </c>
      <c r="E175" s="35">
        <f>E173*$G$3</f>
        <v>146088.45790000001</v>
      </c>
      <c r="F175" s="35">
        <f t="shared" si="45"/>
        <v>116466.8351</v>
      </c>
      <c r="G175" s="35">
        <f t="shared" si="45"/>
        <v>69341.526100000003</v>
      </c>
      <c r="H175" s="35">
        <f t="shared" si="45"/>
        <v>189547.38880000002</v>
      </c>
      <c r="I175" s="35">
        <f t="shared" si="45"/>
        <v>182610.57237500002</v>
      </c>
      <c r="J175" s="35">
        <f t="shared" si="45"/>
        <v>155289.11346666669</v>
      </c>
      <c r="K175" s="35">
        <f t="shared" si="45"/>
        <v>140337.03915</v>
      </c>
      <c r="L175" s="35">
        <f t="shared" si="45"/>
        <v>103389.48480000001</v>
      </c>
      <c r="M175" s="35">
        <f t="shared" si="45"/>
        <v>146088.45790000001</v>
      </c>
      <c r="N175" s="35">
        <f t="shared" si="45"/>
        <v>155289.11346666669</v>
      </c>
      <c r="O175" s="35">
        <f t="shared" si="45"/>
        <v>155289.11346666669</v>
      </c>
      <c r="P175" s="35">
        <f t="shared" si="45"/>
        <v>103389.48480000001</v>
      </c>
      <c r="Q175" s="39">
        <f>SUM(E175:P175)</f>
        <v>1663126.5873250002</v>
      </c>
      <c r="T175" s="39"/>
      <c r="Z175" s="40" t="s">
        <v>21</v>
      </c>
      <c r="AA175" s="49">
        <v>7.06</v>
      </c>
      <c r="AB175" s="35">
        <f>AB173*$AD$3</f>
        <v>147477.16506600002</v>
      </c>
      <c r="AC175" s="35">
        <f t="shared" si="46"/>
        <v>152218.254342</v>
      </c>
      <c r="AD175" s="35">
        <f t="shared" si="46"/>
        <v>221389.64855700001</v>
      </c>
      <c r="AE175" s="35">
        <f t="shared" si="46"/>
        <v>165082.34889300002</v>
      </c>
      <c r="AF175" s="35">
        <f t="shared" si="46"/>
        <v>164098.435578</v>
      </c>
      <c r="AG175" s="35">
        <f t="shared" si="46"/>
        <v>164354.710674</v>
      </c>
      <c r="AH175" s="35">
        <f t="shared" si="46"/>
        <v>366766.27310400002</v>
      </c>
      <c r="AI175" s="35">
        <f t="shared" si="46"/>
        <v>412145.27046000003</v>
      </c>
      <c r="AJ175" s="35">
        <f t="shared" si="46"/>
        <v>366766.27310400002</v>
      </c>
      <c r="AK175" s="35">
        <f t="shared" si="46"/>
        <v>389455.77178200003</v>
      </c>
      <c r="AL175" s="35">
        <f t="shared" si="46"/>
        <v>344076.77442600002</v>
      </c>
      <c r="AM175" s="35">
        <f t="shared" si="46"/>
        <v>344076.77442600002</v>
      </c>
      <c r="AN175" s="39">
        <f>SUM(AB175:AM175)</f>
        <v>3237907.7004120005</v>
      </c>
    </row>
    <row r="176" spans="1:43">
      <c r="A176" t="s">
        <v>70</v>
      </c>
      <c r="B176" t="s">
        <v>70</v>
      </c>
      <c r="C176" s="41"/>
      <c r="D176" s="51"/>
      <c r="E176" s="35">
        <f>E174*$D$174</f>
        <v>81450744.760000005</v>
      </c>
      <c r="F176" s="35">
        <f t="shared" ref="F176:P176" si="47">F174*$D$174</f>
        <v>61088058.570000008</v>
      </c>
      <c r="G176" s="35">
        <f t="shared" si="47"/>
        <v>40725372.380000003</v>
      </c>
      <c r="H176" s="35">
        <f t="shared" si="47"/>
        <v>111994774.045</v>
      </c>
      <c r="I176" s="35">
        <f t="shared" si="47"/>
        <v>101813430.95</v>
      </c>
      <c r="J176" s="35">
        <f t="shared" si="47"/>
        <v>81450744.760000005</v>
      </c>
      <c r="K176" s="35">
        <f t="shared" si="47"/>
        <v>91632087.855000004</v>
      </c>
      <c r="L176" s="35">
        <f t="shared" si="47"/>
        <v>61088058.570000008</v>
      </c>
      <c r="M176" s="35">
        <f t="shared" si="47"/>
        <v>81450744.760000005</v>
      </c>
      <c r="N176" s="35">
        <f t="shared" si="47"/>
        <v>81450744.760000005</v>
      </c>
      <c r="O176" s="35">
        <f t="shared" si="47"/>
        <v>81450744.760000005</v>
      </c>
      <c r="P176" s="35">
        <f t="shared" si="47"/>
        <v>61088058.570000008</v>
      </c>
      <c r="Q176" s="39">
        <f>SUM(E176:P176)</f>
        <v>936683564.74000001</v>
      </c>
      <c r="Z176" s="41"/>
      <c r="AA176" s="51"/>
      <c r="AB176" s="35">
        <f>AB174*$D$174</f>
        <v>76961241.865199998</v>
      </c>
      <c r="AC176" s="35">
        <f t="shared" ref="AC176:AM176" si="48">AC174*$D$174</f>
        <v>57720931.39890001</v>
      </c>
      <c r="AD176" s="35">
        <f t="shared" si="48"/>
        <v>230883725.59560004</v>
      </c>
      <c r="AE176" s="35">
        <f t="shared" si="48"/>
        <v>105821707.56465</v>
      </c>
      <c r="AF176" s="35">
        <f t="shared" si="48"/>
        <v>96201552.331499994</v>
      </c>
      <c r="AG176" s="35">
        <f t="shared" si="48"/>
        <v>76961241.865199998</v>
      </c>
      <c r="AH176" s="35">
        <f t="shared" si="48"/>
        <v>327085277.9271</v>
      </c>
      <c r="AI176" s="35">
        <f t="shared" si="48"/>
        <v>365565898.85970002</v>
      </c>
      <c r="AJ176" s="35">
        <f t="shared" si="48"/>
        <v>327085277.9271</v>
      </c>
      <c r="AK176" s="35">
        <f t="shared" si="48"/>
        <v>346325588.39340001</v>
      </c>
      <c r="AL176" s="35">
        <f t="shared" si="48"/>
        <v>307844967.46079999</v>
      </c>
      <c r="AM176" s="35">
        <f t="shared" si="48"/>
        <v>307844967.46079999</v>
      </c>
      <c r="AN176" s="39">
        <f>SUM(AB176:AM176)</f>
        <v>2626302378.64995</v>
      </c>
    </row>
    <row r="177" spans="1:41">
      <c r="A177" t="s">
        <v>70</v>
      </c>
      <c r="B177" t="s">
        <v>70</v>
      </c>
      <c r="C177" s="41"/>
      <c r="D177" s="51"/>
      <c r="E177" s="35">
        <f>E175*$D$175</f>
        <v>1031384.5127740001</v>
      </c>
      <c r="F177" s="35">
        <f t="shared" ref="F177:P177" si="49">F175*$D$175</f>
        <v>822255.85580599995</v>
      </c>
      <c r="G177" s="35">
        <f t="shared" si="49"/>
        <v>489551.17426599999</v>
      </c>
      <c r="H177" s="35">
        <f t="shared" si="49"/>
        <v>1338204.5649280001</v>
      </c>
      <c r="I177" s="35">
        <f t="shared" si="49"/>
        <v>1289230.6409675002</v>
      </c>
      <c r="J177" s="35">
        <f t="shared" si="49"/>
        <v>1096341.1410746668</v>
      </c>
      <c r="K177" s="35">
        <f t="shared" si="49"/>
        <v>990779.49639899994</v>
      </c>
      <c r="L177" s="35">
        <f t="shared" si="49"/>
        <v>729929.76268799999</v>
      </c>
      <c r="M177" s="35">
        <f t="shared" si="49"/>
        <v>1031384.5127740001</v>
      </c>
      <c r="N177" s="35">
        <f t="shared" si="49"/>
        <v>1096341.1410746668</v>
      </c>
      <c r="O177" s="35">
        <f t="shared" si="49"/>
        <v>1096341.1410746668</v>
      </c>
      <c r="P177" s="35">
        <f t="shared" si="49"/>
        <v>729929.76268799999</v>
      </c>
      <c r="Q177" s="39">
        <f>SUM(E177:P177)</f>
        <v>11741673.7065145</v>
      </c>
      <c r="Z177" s="41"/>
      <c r="AA177" s="51"/>
      <c r="AB177" s="35">
        <f>AB175*$D$175</f>
        <v>1041188.7853659601</v>
      </c>
      <c r="AC177" s="35">
        <f t="shared" ref="AC177:AM177" si="50">AC175*$D$175</f>
        <v>1074660.87565452</v>
      </c>
      <c r="AD177" s="35">
        <f t="shared" si="50"/>
        <v>1563010.91881242</v>
      </c>
      <c r="AE177" s="35">
        <f t="shared" si="50"/>
        <v>1165481.3831845801</v>
      </c>
      <c r="AF177" s="35">
        <f t="shared" si="50"/>
        <v>1158534.9551806799</v>
      </c>
      <c r="AG177" s="35">
        <f t="shared" si="50"/>
        <v>1160344.25735844</v>
      </c>
      <c r="AH177" s="35">
        <f t="shared" si="50"/>
        <v>2589369.88811424</v>
      </c>
      <c r="AI177" s="35">
        <f t="shared" si="50"/>
        <v>2909745.6094475999</v>
      </c>
      <c r="AJ177" s="35">
        <f t="shared" si="50"/>
        <v>2589369.88811424</v>
      </c>
      <c r="AK177" s="35">
        <f t="shared" si="50"/>
        <v>2749557.7487809202</v>
      </c>
      <c r="AL177" s="35">
        <f t="shared" si="50"/>
        <v>2429182.0274475599</v>
      </c>
      <c r="AM177" s="35">
        <f t="shared" si="50"/>
        <v>2429182.0274475599</v>
      </c>
      <c r="AN177" s="39">
        <f>SUM(AB177:AM177)</f>
        <v>22859628.364908718</v>
      </c>
    </row>
    <row r="178" spans="1:41">
      <c r="A178" t="s">
        <v>70</v>
      </c>
      <c r="B178" t="s">
        <v>70</v>
      </c>
      <c r="C178" s="44"/>
      <c r="D178" s="44"/>
      <c r="E178" s="50"/>
      <c r="F178" s="50"/>
      <c r="G178" s="50"/>
      <c r="H178" s="50"/>
      <c r="I178" s="50"/>
      <c r="J178" s="50"/>
      <c r="K178" s="46"/>
      <c r="L178" s="46"/>
      <c r="M178" s="46"/>
      <c r="N178" s="46"/>
      <c r="O178" s="46"/>
      <c r="P178" s="46"/>
      <c r="Q178" s="48"/>
      <c r="R178" s="44"/>
      <c r="Z178" s="44"/>
      <c r="AA178" s="44"/>
      <c r="AB178" s="50"/>
      <c r="AC178" s="50"/>
      <c r="AD178" s="50"/>
      <c r="AE178" s="50"/>
      <c r="AF178" s="50"/>
      <c r="AG178" s="50"/>
      <c r="AH178" s="46"/>
      <c r="AI178" s="46"/>
      <c r="AJ178" s="46"/>
      <c r="AK178" s="46"/>
      <c r="AL178" s="46"/>
      <c r="AM178" s="46"/>
      <c r="AN178" s="48"/>
    </row>
    <row r="179" spans="1:41">
      <c r="A179" t="s">
        <v>70</v>
      </c>
      <c r="B179" t="s">
        <v>70</v>
      </c>
      <c r="C179" s="44"/>
      <c r="D179" s="44"/>
      <c r="E179" s="50"/>
      <c r="F179" s="50"/>
      <c r="G179" s="50"/>
      <c r="H179" s="50"/>
      <c r="I179" s="50"/>
      <c r="J179" s="50"/>
      <c r="K179" s="46"/>
      <c r="L179" s="46"/>
      <c r="M179" s="46"/>
      <c r="N179" s="46"/>
      <c r="O179" s="46"/>
      <c r="P179" s="46"/>
      <c r="Q179" s="48"/>
      <c r="R179" s="44"/>
      <c r="Z179" s="44"/>
      <c r="AA179" s="44"/>
      <c r="AB179" s="50"/>
      <c r="AC179" s="50"/>
      <c r="AD179" s="50"/>
      <c r="AE179" s="50"/>
      <c r="AF179" s="50"/>
      <c r="AG179" s="50"/>
      <c r="AH179" s="46"/>
      <c r="AI179" s="46"/>
      <c r="AJ179" s="46"/>
      <c r="AK179" s="46"/>
      <c r="AL179" s="46"/>
      <c r="AM179" s="46"/>
      <c r="AN179" s="48"/>
    </row>
    <row r="180" spans="1:41">
      <c r="A180" t="s">
        <v>70</v>
      </c>
      <c r="B180" t="s">
        <v>70</v>
      </c>
      <c r="C180" t="s">
        <v>61</v>
      </c>
      <c r="E180" s="100">
        <f>'PANDU CWD'!C64</f>
        <v>1</v>
      </c>
      <c r="F180" s="100">
        <f>'PANDU CWD'!D64</f>
        <v>0</v>
      </c>
      <c r="G180" s="100">
        <f>'PANDU CWD'!E64</f>
        <v>0</v>
      </c>
      <c r="H180" s="100">
        <f>'PANDU CWD'!F64</f>
        <v>2</v>
      </c>
      <c r="I180" s="100">
        <f>'PANDU CWD'!G64</f>
        <v>0</v>
      </c>
      <c r="J180" s="100">
        <f>'PANDU CWD'!H64</f>
        <v>0</v>
      </c>
      <c r="K180" s="100">
        <f>'PANDU CWD'!I64</f>
        <v>1</v>
      </c>
      <c r="L180" s="100">
        <f>'PANDU CWD'!J64</f>
        <v>0</v>
      </c>
      <c r="M180" s="100">
        <f>'PANDU CWD'!K64</f>
        <v>0</v>
      </c>
      <c r="N180" s="100">
        <f>'PANDU CWD'!L64</f>
        <v>2</v>
      </c>
      <c r="O180" s="100">
        <f>'PANDU CWD'!M64</f>
        <v>0</v>
      </c>
      <c r="P180" s="100">
        <f>'PANDU CWD'!N64</f>
        <v>0</v>
      </c>
      <c r="Z180" t="s">
        <v>61</v>
      </c>
      <c r="AB180" s="29">
        <f>'PANDU IKPP'!W64</f>
        <v>0</v>
      </c>
      <c r="AC180" s="29">
        <f>'PANDU IKPP'!X64</f>
        <v>0</v>
      </c>
      <c r="AD180" s="29">
        <f>'PANDU IKPP'!Y64</f>
        <v>0</v>
      </c>
      <c r="AE180" s="29">
        <f>'PANDU IKPP'!Z64</f>
        <v>0</v>
      </c>
      <c r="AF180" s="29">
        <f>'PANDU IKPP'!AA64</f>
        <v>0</v>
      </c>
      <c r="AG180" s="29">
        <f>'PANDU IKPP'!AB64</f>
        <v>0</v>
      </c>
      <c r="AH180" s="29">
        <f>'PANDU IKPP'!AC64</f>
        <v>0</v>
      </c>
      <c r="AI180" s="29">
        <f>'PANDU IKPP'!AD64</f>
        <v>0</v>
      </c>
      <c r="AJ180" s="29">
        <f>'PANDU IKPP'!AE64</f>
        <v>0</v>
      </c>
      <c r="AK180" s="29">
        <f>'PANDU IKPP'!AF64</f>
        <v>0</v>
      </c>
      <c r="AL180" s="29">
        <f>'PANDU IKPP'!AG64</f>
        <v>0</v>
      </c>
      <c r="AM180" s="29">
        <f>'PANDU IKPP'!AH64</f>
        <v>0</v>
      </c>
    </row>
    <row r="181" spans="1:41">
      <c r="A181" t="s">
        <v>70</v>
      </c>
      <c r="B181" t="s">
        <v>70</v>
      </c>
      <c r="E181" s="100">
        <f>'PANDU CWD'!C65</f>
        <v>1833</v>
      </c>
      <c r="F181" s="100">
        <f>'PANDU CWD'!D65</f>
        <v>0</v>
      </c>
      <c r="G181" s="100">
        <f>'PANDU CWD'!E65</f>
        <v>0</v>
      </c>
      <c r="H181" s="100">
        <f>'PANDU CWD'!F65</f>
        <v>6863</v>
      </c>
      <c r="I181" s="100">
        <f>'PANDU CWD'!G65</f>
        <v>0</v>
      </c>
      <c r="J181" s="100">
        <f>'PANDU CWD'!H65</f>
        <v>0</v>
      </c>
      <c r="K181" s="100">
        <f>'PANDU CWD'!I65</f>
        <v>1833</v>
      </c>
      <c r="L181" s="100">
        <f>'PANDU CWD'!J65</f>
        <v>0</v>
      </c>
      <c r="M181" s="100">
        <f>'PANDU CWD'!K65</f>
        <v>0</v>
      </c>
      <c r="N181" s="100">
        <f>'PANDU CWD'!L65</f>
        <v>6863</v>
      </c>
      <c r="O181" s="100">
        <f>'PANDU CWD'!M65</f>
        <v>0</v>
      </c>
      <c r="P181" s="100">
        <f>'PANDU CWD'!N65</f>
        <v>0</v>
      </c>
      <c r="AB181" s="29">
        <f>'PANDU IKPP'!W65</f>
        <v>0</v>
      </c>
      <c r="AC181" s="29">
        <f>'PANDU IKPP'!X65</f>
        <v>0</v>
      </c>
      <c r="AD181" s="29">
        <f>'PANDU IKPP'!Y65</f>
        <v>0</v>
      </c>
      <c r="AE181" s="29">
        <f>'PANDU IKPP'!Z65</f>
        <v>0</v>
      </c>
      <c r="AF181" s="29">
        <f>'PANDU IKPP'!AA65</f>
        <v>0</v>
      </c>
      <c r="AG181" s="29">
        <f>'PANDU IKPP'!AB65</f>
        <v>0</v>
      </c>
      <c r="AH181" s="29">
        <f>'PANDU IKPP'!AC65</f>
        <v>0</v>
      </c>
      <c r="AI181" s="29">
        <f>'PANDU IKPP'!AD65</f>
        <v>0</v>
      </c>
      <c r="AJ181" s="29">
        <f>'PANDU IKPP'!AE65</f>
        <v>0</v>
      </c>
      <c r="AK181" s="29">
        <f>'PANDU IKPP'!AF65</f>
        <v>0</v>
      </c>
      <c r="AL181" s="29">
        <f>'PANDU IKPP'!AG65</f>
        <v>0</v>
      </c>
      <c r="AM181" s="29">
        <f>'PANDU IKPP'!AH65</f>
        <v>0</v>
      </c>
    </row>
    <row r="182" spans="1:41">
      <c r="A182" t="s">
        <v>78</v>
      </c>
      <c r="B182" t="s">
        <v>86</v>
      </c>
      <c r="C182" s="40" t="s">
        <v>20</v>
      </c>
      <c r="D182" s="49">
        <v>2102150</v>
      </c>
      <c r="E182" s="35"/>
      <c r="F182" s="35">
        <f t="shared" ref="F182:P183" si="51">F180*$G$3</f>
        <v>0</v>
      </c>
      <c r="G182" s="35">
        <f t="shared" si="51"/>
        <v>0</v>
      </c>
      <c r="H182" s="35">
        <f t="shared" si="51"/>
        <v>9.6866000000000003</v>
      </c>
      <c r="I182" s="35">
        <f t="shared" si="51"/>
        <v>0</v>
      </c>
      <c r="J182" s="35">
        <f t="shared" si="51"/>
        <v>0</v>
      </c>
      <c r="K182" s="35">
        <f t="shared" si="51"/>
        <v>4.8433000000000002</v>
      </c>
      <c r="L182" s="35">
        <f t="shared" si="51"/>
        <v>0</v>
      </c>
      <c r="M182" s="35">
        <f t="shared" si="51"/>
        <v>0</v>
      </c>
      <c r="N182" s="35">
        <f t="shared" si="51"/>
        <v>9.6866000000000003</v>
      </c>
      <c r="O182" s="35">
        <f t="shared" si="51"/>
        <v>0</v>
      </c>
      <c r="P182" s="35">
        <f t="shared" si="51"/>
        <v>0</v>
      </c>
      <c r="Q182" s="39">
        <f>SUM(E182:P182)</f>
        <v>24.216500000000003</v>
      </c>
      <c r="T182" s="67"/>
      <c r="Z182" s="40" t="s">
        <v>20</v>
      </c>
      <c r="AA182" s="49">
        <v>2102150</v>
      </c>
      <c r="AB182" s="35">
        <f>AB180*$AD$3</f>
        <v>0</v>
      </c>
      <c r="AC182" s="35">
        <f t="shared" ref="AC182:AM183" si="52">AC180*$AD$3</f>
        <v>0</v>
      </c>
      <c r="AD182" s="35">
        <f t="shared" si="52"/>
        <v>0</v>
      </c>
      <c r="AE182" s="35">
        <f t="shared" si="52"/>
        <v>0</v>
      </c>
      <c r="AF182" s="35">
        <f t="shared" si="52"/>
        <v>0</v>
      </c>
      <c r="AG182" s="35">
        <f t="shared" si="52"/>
        <v>0</v>
      </c>
      <c r="AH182" s="35">
        <f t="shared" si="52"/>
        <v>0</v>
      </c>
      <c r="AI182" s="35">
        <f t="shared" si="52"/>
        <v>0</v>
      </c>
      <c r="AJ182" s="35">
        <f t="shared" si="52"/>
        <v>0</v>
      </c>
      <c r="AK182" s="35">
        <f t="shared" si="52"/>
        <v>0</v>
      </c>
      <c r="AL182" s="35">
        <f t="shared" si="52"/>
        <v>0</v>
      </c>
      <c r="AM182" s="35">
        <f t="shared" si="52"/>
        <v>0</v>
      </c>
      <c r="AN182" s="39">
        <f t="shared" ref="AN182:AN187" si="53">SUM(AB182:AM182)</f>
        <v>0</v>
      </c>
    </row>
    <row r="183" spans="1:41">
      <c r="A183" t="s">
        <v>70</v>
      </c>
      <c r="B183" t="s">
        <v>70</v>
      </c>
      <c r="C183" s="40" t="s">
        <v>21</v>
      </c>
      <c r="D183" s="49">
        <v>7.06</v>
      </c>
      <c r="E183" s="35"/>
      <c r="F183" s="35">
        <f t="shared" si="51"/>
        <v>0</v>
      </c>
      <c r="G183" s="35">
        <f t="shared" si="51"/>
        <v>0</v>
      </c>
      <c r="H183" s="35">
        <f t="shared" si="51"/>
        <v>33239.567900000002</v>
      </c>
      <c r="I183" s="35">
        <f t="shared" si="51"/>
        <v>0</v>
      </c>
      <c r="J183" s="35">
        <f t="shared" si="51"/>
        <v>0</v>
      </c>
      <c r="K183" s="35">
        <f t="shared" si="51"/>
        <v>8877.7689000000009</v>
      </c>
      <c r="L183" s="35">
        <f t="shared" si="51"/>
        <v>0</v>
      </c>
      <c r="M183" s="35">
        <f t="shared" si="51"/>
        <v>0</v>
      </c>
      <c r="N183" s="35">
        <f t="shared" si="51"/>
        <v>33239.567900000002</v>
      </c>
      <c r="O183" s="35">
        <f t="shared" si="51"/>
        <v>0</v>
      </c>
      <c r="P183" s="35">
        <f t="shared" si="51"/>
        <v>0</v>
      </c>
      <c r="Q183" s="39">
        <f>SUM(E183:P183)</f>
        <v>75356.904700000014</v>
      </c>
      <c r="T183" s="39"/>
      <c r="Z183" s="119" t="s">
        <v>21</v>
      </c>
      <c r="AA183" s="49">
        <v>7.06</v>
      </c>
      <c r="AB183" s="35">
        <f>AB181*$AD$3</f>
        <v>0</v>
      </c>
      <c r="AC183" s="35">
        <f>AC181*$AD$3</f>
        <v>0</v>
      </c>
      <c r="AD183" s="35">
        <f t="shared" si="52"/>
        <v>0</v>
      </c>
      <c r="AE183" s="35">
        <f t="shared" si="52"/>
        <v>0</v>
      </c>
      <c r="AF183" s="35">
        <f t="shared" si="52"/>
        <v>0</v>
      </c>
      <c r="AG183" s="35">
        <f t="shared" si="52"/>
        <v>0</v>
      </c>
      <c r="AH183" s="35">
        <f t="shared" si="52"/>
        <v>0</v>
      </c>
      <c r="AI183" s="35">
        <f t="shared" si="52"/>
        <v>0</v>
      </c>
      <c r="AJ183" s="35">
        <f t="shared" si="52"/>
        <v>0</v>
      </c>
      <c r="AK183" s="35">
        <f t="shared" si="52"/>
        <v>0</v>
      </c>
      <c r="AL183" s="35">
        <f t="shared" si="52"/>
        <v>0</v>
      </c>
      <c r="AM183" s="35">
        <f t="shared" si="52"/>
        <v>0</v>
      </c>
      <c r="AN183" s="39">
        <f t="shared" si="53"/>
        <v>0</v>
      </c>
    </row>
    <row r="184" spans="1:41">
      <c r="B184" t="s">
        <v>70</v>
      </c>
      <c r="C184" s="41"/>
      <c r="D184" s="51"/>
      <c r="E184" s="35"/>
      <c r="F184" s="35">
        <f t="shared" ref="F184:P184" si="54">F182*$D$174</f>
        <v>0</v>
      </c>
      <c r="G184" s="35">
        <f t="shared" si="54"/>
        <v>0</v>
      </c>
      <c r="H184" s="35">
        <f t="shared" si="54"/>
        <v>20362686.190000001</v>
      </c>
      <c r="I184" s="35">
        <f t="shared" si="54"/>
        <v>0</v>
      </c>
      <c r="J184" s="35">
        <f t="shared" si="54"/>
        <v>0</v>
      </c>
      <c r="K184" s="35">
        <f t="shared" si="54"/>
        <v>10181343.095000001</v>
      </c>
      <c r="L184" s="35">
        <f t="shared" si="54"/>
        <v>0</v>
      </c>
      <c r="M184" s="35">
        <f t="shared" si="54"/>
        <v>0</v>
      </c>
      <c r="N184" s="35">
        <f t="shared" si="54"/>
        <v>20362686.190000001</v>
      </c>
      <c r="O184" s="35">
        <f t="shared" si="54"/>
        <v>0</v>
      </c>
      <c r="P184" s="35">
        <f t="shared" si="54"/>
        <v>0</v>
      </c>
      <c r="Q184" s="39">
        <f>SUM(E184:P184)</f>
        <v>50906715.475000009</v>
      </c>
      <c r="Z184" s="41"/>
      <c r="AA184" s="51"/>
      <c r="AB184" s="35">
        <f>AB182*$AA$182</f>
        <v>0</v>
      </c>
      <c r="AC184" s="35">
        <f t="shared" ref="AC184:AM184" si="55">AC182*$AA$182</f>
        <v>0</v>
      </c>
      <c r="AD184" s="35">
        <f t="shared" si="55"/>
        <v>0</v>
      </c>
      <c r="AE184" s="35">
        <f t="shared" si="55"/>
        <v>0</v>
      </c>
      <c r="AF184" s="35">
        <f t="shared" si="55"/>
        <v>0</v>
      </c>
      <c r="AG184" s="35">
        <f t="shared" si="55"/>
        <v>0</v>
      </c>
      <c r="AH184" s="35">
        <f t="shared" si="55"/>
        <v>0</v>
      </c>
      <c r="AI184" s="35">
        <f t="shared" si="55"/>
        <v>0</v>
      </c>
      <c r="AJ184" s="35">
        <f t="shared" si="55"/>
        <v>0</v>
      </c>
      <c r="AK184" s="35">
        <f t="shared" si="55"/>
        <v>0</v>
      </c>
      <c r="AL184" s="35">
        <f t="shared" si="55"/>
        <v>0</v>
      </c>
      <c r="AM184" s="35">
        <f t="shared" si="55"/>
        <v>0</v>
      </c>
      <c r="AN184" s="39">
        <f t="shared" si="53"/>
        <v>0</v>
      </c>
    </row>
    <row r="185" spans="1:41">
      <c r="B185" t="s">
        <v>70</v>
      </c>
      <c r="C185" s="41"/>
      <c r="D185" s="51"/>
      <c r="E185" s="35"/>
      <c r="F185" s="35">
        <f t="shared" ref="F185:P185" si="56">F183*$D$175</f>
        <v>0</v>
      </c>
      <c r="G185" s="35">
        <f t="shared" si="56"/>
        <v>0</v>
      </c>
      <c r="H185" s="35">
        <f t="shared" si="56"/>
        <v>234671.34937400001</v>
      </c>
      <c r="I185" s="35">
        <f t="shared" si="56"/>
        <v>0</v>
      </c>
      <c r="J185" s="35">
        <f t="shared" si="56"/>
        <v>0</v>
      </c>
      <c r="K185" s="35">
        <f t="shared" si="56"/>
        <v>62677.048434000004</v>
      </c>
      <c r="L185" s="35">
        <f t="shared" si="56"/>
        <v>0</v>
      </c>
      <c r="M185" s="35">
        <f t="shared" si="56"/>
        <v>0</v>
      </c>
      <c r="N185" s="35">
        <f t="shared" si="56"/>
        <v>234671.34937400001</v>
      </c>
      <c r="O185" s="35">
        <f t="shared" si="56"/>
        <v>0</v>
      </c>
      <c r="P185" s="35">
        <f t="shared" si="56"/>
        <v>0</v>
      </c>
      <c r="Q185" s="39">
        <f>SUM(E185:P185)</f>
        <v>532019.74718200008</v>
      </c>
      <c r="V185" s="120"/>
      <c r="Z185" s="41"/>
      <c r="AA185" s="51"/>
      <c r="AB185" s="35">
        <f>AB183*$AA$183</f>
        <v>0</v>
      </c>
      <c r="AC185" s="35">
        <f t="shared" ref="AC185:AM185" si="57">AC183*$AA$183</f>
        <v>0</v>
      </c>
      <c r="AD185" s="35">
        <f t="shared" si="57"/>
        <v>0</v>
      </c>
      <c r="AE185" s="35">
        <f t="shared" si="57"/>
        <v>0</v>
      </c>
      <c r="AF185" s="35">
        <f t="shared" si="57"/>
        <v>0</v>
      </c>
      <c r="AG185" s="35">
        <f t="shared" si="57"/>
        <v>0</v>
      </c>
      <c r="AH185" s="35">
        <f t="shared" si="57"/>
        <v>0</v>
      </c>
      <c r="AI185" s="35">
        <f t="shared" si="57"/>
        <v>0</v>
      </c>
      <c r="AJ185" s="35">
        <f t="shared" si="57"/>
        <v>0</v>
      </c>
      <c r="AK185" s="35">
        <f t="shared" si="57"/>
        <v>0</v>
      </c>
      <c r="AL185" s="35">
        <f t="shared" si="57"/>
        <v>0</v>
      </c>
      <c r="AM185" s="35">
        <f t="shared" si="57"/>
        <v>0</v>
      </c>
      <c r="AN185" s="39">
        <f t="shared" si="53"/>
        <v>0</v>
      </c>
    </row>
    <row r="186" spans="1:41">
      <c r="B186" t="s">
        <v>70</v>
      </c>
      <c r="E186" s="52">
        <f>E174+E182</f>
        <v>38.746400000000001</v>
      </c>
      <c r="F186" s="52">
        <f t="shared" ref="F186:P187" si="58">F174+F182</f>
        <v>29.059800000000003</v>
      </c>
      <c r="G186" s="52">
        <f t="shared" si="58"/>
        <v>19.373200000000001</v>
      </c>
      <c r="H186" s="52">
        <f t="shared" si="58"/>
        <v>62.962899999999998</v>
      </c>
      <c r="I186" s="52">
        <f t="shared" si="58"/>
        <v>48.433</v>
      </c>
      <c r="J186" s="52">
        <f t="shared" si="58"/>
        <v>38.746400000000001</v>
      </c>
      <c r="K186" s="52">
        <f t="shared" si="58"/>
        <v>48.433</v>
      </c>
      <c r="L186" s="52">
        <f t="shared" si="58"/>
        <v>29.059800000000003</v>
      </c>
      <c r="M186" s="52">
        <f t="shared" si="58"/>
        <v>38.746400000000001</v>
      </c>
      <c r="N186" s="52">
        <f t="shared" si="58"/>
        <v>48.433</v>
      </c>
      <c r="O186" s="52">
        <f t="shared" si="58"/>
        <v>38.746400000000001</v>
      </c>
      <c r="P186" s="52">
        <f t="shared" si="58"/>
        <v>29.059800000000003</v>
      </c>
      <c r="V186" s="120"/>
      <c r="AB186" s="52">
        <f>AB174+AB182</f>
        <v>36.610728000000002</v>
      </c>
      <c r="AC186" s="52">
        <f t="shared" ref="AC186:AM187" si="59">AC174+AC182</f>
        <v>27.458046000000003</v>
      </c>
      <c r="AD186" s="52">
        <f t="shared" si="59"/>
        <v>109.83218400000001</v>
      </c>
      <c r="AE186" s="52">
        <f t="shared" si="59"/>
        <v>50.339751</v>
      </c>
      <c r="AF186" s="52">
        <f t="shared" si="59"/>
        <v>45.76341</v>
      </c>
      <c r="AG186" s="52">
        <f t="shared" si="59"/>
        <v>36.610728000000002</v>
      </c>
      <c r="AH186" s="52">
        <f t="shared" si="59"/>
        <v>155.59559400000001</v>
      </c>
      <c r="AI186" s="52">
        <f t="shared" si="59"/>
        <v>173.900958</v>
      </c>
      <c r="AJ186" s="52">
        <f t="shared" si="59"/>
        <v>155.59559400000001</v>
      </c>
      <c r="AK186" s="52">
        <f t="shared" si="59"/>
        <v>164.748276</v>
      </c>
      <c r="AL186" s="52">
        <f t="shared" si="59"/>
        <v>146.44291200000001</v>
      </c>
      <c r="AM186" s="52">
        <f t="shared" si="59"/>
        <v>146.44291200000001</v>
      </c>
      <c r="AN186" s="39">
        <f t="shared" si="53"/>
        <v>1249.341093</v>
      </c>
    </row>
    <row r="187" spans="1:41">
      <c r="B187" t="s">
        <v>70</v>
      </c>
      <c r="E187" s="52">
        <f>E175+E183</f>
        <v>146088.45790000001</v>
      </c>
      <c r="F187" s="52">
        <f t="shared" si="58"/>
        <v>116466.8351</v>
      </c>
      <c r="G187" s="52">
        <f t="shared" si="58"/>
        <v>69341.526100000003</v>
      </c>
      <c r="H187" s="52">
        <f t="shared" si="58"/>
        <v>222786.95670000001</v>
      </c>
      <c r="I187" s="52">
        <f t="shared" si="58"/>
        <v>182610.57237500002</v>
      </c>
      <c r="J187" s="52">
        <f t="shared" si="58"/>
        <v>155289.11346666669</v>
      </c>
      <c r="K187" s="52">
        <f t="shared" si="58"/>
        <v>149214.80804999999</v>
      </c>
      <c r="L187" s="52">
        <f t="shared" si="58"/>
        <v>103389.48480000001</v>
      </c>
      <c r="M187" s="52">
        <f t="shared" si="58"/>
        <v>146088.45790000001</v>
      </c>
      <c r="N187" s="52">
        <f t="shared" si="58"/>
        <v>188528.68136666669</v>
      </c>
      <c r="O187" s="52">
        <f t="shared" si="58"/>
        <v>155289.11346666669</v>
      </c>
      <c r="P187" s="52">
        <f t="shared" si="58"/>
        <v>103389.48480000001</v>
      </c>
      <c r="V187" s="120"/>
      <c r="X187" s="120"/>
      <c r="AB187" s="52">
        <f>AB175+AB183</f>
        <v>147477.16506600002</v>
      </c>
      <c r="AC187" s="52">
        <f t="shared" si="59"/>
        <v>152218.254342</v>
      </c>
      <c r="AD187" s="52">
        <f t="shared" si="59"/>
        <v>221389.64855700001</v>
      </c>
      <c r="AE187" s="52">
        <f t="shared" si="59"/>
        <v>165082.34889300002</v>
      </c>
      <c r="AF187" s="52">
        <f t="shared" si="59"/>
        <v>164098.435578</v>
      </c>
      <c r="AG187" s="52">
        <f t="shared" si="59"/>
        <v>164354.710674</v>
      </c>
      <c r="AH187" s="52">
        <f t="shared" si="59"/>
        <v>366766.27310400002</v>
      </c>
      <c r="AI187" s="52">
        <f t="shared" si="59"/>
        <v>412145.27046000003</v>
      </c>
      <c r="AJ187" s="52">
        <f t="shared" si="59"/>
        <v>366766.27310400002</v>
      </c>
      <c r="AK187" s="52">
        <f t="shared" si="59"/>
        <v>389455.77178200003</v>
      </c>
      <c r="AL187" s="52">
        <f t="shared" si="59"/>
        <v>344076.77442600002</v>
      </c>
      <c r="AM187" s="52">
        <f t="shared" si="59"/>
        <v>344076.77442600002</v>
      </c>
      <c r="AN187" s="39">
        <f t="shared" si="53"/>
        <v>3237907.7004120005</v>
      </c>
    </row>
    <row r="188" spans="1:41">
      <c r="E188" s="52"/>
      <c r="F188" s="52"/>
      <c r="G188" s="52"/>
      <c r="H188" s="52"/>
      <c r="I188" s="52"/>
      <c r="J188" s="52"/>
      <c r="K188" s="53"/>
      <c r="L188" s="53"/>
      <c r="M188" s="53"/>
      <c r="N188" s="53"/>
      <c r="O188" s="53"/>
      <c r="P188" s="53"/>
      <c r="V188" s="120"/>
      <c r="X188" s="120"/>
      <c r="AB188" s="52"/>
      <c r="AC188" s="52"/>
      <c r="AD188" s="52"/>
      <c r="AE188" s="52"/>
      <c r="AF188" s="52"/>
      <c r="AG188" s="52"/>
      <c r="AH188" s="53"/>
      <c r="AI188" s="53"/>
      <c r="AJ188" s="53"/>
      <c r="AK188" s="53"/>
      <c r="AL188" s="53"/>
      <c r="AM188" s="53"/>
      <c r="AN188" s="39">
        <f>AN176+AN184</f>
        <v>2626302378.64995</v>
      </c>
    </row>
    <row r="189" spans="1:41">
      <c r="Q189" s="31"/>
      <c r="AB189" s="52"/>
      <c r="AN189" s="39">
        <f>AN177+AN185</f>
        <v>22859628.364908718</v>
      </c>
    </row>
    <row r="190" spans="1:41">
      <c r="Q190" s="31"/>
      <c r="U190" s="39"/>
      <c r="V190" s="121"/>
      <c r="W190" s="122"/>
      <c r="X190" s="120"/>
      <c r="AN190" s="31"/>
    </row>
    <row r="191" spans="1:41">
      <c r="B191" t="s">
        <v>62</v>
      </c>
      <c r="C191" s="40" t="s">
        <v>20</v>
      </c>
      <c r="D191" s="31"/>
      <c r="E191" s="38">
        <f t="shared" ref="E191:P192" si="60">E26+E48+E70+E92+E116+E138+E160+E176+E184</f>
        <v>1769354418.9628999</v>
      </c>
      <c r="F191" s="38">
        <f t="shared" si="60"/>
        <v>2258923101.7584004</v>
      </c>
      <c r="G191" s="38">
        <f t="shared" si="60"/>
        <v>1067624088.5002</v>
      </c>
      <c r="H191" s="38">
        <f t="shared" si="60"/>
        <v>1975895973.9596002</v>
      </c>
      <c r="I191" s="38">
        <f t="shared" si="60"/>
        <v>1941652046.0953002</v>
      </c>
      <c r="J191" s="38">
        <f t="shared" si="60"/>
        <v>2002258249.5916002</v>
      </c>
      <c r="K191" s="38">
        <f t="shared" si="60"/>
        <v>2036067864.2150002</v>
      </c>
      <c r="L191" s="38">
        <f t="shared" si="60"/>
        <v>2131234737.7089999</v>
      </c>
      <c r="M191" s="38">
        <f t="shared" si="60"/>
        <v>1788949732.7009001</v>
      </c>
      <c r="N191" s="38">
        <f t="shared" si="60"/>
        <v>2246964606.5944004</v>
      </c>
      <c r="O191" s="38">
        <f t="shared" si="60"/>
        <v>1801542850.3072002</v>
      </c>
      <c r="P191" s="38">
        <f t="shared" si="60"/>
        <v>1077805431.5952001</v>
      </c>
      <c r="Q191" s="39">
        <f>SUM(E191:P191)</f>
        <v>22098273101.989704</v>
      </c>
      <c r="U191" s="39"/>
      <c r="V191" s="121"/>
      <c r="W191" s="122"/>
      <c r="X191" s="121"/>
      <c r="Z191" s="119" t="s">
        <v>20</v>
      </c>
      <c r="AA191" s="31"/>
      <c r="AB191" s="38">
        <f>AB26+AB48+AB70+AB116+AB138+AB160+AB176+AB184</f>
        <v>2379463716.0973144</v>
      </c>
      <c r="AC191" s="38">
        <f t="shared" ref="AB191:AM192" si="61">AC26+AC48+AC70+AC116+AC138+AC160+AC176+AC184</f>
        <v>2008395014.307528</v>
      </c>
      <c r="AD191" s="38">
        <f t="shared" si="61"/>
        <v>1485893751.8566682</v>
      </c>
      <c r="AE191" s="38">
        <f t="shared" si="61"/>
        <v>1805740795.9723444</v>
      </c>
      <c r="AF191" s="38">
        <f t="shared" si="61"/>
        <v>1529282901.2297761</v>
      </c>
      <c r="AG191" s="38">
        <f t="shared" si="61"/>
        <v>1539035450.0080562</v>
      </c>
      <c r="AH191" s="38">
        <f t="shared" si="61"/>
        <v>2418808414.2794886</v>
      </c>
      <c r="AI191" s="38">
        <f t="shared" si="61"/>
        <v>2975134346.6349125</v>
      </c>
      <c r="AJ191" s="38">
        <f t="shared" si="61"/>
        <v>2218285690.8338284</v>
      </c>
      <c r="AK191" s="38">
        <f t="shared" si="61"/>
        <v>6070663584.8480158</v>
      </c>
      <c r="AL191" s="38">
        <f t="shared" si="61"/>
        <v>1942159233.0118439</v>
      </c>
      <c r="AM191" s="38">
        <f t="shared" si="61"/>
        <v>2258519050.3694282</v>
      </c>
      <c r="AN191" s="39">
        <f>SUM(AB191:AM191)</f>
        <v>28631381949.449203</v>
      </c>
      <c r="AO191" s="39">
        <v>41054012749.675331</v>
      </c>
    </row>
    <row r="192" spans="1:41">
      <c r="C192" s="40" t="s">
        <v>21</v>
      </c>
      <c r="D192" s="31"/>
      <c r="E192" s="38">
        <f t="shared" si="60"/>
        <v>115881467.56571001</v>
      </c>
      <c r="F192" s="38">
        <f t="shared" si="60"/>
        <v>155270192.98606199</v>
      </c>
      <c r="G192" s="38">
        <f t="shared" si="60"/>
        <v>78558083.834999993</v>
      </c>
      <c r="H192" s="38">
        <f t="shared" si="60"/>
        <v>130555309.085586</v>
      </c>
      <c r="I192" s="38">
        <f t="shared" si="60"/>
        <v>117681273.38976619</v>
      </c>
      <c r="J192" s="38">
        <f t="shared" si="60"/>
        <v>128303442.63318121</v>
      </c>
      <c r="K192" s="38">
        <f t="shared" si="60"/>
        <v>144655173.39881301</v>
      </c>
      <c r="L192" s="38">
        <f t="shared" si="60"/>
        <v>161308645.47820872</v>
      </c>
      <c r="M192" s="38">
        <f t="shared" si="60"/>
        <v>106766608.82601267</v>
      </c>
      <c r="N192" s="38">
        <f t="shared" si="60"/>
        <v>143321507.99078932</v>
      </c>
      <c r="O192" s="38">
        <f t="shared" si="60"/>
        <v>112657584.87538256</v>
      </c>
      <c r="P192" s="38">
        <f t="shared" si="60"/>
        <v>80388869.686086014</v>
      </c>
      <c r="Q192" s="39">
        <f>SUM(E192:P192)</f>
        <v>1475348159.7505977</v>
      </c>
      <c r="V192" s="39"/>
      <c r="Z192" s="119" t="s">
        <v>21</v>
      </c>
      <c r="AA192" s="31"/>
      <c r="AB192" s="38">
        <f t="shared" si="61"/>
        <v>115455494.61931714</v>
      </c>
      <c r="AC192" s="38">
        <f t="shared" si="61"/>
        <v>106786187.44759353</v>
      </c>
      <c r="AD192" s="38">
        <f t="shared" si="61"/>
        <v>153652543.49712038</v>
      </c>
      <c r="AE192" s="38">
        <f t="shared" si="61"/>
        <v>173922260.5927746</v>
      </c>
      <c r="AF192" s="38">
        <f t="shared" si="61"/>
        <v>101147185.47025552</v>
      </c>
      <c r="AG192" s="38">
        <f t="shared" si="61"/>
        <v>150643100.46845135</v>
      </c>
      <c r="AH192" s="38">
        <f t="shared" si="61"/>
        <v>113195013.08748403</v>
      </c>
      <c r="AI192" s="38">
        <f t="shared" si="61"/>
        <v>135600626.23132873</v>
      </c>
      <c r="AJ192" s="38">
        <f t="shared" si="61"/>
        <v>86422383.526783928</v>
      </c>
      <c r="AK192" s="38">
        <f t="shared" si="61"/>
        <v>408225169.52878124</v>
      </c>
      <c r="AL192" s="38">
        <f t="shared" si="61"/>
        <v>96603984.272424102</v>
      </c>
      <c r="AM192" s="38">
        <f t="shared" si="61"/>
        <v>115796139.04646635</v>
      </c>
      <c r="AN192" s="39">
        <f>SUM(AB192:AM192)</f>
        <v>1757450087.7887807</v>
      </c>
      <c r="AO192" s="39">
        <v>2395873283.7564535</v>
      </c>
    </row>
    <row r="193" spans="2:40">
      <c r="E193" s="32">
        <f>E191+E192</f>
        <v>1885235886.52861</v>
      </c>
      <c r="F193" s="32">
        <f t="shared" ref="F193:P193" si="62">F191+F192</f>
        <v>2414193294.7444625</v>
      </c>
      <c r="G193" s="32">
        <f t="shared" si="62"/>
        <v>1146182172.3352001</v>
      </c>
      <c r="H193" s="32">
        <f t="shared" si="62"/>
        <v>2106451283.0451863</v>
      </c>
      <c r="I193" s="32">
        <f t="shared" si="62"/>
        <v>2059333319.4850664</v>
      </c>
      <c r="J193" s="32">
        <f t="shared" si="62"/>
        <v>2130561692.2247815</v>
      </c>
      <c r="K193" s="32">
        <f t="shared" si="62"/>
        <v>2180723037.6138134</v>
      </c>
      <c r="L193" s="32">
        <f t="shared" si="62"/>
        <v>2292543383.1872087</v>
      </c>
      <c r="M193" s="32">
        <f t="shared" si="62"/>
        <v>1895716341.5269127</v>
      </c>
      <c r="N193" s="32">
        <f t="shared" si="62"/>
        <v>2390286114.5851898</v>
      </c>
      <c r="O193" s="32">
        <f t="shared" si="62"/>
        <v>1914200435.1825829</v>
      </c>
      <c r="P193" s="32">
        <f t="shared" si="62"/>
        <v>1158194301.281286</v>
      </c>
      <c r="Q193" s="71">
        <f>Q191+Q192</f>
        <v>23573621261.740303</v>
      </c>
      <c r="R193" s="31"/>
      <c r="Z193" t="s">
        <v>97</v>
      </c>
      <c r="AB193" s="32">
        <f>AB191+AB192</f>
        <v>2494919210.7166314</v>
      </c>
      <c r="AC193" s="32">
        <f t="shared" ref="AC193:AM193" si="63">AC191+AC192</f>
        <v>2115181201.7551215</v>
      </c>
      <c r="AD193" s="32">
        <f t="shared" si="63"/>
        <v>1639546295.3537886</v>
      </c>
      <c r="AE193" s="32">
        <f t="shared" si="63"/>
        <v>1979663056.565119</v>
      </c>
      <c r="AF193" s="32">
        <f t="shared" si="63"/>
        <v>1630430086.7000318</v>
      </c>
      <c r="AG193" s="32">
        <f t="shared" si="63"/>
        <v>1689678550.4765074</v>
      </c>
      <c r="AH193" s="32">
        <f t="shared" si="63"/>
        <v>2532003427.3669724</v>
      </c>
      <c r="AI193" s="32">
        <f t="shared" si="63"/>
        <v>3110734972.8662415</v>
      </c>
      <c r="AJ193" s="32">
        <f t="shared" si="63"/>
        <v>2304708074.3606124</v>
      </c>
      <c r="AK193" s="32">
        <f t="shared" si="63"/>
        <v>6478888754.3767967</v>
      </c>
      <c r="AL193" s="32">
        <f t="shared" si="63"/>
        <v>2038763217.2842679</v>
      </c>
      <c r="AM193" s="32">
        <f t="shared" si="63"/>
        <v>2374315189.4158945</v>
      </c>
      <c r="AN193" s="32">
        <f>AN191+AN192</f>
        <v>30388832037.237984</v>
      </c>
    </row>
    <row r="194" spans="2:40">
      <c r="E194" s="181">
        <v>3803815205</v>
      </c>
      <c r="F194" s="181">
        <v>4425893051</v>
      </c>
      <c r="G194" s="181">
        <v>2941150671</v>
      </c>
      <c r="H194" s="181">
        <v>1898654507</v>
      </c>
      <c r="I194" s="181">
        <v>4003499103</v>
      </c>
      <c r="J194" s="72">
        <v>1805784554.7902975</v>
      </c>
      <c r="K194" s="72">
        <v>2717061157.3657265</v>
      </c>
      <c r="L194" s="72">
        <v>2645612492.960506</v>
      </c>
      <c r="M194" s="72">
        <v>3726341388.1666074</v>
      </c>
      <c r="N194" s="72">
        <v>3454398664.1731353</v>
      </c>
      <c r="O194" s="72">
        <v>3899089559.7864056</v>
      </c>
      <c r="P194" s="72">
        <v>3000338994.7974501</v>
      </c>
      <c r="Q194" s="19">
        <f>SUM(E194:P194)</f>
        <v>38321639349.040123</v>
      </c>
      <c r="R194" s="19">
        <v>41819478690</v>
      </c>
      <c r="AB194" s="72">
        <v>3803815205</v>
      </c>
      <c r="AC194" s="72">
        <v>4425893051</v>
      </c>
      <c r="AD194" s="72">
        <v>2941150671</v>
      </c>
      <c r="AE194" s="72">
        <v>1898654507</v>
      </c>
      <c r="AF194" s="72">
        <v>4003499103</v>
      </c>
      <c r="AG194" s="72"/>
      <c r="AH194" s="72"/>
      <c r="AI194" s="72"/>
      <c r="AJ194" s="72"/>
      <c r="AK194" s="72"/>
      <c r="AL194" s="72"/>
      <c r="AM194" s="72"/>
      <c r="AN194" s="19"/>
    </row>
    <row r="195" spans="2:40">
      <c r="E195" s="178">
        <v>3803815205</v>
      </c>
      <c r="F195" s="178">
        <v>4425893051</v>
      </c>
      <c r="G195" s="178">
        <v>2941150671</v>
      </c>
      <c r="H195" s="178">
        <v>1898654507</v>
      </c>
      <c r="I195" s="178">
        <v>4003499103</v>
      </c>
      <c r="J195" s="178">
        <f>ROUND(J194+$R$196,)</f>
        <v>2305475889</v>
      </c>
      <c r="K195" s="178">
        <f t="shared" ref="K195:P195" si="64">ROUND(K194+$R$196,)</f>
        <v>3216752492</v>
      </c>
      <c r="L195" s="178">
        <f t="shared" si="64"/>
        <v>3145303827</v>
      </c>
      <c r="M195" s="178">
        <f t="shared" si="64"/>
        <v>4226032723</v>
      </c>
      <c r="N195" s="178">
        <f t="shared" si="64"/>
        <v>3954089999</v>
      </c>
      <c r="O195" s="178">
        <f t="shared" si="64"/>
        <v>4398780894</v>
      </c>
      <c r="P195" s="178">
        <f t="shared" si="64"/>
        <v>3500030329</v>
      </c>
      <c r="Q195" s="19">
        <f>SUM(E195:P195)</f>
        <v>41819478690</v>
      </c>
      <c r="R195" s="19">
        <v>3497839340.9598799</v>
      </c>
      <c r="AB195" s="178"/>
      <c r="AC195" s="178"/>
      <c r="AD195" s="178"/>
      <c r="AE195" s="178"/>
      <c r="AF195" s="178"/>
      <c r="AG195" s="178"/>
      <c r="AH195" s="178"/>
      <c r="AI195" s="178"/>
      <c r="AJ195" s="178"/>
      <c r="AK195" s="178"/>
      <c r="AL195" s="178"/>
      <c r="AM195" s="178"/>
      <c r="AN195" s="19"/>
    </row>
    <row r="196" spans="2:40">
      <c r="E196" s="178"/>
      <c r="F196" s="178"/>
      <c r="G196" s="178"/>
      <c r="H196" s="178"/>
      <c r="I196" s="178"/>
      <c r="J196" s="179"/>
      <c r="K196" s="179"/>
      <c r="L196" s="179"/>
      <c r="M196" s="179"/>
      <c r="N196" s="179"/>
      <c r="O196" s="179"/>
      <c r="P196" s="179"/>
      <c r="Q196" s="19"/>
      <c r="R196" s="107">
        <f>R195/7</f>
        <v>499691334.42284</v>
      </c>
      <c r="AB196" s="178"/>
      <c r="AC196" s="178"/>
      <c r="AD196" s="178"/>
      <c r="AE196" s="178"/>
      <c r="AF196" s="178"/>
      <c r="AG196" s="178"/>
      <c r="AH196" s="178"/>
      <c r="AI196" s="178"/>
      <c r="AJ196" s="178"/>
      <c r="AK196" s="178"/>
      <c r="AL196" s="178"/>
      <c r="AM196" s="178"/>
      <c r="AN196" s="19"/>
    </row>
    <row r="197" spans="2:40"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9"/>
      <c r="AB197" s="178"/>
      <c r="AC197" s="178"/>
      <c r="AD197" s="178"/>
      <c r="AE197" s="178"/>
      <c r="AF197" s="178"/>
      <c r="AG197" s="178"/>
      <c r="AH197" s="178"/>
      <c r="AI197" s="178"/>
      <c r="AJ197" s="178"/>
      <c r="AK197" s="178"/>
      <c r="AL197" s="178"/>
      <c r="AM197" s="178"/>
      <c r="AN197" s="19"/>
    </row>
    <row r="198" spans="2:40"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R198" s="54"/>
      <c r="T198" s="39"/>
      <c r="U198" s="122"/>
      <c r="V198" s="121"/>
      <c r="W198" s="123"/>
      <c r="X198" s="120"/>
    </row>
    <row r="199" spans="2:40">
      <c r="E199" s="66">
        <f t="shared" ref="E199:P200" si="65">E8+E30+E52+E74+E98+E120+E142+E164+E172+E180</f>
        <v>71</v>
      </c>
      <c r="F199" s="66">
        <f t="shared" si="65"/>
        <v>36</v>
      </c>
      <c r="G199" s="66">
        <f t="shared" si="65"/>
        <v>261</v>
      </c>
      <c r="H199" s="66">
        <f t="shared" si="65"/>
        <v>40</v>
      </c>
      <c r="I199" s="66">
        <f t="shared" si="65"/>
        <v>38</v>
      </c>
      <c r="J199" s="66">
        <f t="shared" si="65"/>
        <v>38</v>
      </c>
      <c r="K199" s="66">
        <f t="shared" si="65"/>
        <v>40</v>
      </c>
      <c r="L199" s="66">
        <f t="shared" si="65"/>
        <v>38</v>
      </c>
      <c r="M199" s="66">
        <f t="shared" si="65"/>
        <v>37</v>
      </c>
      <c r="N199" s="66">
        <f t="shared" si="65"/>
        <v>44</v>
      </c>
      <c r="O199" s="66">
        <f t="shared" si="65"/>
        <v>35</v>
      </c>
      <c r="P199" s="66">
        <f t="shared" si="65"/>
        <v>59</v>
      </c>
      <c r="Q199" s="39">
        <f>SUM(E199:P199)</f>
        <v>737</v>
      </c>
      <c r="T199" s="39"/>
      <c r="U199" s="122"/>
      <c r="V199" s="120"/>
      <c r="W199" s="123"/>
      <c r="X199" s="120"/>
      <c r="AB199" s="66">
        <f t="shared" ref="AB199:AM200" si="66">AB8+AB30+AB52+AB98+AB120+AB142+AB164+AB172+AB180</f>
        <v>70</v>
      </c>
      <c r="AC199" s="66">
        <f t="shared" si="66"/>
        <v>31</v>
      </c>
      <c r="AD199" s="66">
        <f t="shared" si="66"/>
        <v>183</v>
      </c>
      <c r="AE199" s="66">
        <f t="shared" si="66"/>
        <v>38</v>
      </c>
      <c r="AF199" s="66">
        <f t="shared" si="66"/>
        <v>34</v>
      </c>
      <c r="AG199" s="66">
        <f t="shared" si="66"/>
        <v>35</v>
      </c>
      <c r="AH199" s="66">
        <f t="shared" si="66"/>
        <v>68</v>
      </c>
      <c r="AI199" s="66">
        <f t="shared" si="66"/>
        <v>76</v>
      </c>
      <c r="AJ199" s="66">
        <f t="shared" si="66"/>
        <v>63</v>
      </c>
      <c r="AK199" s="66">
        <f t="shared" si="66"/>
        <v>123</v>
      </c>
      <c r="AL199" s="66">
        <f t="shared" si="66"/>
        <v>57</v>
      </c>
      <c r="AM199" s="66">
        <f t="shared" si="66"/>
        <v>92</v>
      </c>
      <c r="AN199" s="39">
        <f>SUM(AB199:AM199)</f>
        <v>870</v>
      </c>
    </row>
    <row r="200" spans="2:40">
      <c r="E200" s="66">
        <f t="shared" si="65"/>
        <v>545056</v>
      </c>
      <c r="F200" s="66">
        <f t="shared" si="65"/>
        <v>367330</v>
      </c>
      <c r="G200" s="66">
        <f t="shared" si="65"/>
        <v>2214642</v>
      </c>
      <c r="H200" s="66">
        <f t="shared" si="65"/>
        <v>325814</v>
      </c>
      <c r="I200" s="66">
        <f t="shared" si="65"/>
        <v>303127.70238095237</v>
      </c>
      <c r="J200" s="66">
        <f t="shared" si="65"/>
        <v>321807.06666666671</v>
      </c>
      <c r="K200" s="66">
        <f t="shared" si="65"/>
        <v>329701.85714285716</v>
      </c>
      <c r="L200" s="66">
        <f t="shared" si="65"/>
        <v>378903.09956709959</v>
      </c>
      <c r="M200" s="66">
        <f t="shared" si="65"/>
        <v>275153.69523809524</v>
      </c>
      <c r="N200" s="66">
        <f t="shared" si="65"/>
        <v>361116.4</v>
      </c>
      <c r="O200" s="66">
        <f t="shared" si="65"/>
        <v>271545.47222222225</v>
      </c>
      <c r="P200" s="66">
        <f t="shared" si="65"/>
        <v>454024.04502164503</v>
      </c>
      <c r="Q200" s="39">
        <f t="shared" ref="Q200:Q205" si="67">SUM(E200:P200)</f>
        <v>6148221.3382395385</v>
      </c>
      <c r="AB200" s="66">
        <f t="shared" si="66"/>
        <v>526534</v>
      </c>
      <c r="AC200" s="66">
        <f t="shared" si="66"/>
        <v>300003.40000000002</v>
      </c>
      <c r="AD200" s="66">
        <f t="shared" si="66"/>
        <v>1472073.2307692308</v>
      </c>
      <c r="AE200" s="66">
        <f t="shared" si="66"/>
        <v>408937.5</v>
      </c>
      <c r="AF200" s="66">
        <f t="shared" si="66"/>
        <v>293490</v>
      </c>
      <c r="AG200" s="66">
        <f t="shared" si="66"/>
        <v>375102.4</v>
      </c>
      <c r="AH200" s="66">
        <f t="shared" si="66"/>
        <v>328103.40000000002</v>
      </c>
      <c r="AI200" s="66">
        <f t="shared" si="66"/>
        <v>394466.5</v>
      </c>
      <c r="AJ200" s="66">
        <f t="shared" si="66"/>
        <v>287337</v>
      </c>
      <c r="AK200" s="66">
        <f t="shared" si="66"/>
        <v>775847.7</v>
      </c>
      <c r="AL200" s="66">
        <f t="shared" si="66"/>
        <v>288854.25</v>
      </c>
      <c r="AM200" s="66">
        <f t="shared" si="66"/>
        <v>572048.4</v>
      </c>
      <c r="AN200" s="39">
        <f t="shared" ref="AN200:AN205" si="68">SUM(AB200:AM200)</f>
        <v>6022797.7807692317</v>
      </c>
    </row>
    <row r="201" spans="2:40">
      <c r="B201" t="s">
        <v>100</v>
      </c>
      <c r="C201" s="40" t="s">
        <v>20</v>
      </c>
      <c r="E201" s="66">
        <f t="shared" ref="E201:P202" si="69">E16+E34+E64+E76+E102+E122+E146+E166+E174+E182</f>
        <v>179.2021</v>
      </c>
      <c r="F201" s="66">
        <f t="shared" si="69"/>
        <v>174.3588</v>
      </c>
      <c r="G201" s="66">
        <f t="shared" si="69"/>
        <v>111.3959</v>
      </c>
      <c r="H201" s="66">
        <f t="shared" si="69"/>
        <v>193.732</v>
      </c>
      <c r="I201" s="66">
        <f t="shared" si="69"/>
        <v>184.0454</v>
      </c>
      <c r="J201" s="66">
        <f t="shared" si="69"/>
        <v>184.0454</v>
      </c>
      <c r="K201" s="66">
        <f t="shared" si="69"/>
        <v>193.732</v>
      </c>
      <c r="L201" s="66">
        <f t="shared" si="69"/>
        <v>184.0454</v>
      </c>
      <c r="M201" s="66">
        <f t="shared" si="69"/>
        <v>179.2021</v>
      </c>
      <c r="N201" s="66">
        <f t="shared" si="69"/>
        <v>213.1052</v>
      </c>
      <c r="O201" s="66">
        <f t="shared" si="69"/>
        <v>169.5155</v>
      </c>
      <c r="P201" s="66">
        <f t="shared" si="69"/>
        <v>116.23920000000001</v>
      </c>
      <c r="Q201" s="39">
        <f t="shared" si="67"/>
        <v>2082.6190000000001</v>
      </c>
      <c r="AB201" s="66">
        <f t="shared" ref="AB201:AM202" si="70">AB16+AB34+AB64+AB102+AB122+AB146+AB166+AB174+AB182</f>
        <v>169.32461700000002</v>
      </c>
      <c r="AC201" s="66">
        <f t="shared" si="70"/>
        <v>141.86657099999999</v>
      </c>
      <c r="AD201" s="66">
        <f t="shared" si="70"/>
        <v>196.78266300000001</v>
      </c>
      <c r="AE201" s="66">
        <f t="shared" si="70"/>
        <v>173.900958</v>
      </c>
      <c r="AF201" s="66">
        <f t="shared" si="70"/>
        <v>155.59559400000001</v>
      </c>
      <c r="AG201" s="66">
        <f t="shared" si="70"/>
        <v>160.17193499999999</v>
      </c>
      <c r="AH201" s="66">
        <f t="shared" si="70"/>
        <v>311.19118800000001</v>
      </c>
      <c r="AI201" s="66">
        <f t="shared" si="70"/>
        <v>347.80191600000001</v>
      </c>
      <c r="AJ201" s="66">
        <f t="shared" si="70"/>
        <v>288.309483</v>
      </c>
      <c r="AK201" s="66">
        <f t="shared" si="70"/>
        <v>562.88994300000013</v>
      </c>
      <c r="AL201" s="66">
        <f t="shared" si="70"/>
        <v>260.85143700000003</v>
      </c>
      <c r="AM201" s="66">
        <f t="shared" si="70"/>
        <v>260.85143700000003</v>
      </c>
      <c r="AN201" s="39">
        <f t="shared" si="68"/>
        <v>3029.5377420000004</v>
      </c>
    </row>
    <row r="202" spans="2:40">
      <c r="C202" s="40" t="s">
        <v>21</v>
      </c>
      <c r="E202" s="66">
        <f t="shared" si="69"/>
        <v>1481032.7070000004</v>
      </c>
      <c r="F202" s="66">
        <f t="shared" si="69"/>
        <v>1779089.3890000002</v>
      </c>
      <c r="G202" s="66">
        <f t="shared" si="69"/>
        <v>931681.40450000018</v>
      </c>
      <c r="H202" s="66">
        <f t="shared" si="69"/>
        <v>1578014.9461999999</v>
      </c>
      <c r="I202" s="66">
        <f t="shared" si="69"/>
        <v>1468138.4009416669</v>
      </c>
      <c r="J202" s="66">
        <f t="shared" si="69"/>
        <v>1558608.1659866669</v>
      </c>
      <c r="K202" s="66">
        <f t="shared" si="69"/>
        <v>1596845.0047000004</v>
      </c>
      <c r="L202" s="66">
        <f t="shared" si="69"/>
        <v>1835141.3821333332</v>
      </c>
      <c r="M202" s="66">
        <f t="shared" si="69"/>
        <v>1332651.8921466668</v>
      </c>
      <c r="N202" s="66">
        <f t="shared" si="69"/>
        <v>1748995.06012</v>
      </c>
      <c r="O202" s="66">
        <f t="shared" si="69"/>
        <v>1315176.185613889</v>
      </c>
      <c r="P202" s="66">
        <f t="shared" si="69"/>
        <v>979320.90841999999</v>
      </c>
      <c r="Q202" s="39">
        <f t="shared" si="67"/>
        <v>17604695.446762223</v>
      </c>
      <c r="T202" s="39"/>
      <c r="U202" s="39"/>
      <c r="V202" s="39"/>
      <c r="W202" s="39"/>
      <c r="X202" s="39"/>
      <c r="Y202" s="39"/>
      <c r="AB202" s="66">
        <f t="shared" si="70"/>
        <v>1323024.7594410002</v>
      </c>
      <c r="AC202" s="66">
        <f t="shared" si="70"/>
        <v>1372917.8595594002</v>
      </c>
      <c r="AD202" s="66">
        <f t="shared" si="70"/>
        <v>1661033.3057010002</v>
      </c>
      <c r="AE202" s="66">
        <f t="shared" si="70"/>
        <v>1871437.4476875002</v>
      </c>
      <c r="AF202" s="66">
        <f t="shared" si="70"/>
        <v>1343110.3200900001</v>
      </c>
      <c r="AG202" s="66">
        <f t="shared" si="70"/>
        <v>1716596.4923184002</v>
      </c>
      <c r="AH202" s="66">
        <f t="shared" si="70"/>
        <v>1501513.0416594003</v>
      </c>
      <c r="AI202" s="66">
        <f t="shared" si="70"/>
        <v>1805213.2170765002</v>
      </c>
      <c r="AJ202" s="66">
        <f t="shared" si="70"/>
        <v>1314952.0939170001</v>
      </c>
      <c r="AK202" s="66">
        <f t="shared" si="70"/>
        <v>3550543.6392657002</v>
      </c>
      <c r="AL202" s="66">
        <f t="shared" si="70"/>
        <v>1321895.54729925</v>
      </c>
      <c r="AM202" s="66">
        <f t="shared" si="70"/>
        <v>1465460.6272614002</v>
      </c>
      <c r="AN202" s="39">
        <f t="shared" si="68"/>
        <v>20247698.351276554</v>
      </c>
    </row>
    <row r="203" spans="2:40">
      <c r="E203" s="66">
        <f t="shared" ref="E203:P204" si="71">E26+E48+E70+E92+E116+E138+E160+E176+E184</f>
        <v>1769354418.9628999</v>
      </c>
      <c r="F203" s="66">
        <f t="shared" si="71"/>
        <v>2258923101.7584004</v>
      </c>
      <c r="G203" s="66">
        <f t="shared" si="71"/>
        <v>1067624088.5002</v>
      </c>
      <c r="H203" s="66">
        <f t="shared" si="71"/>
        <v>1975895973.9596002</v>
      </c>
      <c r="I203" s="66">
        <f t="shared" si="71"/>
        <v>1941652046.0953002</v>
      </c>
      <c r="J203" s="66">
        <f t="shared" si="71"/>
        <v>2002258249.5916002</v>
      </c>
      <c r="K203" s="66">
        <f t="shared" si="71"/>
        <v>2036067864.2150002</v>
      </c>
      <c r="L203" s="66">
        <f t="shared" si="71"/>
        <v>2131234737.7089999</v>
      </c>
      <c r="M203" s="66">
        <f t="shared" si="71"/>
        <v>1788949732.7009001</v>
      </c>
      <c r="N203" s="66">
        <f t="shared" si="71"/>
        <v>2246964606.5944004</v>
      </c>
      <c r="O203" s="66">
        <f t="shared" si="71"/>
        <v>1801542850.3072002</v>
      </c>
      <c r="P203" s="66">
        <f t="shared" si="71"/>
        <v>1077805431.5952001</v>
      </c>
      <c r="Q203" s="39">
        <f t="shared" si="67"/>
        <v>22098273101.989704</v>
      </c>
      <c r="T203" s="39"/>
      <c r="U203" s="39"/>
      <c r="V203" s="39"/>
      <c r="W203" s="39"/>
      <c r="X203" s="39"/>
      <c r="Y203" s="39"/>
      <c r="AB203" s="66">
        <f t="shared" ref="AB203:AM204" si="72">AB26+AB48+AB70+AB116+AB138+AB160+AB176+AB184</f>
        <v>2379463716.0973144</v>
      </c>
      <c r="AC203" s="66">
        <f t="shared" si="72"/>
        <v>2008395014.307528</v>
      </c>
      <c r="AD203" s="66">
        <f t="shared" si="72"/>
        <v>1485893751.8566682</v>
      </c>
      <c r="AE203" s="66">
        <f t="shared" si="72"/>
        <v>1805740795.9723444</v>
      </c>
      <c r="AF203" s="66">
        <f t="shared" si="72"/>
        <v>1529282901.2297761</v>
      </c>
      <c r="AG203" s="66">
        <f t="shared" si="72"/>
        <v>1539035450.0080562</v>
      </c>
      <c r="AH203" s="66">
        <f t="shared" si="72"/>
        <v>2418808414.2794886</v>
      </c>
      <c r="AI203" s="66">
        <f t="shared" si="72"/>
        <v>2975134346.6349125</v>
      </c>
      <c r="AJ203" s="66">
        <f t="shared" si="72"/>
        <v>2218285690.8338284</v>
      </c>
      <c r="AK203" s="66">
        <f t="shared" si="72"/>
        <v>6070663584.8480158</v>
      </c>
      <c r="AL203" s="66">
        <f t="shared" si="72"/>
        <v>1942159233.0118439</v>
      </c>
      <c r="AM203" s="66">
        <f t="shared" si="72"/>
        <v>2258519050.3694282</v>
      </c>
      <c r="AN203" s="39">
        <f t="shared" si="68"/>
        <v>28631381949.449203</v>
      </c>
    </row>
    <row r="204" spans="2:40">
      <c r="E204" s="66">
        <f t="shared" si="71"/>
        <v>115881467.56571001</v>
      </c>
      <c r="F204" s="66">
        <f t="shared" si="71"/>
        <v>155270192.98606199</v>
      </c>
      <c r="G204" s="66">
        <f t="shared" si="71"/>
        <v>78558083.834999993</v>
      </c>
      <c r="H204" s="66">
        <f t="shared" si="71"/>
        <v>130555309.085586</v>
      </c>
      <c r="I204" s="66">
        <f t="shared" si="71"/>
        <v>117681273.38976619</v>
      </c>
      <c r="J204" s="66">
        <f t="shared" si="71"/>
        <v>128303442.63318121</v>
      </c>
      <c r="K204" s="66">
        <f t="shared" si="71"/>
        <v>144655173.39881301</v>
      </c>
      <c r="L204" s="66">
        <f t="shared" si="71"/>
        <v>161308645.47820872</v>
      </c>
      <c r="M204" s="66">
        <f t="shared" si="71"/>
        <v>106766608.82601267</v>
      </c>
      <c r="N204" s="66">
        <f t="shared" si="71"/>
        <v>143321507.99078932</v>
      </c>
      <c r="O204" s="66">
        <f t="shared" si="71"/>
        <v>112657584.87538256</v>
      </c>
      <c r="P204" s="66">
        <f t="shared" si="71"/>
        <v>80388869.686086014</v>
      </c>
      <c r="Q204" s="39">
        <f t="shared" si="67"/>
        <v>1475348159.7505977</v>
      </c>
      <c r="Y204" s="39"/>
      <c r="AB204" s="66">
        <f t="shared" si="72"/>
        <v>115455494.61931714</v>
      </c>
      <c r="AC204" s="66">
        <f t="shared" si="72"/>
        <v>106786187.44759353</v>
      </c>
      <c r="AD204" s="66">
        <f t="shared" si="72"/>
        <v>153652543.49712038</v>
      </c>
      <c r="AE204" s="66">
        <f t="shared" si="72"/>
        <v>173922260.5927746</v>
      </c>
      <c r="AF204" s="66">
        <f t="shared" si="72"/>
        <v>101147185.47025552</v>
      </c>
      <c r="AG204" s="66">
        <f t="shared" si="72"/>
        <v>150643100.46845135</v>
      </c>
      <c r="AH204" s="66">
        <f t="shared" si="72"/>
        <v>113195013.08748403</v>
      </c>
      <c r="AI204" s="66">
        <f t="shared" si="72"/>
        <v>135600626.23132873</v>
      </c>
      <c r="AJ204" s="66">
        <f t="shared" si="72"/>
        <v>86422383.526783928</v>
      </c>
      <c r="AK204" s="66">
        <f t="shared" si="72"/>
        <v>408225169.52878124</v>
      </c>
      <c r="AL204" s="66">
        <f t="shared" si="72"/>
        <v>96603984.272424102</v>
      </c>
      <c r="AM204" s="66">
        <f t="shared" si="72"/>
        <v>115796139.04646635</v>
      </c>
      <c r="AN204" s="39">
        <f t="shared" si="68"/>
        <v>1757450087.7887807</v>
      </c>
    </row>
    <row r="205" spans="2:40">
      <c r="E205" s="39">
        <f>E203+E204</f>
        <v>1885235886.52861</v>
      </c>
      <c r="F205" s="39">
        <f t="shared" ref="F205:P205" si="73">F203+F204</f>
        <v>2414193294.7444625</v>
      </c>
      <c r="G205" s="39">
        <f t="shared" si="73"/>
        <v>1146182172.3352001</v>
      </c>
      <c r="H205" s="39">
        <f t="shared" si="73"/>
        <v>2106451283.0451863</v>
      </c>
      <c r="I205" s="39">
        <f t="shared" si="73"/>
        <v>2059333319.4850664</v>
      </c>
      <c r="J205" s="39">
        <f t="shared" si="73"/>
        <v>2130561692.2247815</v>
      </c>
      <c r="K205" s="39">
        <f t="shared" si="73"/>
        <v>2180723037.6138134</v>
      </c>
      <c r="L205" s="39">
        <f t="shared" si="73"/>
        <v>2292543383.1872087</v>
      </c>
      <c r="M205" s="39">
        <f t="shared" si="73"/>
        <v>1895716341.5269127</v>
      </c>
      <c r="N205" s="39">
        <f t="shared" si="73"/>
        <v>2390286114.5851898</v>
      </c>
      <c r="O205" s="39">
        <f t="shared" si="73"/>
        <v>1914200435.1825829</v>
      </c>
      <c r="P205" s="39">
        <f t="shared" si="73"/>
        <v>1158194301.281286</v>
      </c>
      <c r="Q205" s="39">
        <f t="shared" si="67"/>
        <v>23573621261.740295</v>
      </c>
      <c r="AB205" s="39">
        <f>AB203+AB204</f>
        <v>2494919210.7166314</v>
      </c>
      <c r="AC205" s="39">
        <f t="shared" ref="AC205:AM205" si="74">AC203+AC204</f>
        <v>2115181201.7551215</v>
      </c>
      <c r="AD205" s="39">
        <f t="shared" si="74"/>
        <v>1639546295.3537886</v>
      </c>
      <c r="AE205" s="39">
        <f t="shared" si="74"/>
        <v>1979663056.565119</v>
      </c>
      <c r="AF205" s="39">
        <f t="shared" si="74"/>
        <v>1630430086.7000318</v>
      </c>
      <c r="AG205" s="39">
        <f t="shared" si="74"/>
        <v>1689678550.4765074</v>
      </c>
      <c r="AH205" s="39">
        <f t="shared" si="74"/>
        <v>2532003427.3669724</v>
      </c>
      <c r="AI205" s="39">
        <f t="shared" si="74"/>
        <v>3110734972.8662415</v>
      </c>
      <c r="AJ205" s="39">
        <f t="shared" si="74"/>
        <v>2304708074.3606124</v>
      </c>
      <c r="AK205" s="39">
        <f t="shared" si="74"/>
        <v>6478888754.3767967</v>
      </c>
      <c r="AL205" s="39">
        <f t="shared" si="74"/>
        <v>2038763217.2842679</v>
      </c>
      <c r="AM205" s="39">
        <f t="shared" si="74"/>
        <v>2374315189.4158945</v>
      </c>
      <c r="AN205" s="39">
        <f t="shared" si="68"/>
        <v>30388832037.237984</v>
      </c>
    </row>
    <row r="206" spans="2:40">
      <c r="Q206" s="39"/>
    </row>
    <row r="211" spans="2:39">
      <c r="B211" t="s">
        <v>100</v>
      </c>
      <c r="C211" t="s">
        <v>135</v>
      </c>
      <c r="E211" s="39">
        <f t="shared" ref="E211:P212" si="75">E16+E34+E64</f>
        <v>58.119600000000005</v>
      </c>
      <c r="F211" s="39">
        <f t="shared" si="75"/>
        <v>77.492800000000003</v>
      </c>
      <c r="G211" s="39">
        <f t="shared" si="75"/>
        <v>38.746400000000001</v>
      </c>
      <c r="H211" s="39">
        <f t="shared" si="75"/>
        <v>67.806200000000004</v>
      </c>
      <c r="I211" s="39">
        <f t="shared" si="75"/>
        <v>62.962900000000005</v>
      </c>
      <c r="J211" s="39">
        <f t="shared" si="75"/>
        <v>67.806200000000004</v>
      </c>
      <c r="K211" s="39">
        <f t="shared" si="75"/>
        <v>72.649500000000003</v>
      </c>
      <c r="L211" s="39">
        <f t="shared" si="75"/>
        <v>72.649500000000003</v>
      </c>
      <c r="M211" s="39">
        <f t="shared" si="75"/>
        <v>58.119600000000005</v>
      </c>
      <c r="N211" s="39">
        <f t="shared" si="75"/>
        <v>77.492800000000003</v>
      </c>
      <c r="O211" s="39">
        <f t="shared" si="75"/>
        <v>62.962900000000005</v>
      </c>
      <c r="P211" s="39">
        <f t="shared" si="75"/>
        <v>38.746400000000001</v>
      </c>
      <c r="Z211" t="s">
        <v>135</v>
      </c>
      <c r="AB211" s="39">
        <f t="shared" ref="AB211:AM212" si="76">AB16+AB34+AB64</f>
        <v>82.374138000000016</v>
      </c>
      <c r="AC211" s="39">
        <f t="shared" si="76"/>
        <v>68.645115000000004</v>
      </c>
      <c r="AD211" s="39">
        <f t="shared" si="76"/>
        <v>50.339751</v>
      </c>
      <c r="AE211" s="39">
        <f t="shared" si="76"/>
        <v>64.068774000000005</v>
      </c>
      <c r="AF211" s="39">
        <f t="shared" si="76"/>
        <v>54.916092000000006</v>
      </c>
      <c r="AG211" s="39">
        <f t="shared" si="76"/>
        <v>50.339751000000007</v>
      </c>
      <c r="AH211" s="39">
        <f t="shared" si="76"/>
        <v>73.221456000000003</v>
      </c>
      <c r="AI211" s="39">
        <f t="shared" si="76"/>
        <v>91.526820000000015</v>
      </c>
      <c r="AJ211" s="39">
        <f t="shared" si="76"/>
        <v>59.492433000000005</v>
      </c>
      <c r="AK211" s="39">
        <f t="shared" si="76"/>
        <v>315.76752900000008</v>
      </c>
      <c r="AL211" s="39">
        <f t="shared" si="76"/>
        <v>59.492433000000005</v>
      </c>
      <c r="AM211" s="39">
        <f t="shared" si="76"/>
        <v>68.645115000000004</v>
      </c>
    </row>
    <row r="212" spans="2:39">
      <c r="E212" s="39">
        <f t="shared" si="75"/>
        <v>1053064.1891000001</v>
      </c>
      <c r="F212" s="39">
        <f t="shared" si="75"/>
        <v>1477477.7248</v>
      </c>
      <c r="G212" s="39">
        <f t="shared" si="75"/>
        <v>702399.58250000002</v>
      </c>
      <c r="H212" s="39">
        <f t="shared" si="75"/>
        <v>1143270.6516</v>
      </c>
      <c r="I212" s="39">
        <f t="shared" si="75"/>
        <v>1043138.6529666667</v>
      </c>
      <c r="J212" s="39">
        <f t="shared" si="75"/>
        <v>1186201.6628</v>
      </c>
      <c r="K212" s="39">
        <f t="shared" si="75"/>
        <v>1276322.6756500001</v>
      </c>
      <c r="L212" s="39">
        <f t="shared" si="75"/>
        <v>1451407.1634333334</v>
      </c>
      <c r="M212" s="39">
        <f t="shared" si="75"/>
        <v>914547.10064666672</v>
      </c>
      <c r="N212" s="39">
        <f t="shared" si="75"/>
        <v>1297073.1948533333</v>
      </c>
      <c r="O212" s="39">
        <f t="shared" si="75"/>
        <v>1017775.5016916667</v>
      </c>
      <c r="P212" s="39">
        <f t="shared" si="75"/>
        <v>711628.00632000004</v>
      </c>
      <c r="AB212" s="39">
        <f t="shared" si="76"/>
        <v>989496.45102000004</v>
      </c>
      <c r="AC212" s="39">
        <f t="shared" si="76"/>
        <v>1067698.7965644002</v>
      </c>
      <c r="AD212" s="39">
        <f t="shared" si="76"/>
        <v>1313135.28654</v>
      </c>
      <c r="AE212" s="39">
        <f t="shared" si="76"/>
        <v>1517851.0366635001</v>
      </c>
      <c r="AF212" s="39">
        <f t="shared" si="76"/>
        <v>901589.51675099996</v>
      </c>
      <c r="AG212" s="39">
        <f t="shared" si="76"/>
        <v>1380757.1316924002</v>
      </c>
      <c r="AH212" s="39">
        <f t="shared" si="76"/>
        <v>989891.8468824001</v>
      </c>
      <c r="AI212" s="39">
        <f t="shared" si="76"/>
        <v>1222910.4355545002</v>
      </c>
      <c r="AJ212" s="39">
        <f t="shared" si="76"/>
        <v>775804.20802500006</v>
      </c>
      <c r="AK212" s="39">
        <f t="shared" si="76"/>
        <v>2952498.2447037003</v>
      </c>
      <c r="AL212" s="39">
        <f t="shared" si="76"/>
        <v>868155.91349025001</v>
      </c>
      <c r="AM212" s="39">
        <f t="shared" si="76"/>
        <v>996252.96087240009</v>
      </c>
    </row>
    <row r="213" spans="2:39">
      <c r="C213" t="s">
        <v>136</v>
      </c>
      <c r="E213" s="39">
        <f t="shared" ref="E213:P214" si="77">E102+E122+E146+E166+E174+E182</f>
        <v>116.23920000000001</v>
      </c>
      <c r="F213" s="39">
        <f t="shared" si="77"/>
        <v>96.866000000000014</v>
      </c>
      <c r="G213" s="39">
        <f t="shared" si="77"/>
        <v>72.649500000000003</v>
      </c>
      <c r="H213" s="39">
        <f t="shared" si="77"/>
        <v>125.92580000000001</v>
      </c>
      <c r="I213" s="39">
        <f t="shared" si="77"/>
        <v>116.23920000000001</v>
      </c>
      <c r="J213" s="39">
        <f t="shared" si="77"/>
        <v>116.23920000000001</v>
      </c>
      <c r="K213" s="39">
        <f t="shared" si="77"/>
        <v>121.08250000000001</v>
      </c>
      <c r="L213" s="39">
        <f t="shared" si="77"/>
        <v>111.39590000000001</v>
      </c>
      <c r="M213" s="39">
        <f t="shared" si="77"/>
        <v>116.23920000000001</v>
      </c>
      <c r="N213" s="39">
        <f t="shared" si="77"/>
        <v>135.61240000000001</v>
      </c>
      <c r="O213" s="39">
        <f t="shared" si="77"/>
        <v>106.55260000000001</v>
      </c>
      <c r="P213" s="39">
        <f t="shared" si="77"/>
        <v>77.492800000000017</v>
      </c>
      <c r="Z213" t="s">
        <v>136</v>
      </c>
      <c r="AB213" s="39">
        <f t="shared" ref="AB213:AM214" si="78">AB102+AB122+AB146+AB166+AB174+AB182</f>
        <v>86.950479000000001</v>
      </c>
      <c r="AC213" s="39">
        <f t="shared" si="78"/>
        <v>73.221456000000003</v>
      </c>
      <c r="AD213" s="39">
        <f t="shared" si="78"/>
        <v>146.44291200000001</v>
      </c>
      <c r="AE213" s="39">
        <f t="shared" si="78"/>
        <v>109.83218400000001</v>
      </c>
      <c r="AF213" s="39">
        <f t="shared" si="78"/>
        <v>100.67950200000001</v>
      </c>
      <c r="AG213" s="39">
        <f t="shared" si="78"/>
        <v>109.83218400000001</v>
      </c>
      <c r="AH213" s="39">
        <f t="shared" si="78"/>
        <v>237.96973200000002</v>
      </c>
      <c r="AI213" s="39">
        <f t="shared" si="78"/>
        <v>256.27509600000002</v>
      </c>
      <c r="AJ213" s="39">
        <f t="shared" si="78"/>
        <v>228.81704999999999</v>
      </c>
      <c r="AK213" s="39">
        <f t="shared" si="78"/>
        <v>247.12241399999999</v>
      </c>
      <c r="AL213" s="39">
        <f t="shared" si="78"/>
        <v>201.35900400000003</v>
      </c>
      <c r="AM213" s="39">
        <f t="shared" si="78"/>
        <v>192.206322</v>
      </c>
    </row>
    <row r="214" spans="2:39">
      <c r="E214" s="39">
        <f t="shared" si="77"/>
        <v>407854.29300000006</v>
      </c>
      <c r="F214" s="39">
        <f t="shared" si="77"/>
        <v>301611.6642</v>
      </c>
      <c r="G214" s="39">
        <f t="shared" si="77"/>
        <v>229281.82199999999</v>
      </c>
      <c r="H214" s="39">
        <f t="shared" si="77"/>
        <v>434744.29460000002</v>
      </c>
      <c r="I214" s="39">
        <f t="shared" si="77"/>
        <v>404885.52307500003</v>
      </c>
      <c r="J214" s="39">
        <f t="shared" si="77"/>
        <v>372406.5031866667</v>
      </c>
      <c r="K214" s="39">
        <f t="shared" si="77"/>
        <v>320522.32905000006</v>
      </c>
      <c r="L214" s="39">
        <f t="shared" si="77"/>
        <v>383734.21869999997</v>
      </c>
      <c r="M214" s="39">
        <f t="shared" si="77"/>
        <v>397990.56660000002</v>
      </c>
      <c r="N214" s="39">
        <f t="shared" si="77"/>
        <v>451921.86526666675</v>
      </c>
      <c r="O214" s="39">
        <f t="shared" si="77"/>
        <v>297400.68392222223</v>
      </c>
      <c r="P214" s="39">
        <f t="shared" si="77"/>
        <v>267692.90210000001</v>
      </c>
      <c r="AB214" s="39">
        <f t="shared" si="78"/>
        <v>333528.30842100002</v>
      </c>
      <c r="AC214" s="39">
        <f t="shared" si="78"/>
        <v>305219.06299499999</v>
      </c>
      <c r="AD214" s="39">
        <f t="shared" si="78"/>
        <v>347898.01916100003</v>
      </c>
      <c r="AE214" s="39">
        <f t="shared" si="78"/>
        <v>353586.41102400003</v>
      </c>
      <c r="AF214" s="39">
        <f t="shared" si="78"/>
        <v>441520.80333900009</v>
      </c>
      <c r="AG214" s="39">
        <f t="shared" si="78"/>
        <v>335839.36062599998</v>
      </c>
      <c r="AH214" s="39">
        <f t="shared" si="78"/>
        <v>511621.19477700006</v>
      </c>
      <c r="AI214" s="39">
        <f t="shared" si="78"/>
        <v>582302.78152199998</v>
      </c>
      <c r="AJ214" s="39">
        <f t="shared" si="78"/>
        <v>539147.88589200005</v>
      </c>
      <c r="AK214" s="39">
        <f t="shared" si="78"/>
        <v>598045.39456200006</v>
      </c>
      <c r="AL214" s="39">
        <f t="shared" si="78"/>
        <v>453739.63380900002</v>
      </c>
      <c r="AM214" s="39">
        <f t="shared" si="78"/>
        <v>469207.66638900002</v>
      </c>
    </row>
  </sheetData>
  <mergeCells count="2">
    <mergeCell ref="C5:P5"/>
    <mergeCell ref="Z5:AM5"/>
  </mergeCells>
  <pageMargins left="0.7" right="0.7" top="0.75" bottom="0.75" header="0.3" footer="0.3"/>
  <pageSetup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1585-39A2-4ED9-95D3-30C991E1E5B8}">
  <sheetPr>
    <tabColor rgb="FFFFC000"/>
    <outlinePr summaryBelow="0" summaryRight="0"/>
  </sheetPr>
  <dimension ref="A1:AF72"/>
  <sheetViews>
    <sheetView showGridLines="0" topLeftCell="A8" workbookViewId="0">
      <selection activeCell="AD13" sqref="AD13"/>
    </sheetView>
  </sheetViews>
  <sheetFormatPr defaultColWidth="12.6640625" defaultRowHeight="15.75" customHeight="1"/>
  <cols>
    <col min="1" max="1" width="18.44140625" style="334" customWidth="1"/>
    <col min="2" max="2" width="12.6640625" style="334"/>
    <col min="3" max="14" width="15.77734375" style="334" customWidth="1"/>
    <col min="15" max="15" width="17" style="334" bestFit="1" customWidth="1"/>
    <col min="16" max="19" width="12.6640625" style="334"/>
    <col min="20" max="31" width="15.77734375" style="334" customWidth="1"/>
    <col min="32" max="32" width="17" style="334" bestFit="1" customWidth="1"/>
    <col min="33" max="16384" width="12.6640625" style="334"/>
  </cols>
  <sheetData>
    <row r="1" spans="1:32" ht="15.75" customHeight="1"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</row>
    <row r="2" spans="1:32" ht="15.75" customHeight="1"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</row>
    <row r="3" spans="1:32" ht="14.4">
      <c r="A3" s="336" t="s">
        <v>172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R3" s="336" t="s">
        <v>108</v>
      </c>
      <c r="S3" s="337"/>
      <c r="T3" s="337"/>
      <c r="U3" s="337"/>
      <c r="V3" s="337"/>
      <c r="W3" s="337"/>
      <c r="X3" s="337"/>
      <c r="Y3" s="337"/>
      <c r="Z3" s="337"/>
      <c r="AA3" s="337"/>
      <c r="AB3" s="337"/>
      <c r="AC3" s="337"/>
      <c r="AD3" s="337"/>
      <c r="AE3" s="337"/>
      <c r="AF3" s="337"/>
    </row>
    <row r="4" spans="1:32" ht="13.8">
      <c r="A4" s="338"/>
      <c r="B4" s="338"/>
      <c r="C4" s="339" t="s">
        <v>173</v>
      </c>
      <c r="D4" s="339" t="s">
        <v>174</v>
      </c>
      <c r="E4" s="339" t="s">
        <v>175</v>
      </c>
      <c r="F4" s="339" t="s">
        <v>176</v>
      </c>
      <c r="G4" s="339" t="s">
        <v>42</v>
      </c>
      <c r="H4" s="339" t="s">
        <v>177</v>
      </c>
      <c r="I4" s="339" t="s">
        <v>178</v>
      </c>
      <c r="J4" s="339" t="s">
        <v>179</v>
      </c>
      <c r="K4" s="339" t="s">
        <v>180</v>
      </c>
      <c r="L4" s="339" t="s">
        <v>181</v>
      </c>
      <c r="M4" s="339" t="s">
        <v>182</v>
      </c>
      <c r="N4" s="339" t="s">
        <v>183</v>
      </c>
      <c r="O4" s="340" t="s">
        <v>207</v>
      </c>
      <c r="R4" s="338"/>
      <c r="S4" s="338"/>
      <c r="T4" s="339" t="s">
        <v>173</v>
      </c>
      <c r="U4" s="339" t="s">
        <v>174</v>
      </c>
      <c r="V4" s="339" t="s">
        <v>175</v>
      </c>
      <c r="W4" s="339" t="s">
        <v>176</v>
      </c>
      <c r="X4" s="339" t="s">
        <v>42</v>
      </c>
      <c r="Y4" s="339" t="s">
        <v>177</v>
      </c>
      <c r="Z4" s="339" t="s">
        <v>178</v>
      </c>
      <c r="AA4" s="339" t="s">
        <v>179</v>
      </c>
      <c r="AB4" s="339" t="s">
        <v>180</v>
      </c>
      <c r="AC4" s="339" t="s">
        <v>181</v>
      </c>
      <c r="AD4" s="339" t="s">
        <v>182</v>
      </c>
      <c r="AE4" s="339" t="s">
        <v>183</v>
      </c>
      <c r="AF4" s="341" t="s">
        <v>207</v>
      </c>
    </row>
    <row r="5" spans="1:32" ht="13.8">
      <c r="A5" s="342" t="s">
        <v>184</v>
      </c>
      <c r="B5" s="343"/>
      <c r="C5" s="344"/>
      <c r="D5" s="344"/>
      <c r="E5" s="344"/>
      <c r="F5" s="344"/>
      <c r="G5" s="344"/>
      <c r="H5" s="344"/>
      <c r="I5" s="344"/>
      <c r="J5" s="344"/>
      <c r="K5" s="344"/>
      <c r="L5" s="344"/>
      <c r="M5" s="344"/>
      <c r="N5" s="344"/>
      <c r="O5" s="344"/>
      <c r="R5" s="345" t="s">
        <v>184</v>
      </c>
      <c r="S5" s="346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47"/>
    </row>
    <row r="6" spans="1:32" ht="13.8">
      <c r="A6" s="342" t="s">
        <v>51</v>
      </c>
      <c r="B6" s="342" t="s">
        <v>123</v>
      </c>
      <c r="C6" s="348">
        <v>2</v>
      </c>
      <c r="D6" s="348">
        <v>6</v>
      </c>
      <c r="E6" s="348">
        <v>2</v>
      </c>
      <c r="F6" s="349">
        <v>6</v>
      </c>
      <c r="G6" s="349">
        <v>5</v>
      </c>
      <c r="H6" s="349">
        <v>5</v>
      </c>
      <c r="I6" s="349">
        <v>6</v>
      </c>
      <c r="J6" s="349">
        <v>6</v>
      </c>
      <c r="K6" s="349">
        <v>5</v>
      </c>
      <c r="L6" s="349">
        <v>6</v>
      </c>
      <c r="M6" s="349">
        <v>5</v>
      </c>
      <c r="N6" s="348">
        <v>2</v>
      </c>
      <c r="O6" s="350">
        <f>SUM(C6:N6)</f>
        <v>56</v>
      </c>
      <c r="R6" s="345" t="s">
        <v>51</v>
      </c>
      <c r="S6" s="345" t="s">
        <v>123</v>
      </c>
      <c r="T6" s="351">
        <v>4</v>
      </c>
      <c r="U6" s="351">
        <v>5</v>
      </c>
      <c r="V6" s="351">
        <v>2</v>
      </c>
      <c r="W6" s="352">
        <v>4</v>
      </c>
      <c r="X6" s="352">
        <v>5</v>
      </c>
      <c r="Y6" s="352">
        <v>4</v>
      </c>
      <c r="Z6" s="352">
        <v>6</v>
      </c>
      <c r="AA6" s="352">
        <v>4</v>
      </c>
      <c r="AB6" s="352">
        <v>4</v>
      </c>
      <c r="AC6" s="352">
        <v>5</v>
      </c>
      <c r="AD6" s="351">
        <v>4</v>
      </c>
      <c r="AE6" s="351">
        <v>2</v>
      </c>
      <c r="AF6" s="353">
        <f>SUM(T6:AE6)</f>
        <v>49</v>
      </c>
    </row>
    <row r="7" spans="1:32" ht="13.8">
      <c r="A7" s="343"/>
      <c r="B7" s="342" t="s">
        <v>64</v>
      </c>
      <c r="C7" s="348">
        <v>57157</v>
      </c>
      <c r="D7" s="348">
        <v>104594</v>
      </c>
      <c r="E7" s="348">
        <v>57157</v>
      </c>
      <c r="F7" s="349">
        <v>104594</v>
      </c>
      <c r="G7" s="349">
        <v>87161.666666666657</v>
      </c>
      <c r="H7" s="349">
        <v>87161.666666666657</v>
      </c>
      <c r="I7" s="349">
        <v>135600.85714285716</v>
      </c>
      <c r="J7" s="349">
        <v>135600.85714285716</v>
      </c>
      <c r="K7" s="349">
        <v>87161.666666666657</v>
      </c>
      <c r="L7" s="349">
        <v>104594</v>
      </c>
      <c r="M7" s="349">
        <v>87161.666666666657</v>
      </c>
      <c r="N7" s="348">
        <v>57157</v>
      </c>
      <c r="O7" s="350">
        <f t="shared" ref="O7:O69" si="0">SUM(C7:N7)</f>
        <v>1105101.3809523808</v>
      </c>
      <c r="R7" s="346"/>
      <c r="S7" s="345" t="s">
        <v>64</v>
      </c>
      <c r="T7" s="351">
        <v>104314</v>
      </c>
      <c r="U7" s="351">
        <v>104594</v>
      </c>
      <c r="V7" s="351">
        <v>86086</v>
      </c>
      <c r="W7" s="352">
        <v>87161.666666666657</v>
      </c>
      <c r="X7" s="352">
        <v>135600.85714285716</v>
      </c>
      <c r="Y7" s="352">
        <v>87161.666666666657</v>
      </c>
      <c r="Z7" s="352">
        <v>147100.33333333331</v>
      </c>
      <c r="AA7" s="352">
        <v>87161.666666666657</v>
      </c>
      <c r="AB7" s="352">
        <v>87161.666666666657</v>
      </c>
      <c r="AC7" s="352">
        <v>104594</v>
      </c>
      <c r="AD7" s="351">
        <v>104314</v>
      </c>
      <c r="AE7" s="351">
        <v>86086</v>
      </c>
      <c r="AF7" s="353">
        <f t="shared" ref="AF7:AF69" si="1">SUM(T7:AE7)</f>
        <v>1221335.857142857</v>
      </c>
    </row>
    <row r="8" spans="1:32" ht="13.8">
      <c r="A8" s="343"/>
      <c r="B8" s="342" t="s">
        <v>186</v>
      </c>
      <c r="C8" s="348">
        <v>550989</v>
      </c>
      <c r="D8" s="348">
        <v>473264.5</v>
      </c>
      <c r="E8" s="348">
        <v>350989</v>
      </c>
      <c r="F8" s="349">
        <v>473264.5</v>
      </c>
      <c r="G8" s="349">
        <v>394387.08333333337</v>
      </c>
      <c r="H8" s="349">
        <v>394387.08333333337</v>
      </c>
      <c r="I8" s="349">
        <v>794605.28571428568</v>
      </c>
      <c r="J8" s="349">
        <v>794605.28571428568</v>
      </c>
      <c r="K8" s="349">
        <v>394387.08333333337</v>
      </c>
      <c r="L8" s="349">
        <v>473264.5</v>
      </c>
      <c r="M8" s="349">
        <v>394387.08333333337</v>
      </c>
      <c r="N8" s="348">
        <v>350989</v>
      </c>
      <c r="O8" s="350">
        <f t="shared" si="0"/>
        <v>5839519.4047619039</v>
      </c>
      <c r="R8" s="346"/>
      <c r="S8" s="345" t="s">
        <v>186</v>
      </c>
      <c r="T8" s="351">
        <v>401978</v>
      </c>
      <c r="U8" s="351">
        <v>473264.5</v>
      </c>
      <c r="V8" s="351">
        <v>439279</v>
      </c>
      <c r="W8" s="352">
        <v>394387.08333333337</v>
      </c>
      <c r="X8" s="352">
        <v>794605.28571428568</v>
      </c>
      <c r="Y8" s="352">
        <v>394387.08333333337</v>
      </c>
      <c r="Z8" s="352">
        <v>995825.5</v>
      </c>
      <c r="AA8" s="352">
        <v>394387.08333333337</v>
      </c>
      <c r="AB8" s="352">
        <v>394387.08333333337</v>
      </c>
      <c r="AC8" s="352">
        <v>473264.5</v>
      </c>
      <c r="AD8" s="351">
        <v>401978</v>
      </c>
      <c r="AE8" s="351">
        <v>439279</v>
      </c>
      <c r="AF8" s="353">
        <f t="shared" si="1"/>
        <v>5997022.1190476194</v>
      </c>
    </row>
    <row r="9" spans="1:32" ht="14.4">
      <c r="A9" s="262"/>
      <c r="B9" s="265" t="s">
        <v>66</v>
      </c>
      <c r="C9" s="263">
        <f>C8*0.195*17500</f>
        <v>1880249962.5000002</v>
      </c>
      <c r="D9" s="263">
        <f t="shared" ref="D9:N9" si="2">D8*0.195*17500</f>
        <v>1615015106.25</v>
      </c>
      <c r="E9" s="263">
        <f t="shared" si="2"/>
        <v>1197749962.5</v>
      </c>
      <c r="F9" s="263">
        <f t="shared" si="2"/>
        <v>1615015106.25</v>
      </c>
      <c r="G9" s="263">
        <f>G8*0.195*17500</f>
        <v>1345845921.8750002</v>
      </c>
      <c r="H9" s="263">
        <f t="shared" si="2"/>
        <v>1345845921.8750002</v>
      </c>
      <c r="I9" s="263">
        <f t="shared" si="2"/>
        <v>2711590537.5</v>
      </c>
      <c r="J9" s="263">
        <f t="shared" si="2"/>
        <v>2711590537.5</v>
      </c>
      <c r="K9" s="263">
        <f t="shared" si="2"/>
        <v>1345845921.8750002</v>
      </c>
      <c r="L9" s="263">
        <f t="shared" si="2"/>
        <v>1615015106.25</v>
      </c>
      <c r="M9" s="263">
        <f t="shared" si="2"/>
        <v>1345845921.8750002</v>
      </c>
      <c r="N9" s="263">
        <f t="shared" si="2"/>
        <v>1197749962.5</v>
      </c>
      <c r="O9" s="264">
        <f>SUM(C9:N9)</f>
        <v>19927359968.75</v>
      </c>
      <c r="R9" s="262"/>
      <c r="S9" s="265" t="s">
        <v>66</v>
      </c>
      <c r="T9" s="263">
        <f>T8*0.195*17500</f>
        <v>1371749925</v>
      </c>
      <c r="U9" s="263">
        <f t="shared" ref="U9:AE9" si="3">U8*0.195*17500</f>
        <v>1615015106.25</v>
      </c>
      <c r="V9" s="263">
        <f t="shared" si="3"/>
        <v>1499039587.5</v>
      </c>
      <c r="W9" s="263">
        <f t="shared" si="3"/>
        <v>1345845921.8750002</v>
      </c>
      <c r="X9" s="263">
        <f>X8*0.195*17500</f>
        <v>2711590537.5</v>
      </c>
      <c r="Y9" s="263">
        <f t="shared" si="3"/>
        <v>1345845921.8750002</v>
      </c>
      <c r="Z9" s="263">
        <f t="shared" si="3"/>
        <v>3398254518.75</v>
      </c>
      <c r="AA9" s="263">
        <f t="shared" si="3"/>
        <v>1345845921.8750002</v>
      </c>
      <c r="AB9" s="263">
        <f t="shared" si="3"/>
        <v>1345845921.8750002</v>
      </c>
      <c r="AC9" s="263">
        <f t="shared" si="3"/>
        <v>1615015106.25</v>
      </c>
      <c r="AD9" s="263">
        <f t="shared" si="3"/>
        <v>1371749925</v>
      </c>
      <c r="AE9" s="263">
        <f t="shared" si="3"/>
        <v>1499039587.5</v>
      </c>
      <c r="AF9" s="264">
        <f>SUM(T9:AE9)</f>
        <v>20464837981.25</v>
      </c>
    </row>
    <row r="10" spans="1:32" ht="13.8">
      <c r="A10" s="342" t="s">
        <v>56</v>
      </c>
      <c r="B10" s="342" t="s">
        <v>123</v>
      </c>
      <c r="C10" s="348">
        <v>5</v>
      </c>
      <c r="D10" s="348">
        <v>5</v>
      </c>
      <c r="E10" s="348">
        <v>4</v>
      </c>
      <c r="F10" s="348">
        <v>5</v>
      </c>
      <c r="G10" s="349">
        <v>4</v>
      </c>
      <c r="H10" s="349">
        <v>5</v>
      </c>
      <c r="I10" s="349">
        <v>6</v>
      </c>
      <c r="J10" s="349">
        <v>5</v>
      </c>
      <c r="K10" s="349">
        <v>4</v>
      </c>
      <c r="L10" s="349">
        <v>6</v>
      </c>
      <c r="M10" s="349">
        <v>5</v>
      </c>
      <c r="N10" s="349">
        <v>4</v>
      </c>
      <c r="O10" s="350">
        <f t="shared" si="0"/>
        <v>58</v>
      </c>
      <c r="R10" s="345" t="s">
        <v>56</v>
      </c>
      <c r="S10" s="345" t="s">
        <v>123</v>
      </c>
      <c r="T10" s="352">
        <v>6</v>
      </c>
      <c r="U10" s="351">
        <v>5</v>
      </c>
      <c r="V10" s="351">
        <v>4</v>
      </c>
      <c r="W10" s="351">
        <v>5</v>
      </c>
      <c r="X10" s="352">
        <v>4</v>
      </c>
      <c r="Y10" s="352">
        <v>5</v>
      </c>
      <c r="Z10" s="352">
        <v>6</v>
      </c>
      <c r="AA10" s="352">
        <v>5</v>
      </c>
      <c r="AB10" s="352">
        <v>4</v>
      </c>
      <c r="AC10" s="352">
        <v>5</v>
      </c>
      <c r="AD10" s="352">
        <v>6</v>
      </c>
      <c r="AE10" s="352">
        <v>2</v>
      </c>
      <c r="AF10" s="353">
        <f t="shared" si="1"/>
        <v>57</v>
      </c>
    </row>
    <row r="11" spans="1:32" ht="13.8">
      <c r="A11" s="343"/>
      <c r="B11" s="342" t="s">
        <v>64</v>
      </c>
      <c r="C11" s="348">
        <v>27518</v>
      </c>
      <c r="D11" s="348">
        <v>27297</v>
      </c>
      <c r="E11" s="348">
        <v>20109</v>
      </c>
      <c r="F11" s="348">
        <v>33615</v>
      </c>
      <c r="G11" s="349">
        <v>22014.400000000001</v>
      </c>
      <c r="H11" s="349">
        <v>27297</v>
      </c>
      <c r="I11" s="349">
        <v>30163.5</v>
      </c>
      <c r="J11" s="349">
        <v>33615</v>
      </c>
      <c r="K11" s="349">
        <v>22014.400000000001</v>
      </c>
      <c r="L11" s="349">
        <v>32756.399999999998</v>
      </c>
      <c r="M11" s="349">
        <v>25136.25</v>
      </c>
      <c r="N11" s="349">
        <v>22014.400000000001</v>
      </c>
      <c r="O11" s="350">
        <f t="shared" si="0"/>
        <v>323550.35000000003</v>
      </c>
      <c r="R11" s="346"/>
      <c r="S11" s="345" t="s">
        <v>64</v>
      </c>
      <c r="T11" s="352">
        <v>30163.5</v>
      </c>
      <c r="U11" s="351">
        <v>27297</v>
      </c>
      <c r="V11" s="351">
        <v>20109</v>
      </c>
      <c r="W11" s="351">
        <v>33615</v>
      </c>
      <c r="X11" s="352">
        <v>22014.400000000001</v>
      </c>
      <c r="Y11" s="352">
        <v>27297</v>
      </c>
      <c r="Z11" s="352">
        <v>30163.5</v>
      </c>
      <c r="AA11" s="352">
        <v>33615</v>
      </c>
      <c r="AB11" s="352">
        <v>22014.400000000001</v>
      </c>
      <c r="AC11" s="352">
        <v>32756.399999999998</v>
      </c>
      <c r="AD11" s="352">
        <v>30163.5</v>
      </c>
      <c r="AE11" s="352">
        <v>13615</v>
      </c>
      <c r="AF11" s="353">
        <f t="shared" si="1"/>
        <v>322823.7</v>
      </c>
    </row>
    <row r="12" spans="1:32" ht="13.8">
      <c r="A12" s="343"/>
      <c r="B12" s="342" t="s">
        <v>186</v>
      </c>
      <c r="C12" s="348">
        <v>22266</v>
      </c>
      <c r="D12" s="348">
        <v>22706</v>
      </c>
      <c r="E12" s="348">
        <v>25391.75</v>
      </c>
      <c r="F12" s="348">
        <v>43631.5</v>
      </c>
      <c r="G12" s="349">
        <v>17812.8</v>
      </c>
      <c r="H12" s="349">
        <v>22706</v>
      </c>
      <c r="I12" s="349">
        <v>38087.625</v>
      </c>
      <c r="J12" s="349">
        <v>43631.5</v>
      </c>
      <c r="K12" s="349">
        <v>17812.8</v>
      </c>
      <c r="L12" s="349">
        <v>27247.199999999997</v>
      </c>
      <c r="M12" s="349">
        <v>31739.6875</v>
      </c>
      <c r="N12" s="349">
        <v>17812.8</v>
      </c>
      <c r="O12" s="350">
        <f t="shared" si="0"/>
        <v>330845.66249999998</v>
      </c>
      <c r="R12" s="346"/>
      <c r="S12" s="345" t="s">
        <v>186</v>
      </c>
      <c r="T12" s="352">
        <v>38087.625</v>
      </c>
      <c r="U12" s="351">
        <v>22706</v>
      </c>
      <c r="V12" s="351">
        <v>25391.75</v>
      </c>
      <c r="W12" s="351">
        <v>43631.5</v>
      </c>
      <c r="X12" s="352">
        <v>17812.8</v>
      </c>
      <c r="Y12" s="352">
        <v>22706</v>
      </c>
      <c r="Z12" s="352">
        <v>38087.625</v>
      </c>
      <c r="AA12" s="352">
        <v>43631.5</v>
      </c>
      <c r="AB12" s="352">
        <v>17812.8</v>
      </c>
      <c r="AC12" s="352">
        <v>27247.199999999997</v>
      </c>
      <c r="AD12" s="352">
        <v>38087.625</v>
      </c>
      <c r="AE12" s="352">
        <v>23631.5</v>
      </c>
      <c r="AF12" s="353">
        <f t="shared" si="1"/>
        <v>358833.92499999999</v>
      </c>
    </row>
    <row r="13" spans="1:32" ht="14.4">
      <c r="A13" s="262"/>
      <c r="B13" s="265" t="s">
        <v>66</v>
      </c>
      <c r="C13" s="263">
        <f>C12*0.195*17500</f>
        <v>75982725</v>
      </c>
      <c r="D13" s="263">
        <f t="shared" ref="D13:N13" si="4">D12*0.195*17500</f>
        <v>77484225</v>
      </c>
      <c r="E13" s="263">
        <f t="shared" si="4"/>
        <v>86649346.875000015</v>
      </c>
      <c r="F13" s="263">
        <f t="shared" si="4"/>
        <v>148892493.75</v>
      </c>
      <c r="G13" s="263">
        <f>G12*0.195*17500</f>
        <v>60786180</v>
      </c>
      <c r="H13" s="263">
        <f t="shared" si="4"/>
        <v>77484225</v>
      </c>
      <c r="I13" s="263">
        <f t="shared" si="4"/>
        <v>129974020.3125</v>
      </c>
      <c r="J13" s="263">
        <f t="shared" si="4"/>
        <v>148892493.75</v>
      </c>
      <c r="K13" s="263">
        <f t="shared" si="4"/>
        <v>60786180</v>
      </c>
      <c r="L13" s="263">
        <f t="shared" si="4"/>
        <v>92981070</v>
      </c>
      <c r="M13" s="263">
        <f t="shared" si="4"/>
        <v>108311683.59375</v>
      </c>
      <c r="N13" s="263">
        <f t="shared" si="4"/>
        <v>60786180</v>
      </c>
      <c r="O13" s="264">
        <f>SUM(C13:N13)</f>
        <v>1129010823.28125</v>
      </c>
      <c r="R13" s="262"/>
      <c r="S13" s="265" t="s">
        <v>66</v>
      </c>
      <c r="T13" s="263">
        <f>T12*0.195*17500</f>
        <v>129974020.3125</v>
      </c>
      <c r="U13" s="263">
        <f t="shared" ref="U13:AE13" si="5">U12*0.195*17500</f>
        <v>77484225</v>
      </c>
      <c r="V13" s="263">
        <f t="shared" si="5"/>
        <v>86649346.875000015</v>
      </c>
      <c r="W13" s="263">
        <f t="shared" si="5"/>
        <v>148892493.75</v>
      </c>
      <c r="X13" s="263">
        <f>X12*0.195*17500</f>
        <v>60786180</v>
      </c>
      <c r="Y13" s="263">
        <f t="shared" si="5"/>
        <v>77484225</v>
      </c>
      <c r="Z13" s="263">
        <f t="shared" si="5"/>
        <v>129974020.3125</v>
      </c>
      <c r="AA13" s="263">
        <f t="shared" si="5"/>
        <v>148892493.75</v>
      </c>
      <c r="AB13" s="263">
        <f t="shared" si="5"/>
        <v>60786180</v>
      </c>
      <c r="AC13" s="263">
        <f t="shared" si="5"/>
        <v>92981070</v>
      </c>
      <c r="AD13" s="263">
        <f t="shared" si="5"/>
        <v>129974020.3125</v>
      </c>
      <c r="AE13" s="263">
        <f t="shared" si="5"/>
        <v>80642493.75</v>
      </c>
      <c r="AF13" s="264">
        <f>SUM(T13:AE13)</f>
        <v>1224520769.0625</v>
      </c>
    </row>
    <row r="14" spans="1:32" ht="13.8">
      <c r="A14" s="342" t="s">
        <v>57</v>
      </c>
      <c r="B14" s="342" t="s">
        <v>123</v>
      </c>
      <c r="C14" s="348">
        <v>5</v>
      </c>
      <c r="D14" s="348">
        <v>5</v>
      </c>
      <c r="E14" s="348">
        <v>2</v>
      </c>
      <c r="F14" s="348">
        <v>3</v>
      </c>
      <c r="G14" s="349">
        <v>4</v>
      </c>
      <c r="H14" s="349">
        <v>4</v>
      </c>
      <c r="I14" s="349">
        <v>3</v>
      </c>
      <c r="J14" s="349">
        <v>4</v>
      </c>
      <c r="K14" s="349">
        <v>3</v>
      </c>
      <c r="L14" s="349">
        <v>4</v>
      </c>
      <c r="M14" s="348">
        <v>3</v>
      </c>
      <c r="N14" s="348">
        <v>2</v>
      </c>
      <c r="O14" s="350">
        <f t="shared" si="0"/>
        <v>42</v>
      </c>
      <c r="R14" s="345" t="s">
        <v>57</v>
      </c>
      <c r="S14" s="345" t="s">
        <v>123</v>
      </c>
      <c r="T14" s="351">
        <v>5</v>
      </c>
      <c r="U14" s="351">
        <v>5</v>
      </c>
      <c r="V14" s="351">
        <v>3</v>
      </c>
      <c r="W14" s="351">
        <v>3</v>
      </c>
      <c r="X14" s="352">
        <v>4</v>
      </c>
      <c r="Y14" s="352">
        <v>5</v>
      </c>
      <c r="Z14" s="352">
        <v>4</v>
      </c>
      <c r="AA14" s="352">
        <v>4</v>
      </c>
      <c r="AB14" s="352">
        <v>3</v>
      </c>
      <c r="AC14" s="352">
        <v>5</v>
      </c>
      <c r="AD14" s="352">
        <v>5</v>
      </c>
      <c r="AE14" s="351">
        <v>3</v>
      </c>
      <c r="AF14" s="353">
        <f t="shared" si="1"/>
        <v>49</v>
      </c>
    </row>
    <row r="15" spans="1:32" ht="13.8">
      <c r="A15" s="343"/>
      <c r="B15" s="342" t="s">
        <v>64</v>
      </c>
      <c r="C15" s="348">
        <v>132752</v>
      </c>
      <c r="D15" s="348">
        <v>173165</v>
      </c>
      <c r="E15" s="348">
        <v>67759</v>
      </c>
      <c r="F15" s="348">
        <v>97843</v>
      </c>
      <c r="G15" s="349">
        <v>106201.60000000001</v>
      </c>
      <c r="H15" s="349">
        <v>130457.33333333333</v>
      </c>
      <c r="I15" s="349">
        <v>97759</v>
      </c>
      <c r="J15" s="349">
        <v>130457.33333333333</v>
      </c>
      <c r="K15" s="349">
        <v>79651.200000000012</v>
      </c>
      <c r="L15" s="349">
        <v>130457.33333333333</v>
      </c>
      <c r="M15" s="348">
        <v>97843</v>
      </c>
      <c r="N15" s="348">
        <v>67759</v>
      </c>
      <c r="O15" s="350">
        <f t="shared" si="0"/>
        <v>1312104.8</v>
      </c>
      <c r="R15" s="346"/>
      <c r="S15" s="345" t="s">
        <v>64</v>
      </c>
      <c r="T15" s="351">
        <v>132752</v>
      </c>
      <c r="U15" s="351">
        <v>143165</v>
      </c>
      <c r="V15" s="351">
        <v>97759</v>
      </c>
      <c r="W15" s="351">
        <v>97843</v>
      </c>
      <c r="X15" s="352">
        <v>106201.60000000001</v>
      </c>
      <c r="Y15" s="352">
        <v>143165</v>
      </c>
      <c r="Z15" s="352">
        <v>106201.60000000001</v>
      </c>
      <c r="AA15" s="352">
        <v>130457.33333333333</v>
      </c>
      <c r="AB15" s="352">
        <v>79651.200000000012</v>
      </c>
      <c r="AC15" s="352">
        <v>173165</v>
      </c>
      <c r="AD15" s="352">
        <v>162931.66666666666</v>
      </c>
      <c r="AE15" s="351">
        <v>97843</v>
      </c>
      <c r="AF15" s="353">
        <f t="shared" si="1"/>
        <v>1471135.4000000001</v>
      </c>
    </row>
    <row r="16" spans="1:32" ht="13.8">
      <c r="A16" s="343"/>
      <c r="B16" s="342" t="s">
        <v>186</v>
      </c>
      <c r="C16" s="348">
        <v>511305</v>
      </c>
      <c r="D16" s="348">
        <v>888543.75</v>
      </c>
      <c r="E16" s="348">
        <v>318695.25</v>
      </c>
      <c r="F16" s="348">
        <v>284223</v>
      </c>
      <c r="G16" s="349">
        <v>409044</v>
      </c>
      <c r="H16" s="349">
        <v>378964</v>
      </c>
      <c r="I16" s="349">
        <v>518695.25</v>
      </c>
      <c r="J16" s="349">
        <v>378964</v>
      </c>
      <c r="K16" s="349">
        <v>306783</v>
      </c>
      <c r="L16" s="349">
        <v>378964</v>
      </c>
      <c r="M16" s="348">
        <v>284223</v>
      </c>
      <c r="N16" s="348">
        <v>218695.25</v>
      </c>
      <c r="O16" s="350">
        <f t="shared" si="0"/>
        <v>4877099.5</v>
      </c>
      <c r="R16" s="346"/>
      <c r="S16" s="345" t="s">
        <v>186</v>
      </c>
      <c r="T16" s="351">
        <v>511305</v>
      </c>
      <c r="U16" s="351">
        <v>588543.75</v>
      </c>
      <c r="V16" s="351">
        <v>518695.25</v>
      </c>
      <c r="W16" s="351">
        <v>284223</v>
      </c>
      <c r="X16" s="352">
        <v>409044</v>
      </c>
      <c r="Y16" s="352">
        <v>478543.75</v>
      </c>
      <c r="Z16" s="352">
        <v>412044</v>
      </c>
      <c r="AA16" s="352">
        <v>405964</v>
      </c>
      <c r="AB16" s="352">
        <v>307283</v>
      </c>
      <c r="AC16" s="352">
        <v>687343.75</v>
      </c>
      <c r="AD16" s="352">
        <v>664492.08333333302</v>
      </c>
      <c r="AE16" s="351">
        <v>285223</v>
      </c>
      <c r="AF16" s="353">
        <f t="shared" si="1"/>
        <v>5552704.583333333</v>
      </c>
    </row>
    <row r="17" spans="1:32" ht="14.4">
      <c r="A17" s="262"/>
      <c r="B17" s="265" t="s">
        <v>66</v>
      </c>
      <c r="C17" s="263">
        <f>C16*0.195*17500</f>
        <v>1744828312.5</v>
      </c>
      <c r="D17" s="263">
        <f t="shared" ref="D17:N17" si="6">D16*0.195*17500</f>
        <v>3032155546.875</v>
      </c>
      <c r="E17" s="263">
        <f t="shared" si="6"/>
        <v>1087547540.625</v>
      </c>
      <c r="F17" s="263">
        <f t="shared" si="6"/>
        <v>969910987.5</v>
      </c>
      <c r="G17" s="263">
        <f>G16*0.195*17500</f>
        <v>1395862650</v>
      </c>
      <c r="H17" s="263">
        <f t="shared" si="6"/>
        <v>1293214650</v>
      </c>
      <c r="I17" s="263">
        <f t="shared" si="6"/>
        <v>1770047540.6250002</v>
      </c>
      <c r="J17" s="263">
        <f t="shared" si="6"/>
        <v>1293214650</v>
      </c>
      <c r="K17" s="263">
        <f t="shared" si="6"/>
        <v>1046896987.5000001</v>
      </c>
      <c r="L17" s="263">
        <f t="shared" si="6"/>
        <v>1293214650</v>
      </c>
      <c r="M17" s="263">
        <f t="shared" si="6"/>
        <v>969910987.5</v>
      </c>
      <c r="N17" s="263">
        <f t="shared" si="6"/>
        <v>746297540.625</v>
      </c>
      <c r="O17" s="264">
        <f>SUM(C17:N17)</f>
        <v>16643102043.75</v>
      </c>
      <c r="R17" s="262"/>
      <c r="S17" s="265" t="s">
        <v>66</v>
      </c>
      <c r="T17" s="263">
        <f>T16*0.195*17500</f>
        <v>1744828312.5</v>
      </c>
      <c r="U17" s="263">
        <f t="shared" ref="U17:AE17" si="7">U16*0.195*17500</f>
        <v>2008405546.875</v>
      </c>
      <c r="V17" s="263">
        <f t="shared" si="7"/>
        <v>1770047540.6250002</v>
      </c>
      <c r="W17" s="263">
        <f t="shared" si="7"/>
        <v>969910987.5</v>
      </c>
      <c r="X17" s="263">
        <f>X16*0.195*17500</f>
        <v>1395862650</v>
      </c>
      <c r="Y17" s="263">
        <f t="shared" si="7"/>
        <v>1633030546.875</v>
      </c>
      <c r="Z17" s="263">
        <f t="shared" si="7"/>
        <v>1406100150</v>
      </c>
      <c r="AA17" s="263">
        <f t="shared" si="7"/>
        <v>1385352150</v>
      </c>
      <c r="AB17" s="263">
        <f t="shared" si="7"/>
        <v>1048603237.5000001</v>
      </c>
      <c r="AC17" s="263">
        <f t="shared" si="7"/>
        <v>2345560546.875</v>
      </c>
      <c r="AD17" s="263">
        <f t="shared" si="7"/>
        <v>2267579234.374999</v>
      </c>
      <c r="AE17" s="263">
        <f t="shared" si="7"/>
        <v>973323487.5</v>
      </c>
      <c r="AF17" s="264">
        <f>SUM(T17:AE17)</f>
        <v>18948604390.625</v>
      </c>
    </row>
    <row r="18" spans="1:32" ht="13.8">
      <c r="A18" s="342" t="s">
        <v>190</v>
      </c>
      <c r="B18" s="342" t="s">
        <v>123</v>
      </c>
      <c r="C18" s="348">
        <v>0</v>
      </c>
      <c r="D18" s="348">
        <v>0</v>
      </c>
      <c r="E18" s="348">
        <v>0</v>
      </c>
      <c r="F18" s="348">
        <v>0</v>
      </c>
      <c r="G18" s="349"/>
      <c r="H18" s="349"/>
      <c r="I18" s="349"/>
      <c r="J18" s="349"/>
      <c r="K18" s="349"/>
      <c r="L18" s="349"/>
      <c r="M18" s="349"/>
      <c r="N18" s="349"/>
      <c r="O18" s="350">
        <f t="shared" si="0"/>
        <v>0</v>
      </c>
      <c r="R18" s="345" t="s">
        <v>190</v>
      </c>
      <c r="S18" s="345" t="s">
        <v>123</v>
      </c>
      <c r="T18" s="351">
        <v>0</v>
      </c>
      <c r="U18" s="351">
        <v>0</v>
      </c>
      <c r="V18" s="351">
        <v>0</v>
      </c>
      <c r="W18" s="351">
        <v>0</v>
      </c>
      <c r="X18" s="352"/>
      <c r="Y18" s="352"/>
      <c r="Z18" s="352"/>
      <c r="AA18" s="352"/>
      <c r="AB18" s="352"/>
      <c r="AC18" s="352"/>
      <c r="AD18" s="352"/>
      <c r="AE18" s="352"/>
      <c r="AF18" s="353">
        <f t="shared" si="1"/>
        <v>0</v>
      </c>
    </row>
    <row r="19" spans="1:32" ht="13.8">
      <c r="A19" s="343"/>
      <c r="B19" s="342" t="s">
        <v>64</v>
      </c>
      <c r="C19" s="348">
        <v>0</v>
      </c>
      <c r="D19" s="348">
        <v>0</v>
      </c>
      <c r="E19" s="348">
        <v>0</v>
      </c>
      <c r="F19" s="348">
        <v>0</v>
      </c>
      <c r="G19" s="349"/>
      <c r="H19" s="349"/>
      <c r="I19" s="349"/>
      <c r="J19" s="349"/>
      <c r="K19" s="349"/>
      <c r="L19" s="349"/>
      <c r="M19" s="349"/>
      <c r="N19" s="349"/>
      <c r="O19" s="350">
        <f t="shared" si="0"/>
        <v>0</v>
      </c>
      <c r="R19" s="346"/>
      <c r="S19" s="345" t="s">
        <v>64</v>
      </c>
      <c r="T19" s="351">
        <v>0</v>
      </c>
      <c r="U19" s="351">
        <v>0</v>
      </c>
      <c r="V19" s="351">
        <v>0</v>
      </c>
      <c r="W19" s="351">
        <v>0</v>
      </c>
      <c r="X19" s="352"/>
      <c r="Y19" s="352"/>
      <c r="Z19" s="352"/>
      <c r="AA19" s="352"/>
      <c r="AB19" s="352"/>
      <c r="AC19" s="352"/>
      <c r="AD19" s="352"/>
      <c r="AE19" s="352"/>
      <c r="AF19" s="353">
        <f t="shared" si="1"/>
        <v>0</v>
      </c>
    </row>
    <row r="20" spans="1:32" ht="13.8">
      <c r="A20" s="343"/>
      <c r="B20" s="342" t="s">
        <v>186</v>
      </c>
      <c r="C20" s="348">
        <v>0</v>
      </c>
      <c r="D20" s="348">
        <v>0</v>
      </c>
      <c r="E20" s="348">
        <v>0</v>
      </c>
      <c r="F20" s="348">
        <v>0</v>
      </c>
      <c r="G20" s="349"/>
      <c r="H20" s="349"/>
      <c r="I20" s="349"/>
      <c r="J20" s="349"/>
      <c r="K20" s="349"/>
      <c r="L20" s="349"/>
      <c r="M20" s="349"/>
      <c r="N20" s="349"/>
      <c r="O20" s="350">
        <f t="shared" si="0"/>
        <v>0</v>
      </c>
      <c r="R20" s="346"/>
      <c r="S20" s="345" t="s">
        <v>186</v>
      </c>
      <c r="T20" s="351">
        <v>0</v>
      </c>
      <c r="U20" s="351">
        <v>0</v>
      </c>
      <c r="V20" s="351">
        <v>0</v>
      </c>
      <c r="W20" s="351">
        <v>0</v>
      </c>
      <c r="X20" s="352"/>
      <c r="Y20" s="352"/>
      <c r="Z20" s="352"/>
      <c r="AA20" s="352"/>
      <c r="AB20" s="352"/>
      <c r="AC20" s="352"/>
      <c r="AD20" s="352"/>
      <c r="AE20" s="352"/>
      <c r="AF20" s="353">
        <f t="shared" si="1"/>
        <v>0</v>
      </c>
    </row>
    <row r="21" spans="1:32" ht="14.4">
      <c r="A21" s="262"/>
      <c r="B21" s="265" t="s">
        <v>66</v>
      </c>
      <c r="C21" s="263">
        <f>C20*0.195*17500</f>
        <v>0</v>
      </c>
      <c r="D21" s="263">
        <f t="shared" ref="D21:N21" si="8">D20*0.195*17500</f>
        <v>0</v>
      </c>
      <c r="E21" s="263">
        <f t="shared" si="8"/>
        <v>0</v>
      </c>
      <c r="F21" s="263">
        <f t="shared" si="8"/>
        <v>0</v>
      </c>
      <c r="G21" s="263">
        <f>G20*0.195*17500</f>
        <v>0</v>
      </c>
      <c r="H21" s="263">
        <f t="shared" si="8"/>
        <v>0</v>
      </c>
      <c r="I21" s="263">
        <f t="shared" si="8"/>
        <v>0</v>
      </c>
      <c r="J21" s="263">
        <f t="shared" si="8"/>
        <v>0</v>
      </c>
      <c r="K21" s="263">
        <f t="shared" si="8"/>
        <v>0</v>
      </c>
      <c r="L21" s="263">
        <f t="shared" si="8"/>
        <v>0</v>
      </c>
      <c r="M21" s="263">
        <f t="shared" si="8"/>
        <v>0</v>
      </c>
      <c r="N21" s="263">
        <f t="shared" si="8"/>
        <v>0</v>
      </c>
      <c r="O21" s="264">
        <f>SUM(C21:N21)</f>
        <v>0</v>
      </c>
      <c r="R21" s="262"/>
      <c r="S21" s="265" t="s">
        <v>66</v>
      </c>
      <c r="T21" s="263">
        <f>T20*0.195*17500</f>
        <v>0</v>
      </c>
      <c r="U21" s="263">
        <f t="shared" ref="U21:AE21" si="9">U20*0.195*17500</f>
        <v>0</v>
      </c>
      <c r="V21" s="263">
        <f t="shared" si="9"/>
        <v>0</v>
      </c>
      <c r="W21" s="263">
        <f t="shared" si="9"/>
        <v>0</v>
      </c>
      <c r="X21" s="263">
        <f>X20*0.195*17500</f>
        <v>0</v>
      </c>
      <c r="Y21" s="263">
        <f t="shared" si="9"/>
        <v>0</v>
      </c>
      <c r="Z21" s="263">
        <f t="shared" si="9"/>
        <v>0</v>
      </c>
      <c r="AA21" s="263">
        <f t="shared" si="9"/>
        <v>0</v>
      </c>
      <c r="AB21" s="263">
        <f t="shared" si="9"/>
        <v>0</v>
      </c>
      <c r="AC21" s="263">
        <f t="shared" si="9"/>
        <v>0</v>
      </c>
      <c r="AD21" s="263">
        <f t="shared" si="9"/>
        <v>0</v>
      </c>
      <c r="AE21" s="263">
        <f t="shared" si="9"/>
        <v>0</v>
      </c>
      <c r="AF21" s="264">
        <f>SUM(T21:AE21)</f>
        <v>0</v>
      </c>
    </row>
    <row r="22" spans="1:32" ht="13.8">
      <c r="A22" s="342" t="s">
        <v>192</v>
      </c>
      <c r="B22" s="342" t="s">
        <v>123</v>
      </c>
      <c r="C22" s="348">
        <v>1</v>
      </c>
      <c r="D22" s="348">
        <v>0</v>
      </c>
      <c r="E22" s="348">
        <v>0</v>
      </c>
      <c r="F22" s="348">
        <v>0</v>
      </c>
      <c r="G22" s="348">
        <v>1</v>
      </c>
      <c r="H22" s="349"/>
      <c r="I22" s="349"/>
      <c r="J22" s="349"/>
      <c r="K22" s="348">
        <v>1</v>
      </c>
      <c r="L22" s="349"/>
      <c r="M22" s="349"/>
      <c r="N22" s="349"/>
      <c r="O22" s="350">
        <f t="shared" si="0"/>
        <v>3</v>
      </c>
      <c r="R22" s="345" t="s">
        <v>192</v>
      </c>
      <c r="S22" s="345" t="s">
        <v>123</v>
      </c>
      <c r="T22" s="351">
        <v>1</v>
      </c>
      <c r="U22" s="351">
        <v>0</v>
      </c>
      <c r="V22" s="351">
        <v>0</v>
      </c>
      <c r="W22" s="351">
        <v>0</v>
      </c>
      <c r="X22" s="351">
        <v>1</v>
      </c>
      <c r="Y22" s="352"/>
      <c r="Z22" s="352"/>
      <c r="AA22" s="352"/>
      <c r="AB22" s="351">
        <v>1</v>
      </c>
      <c r="AC22" s="352"/>
      <c r="AD22" s="352"/>
      <c r="AE22" s="352"/>
      <c r="AF22" s="353">
        <f t="shared" si="1"/>
        <v>3</v>
      </c>
    </row>
    <row r="23" spans="1:32" ht="13.8">
      <c r="A23" s="343"/>
      <c r="B23" s="342" t="s">
        <v>64</v>
      </c>
      <c r="C23" s="348">
        <v>4153</v>
      </c>
      <c r="D23" s="348">
        <v>0</v>
      </c>
      <c r="E23" s="348">
        <v>0</v>
      </c>
      <c r="F23" s="348">
        <v>0</v>
      </c>
      <c r="G23" s="348">
        <v>4153</v>
      </c>
      <c r="H23" s="349"/>
      <c r="I23" s="349"/>
      <c r="J23" s="349"/>
      <c r="K23" s="348">
        <v>4153</v>
      </c>
      <c r="L23" s="349"/>
      <c r="M23" s="349"/>
      <c r="N23" s="349"/>
      <c r="O23" s="350">
        <f t="shared" si="0"/>
        <v>12459</v>
      </c>
      <c r="R23" s="346"/>
      <c r="S23" s="345" t="s">
        <v>64</v>
      </c>
      <c r="T23" s="351">
        <v>4153</v>
      </c>
      <c r="U23" s="351">
        <v>0</v>
      </c>
      <c r="V23" s="351">
        <v>0</v>
      </c>
      <c r="W23" s="351">
        <v>0</v>
      </c>
      <c r="X23" s="351">
        <v>4153</v>
      </c>
      <c r="Y23" s="352"/>
      <c r="Z23" s="352"/>
      <c r="AA23" s="352"/>
      <c r="AB23" s="351">
        <v>4153</v>
      </c>
      <c r="AC23" s="352"/>
      <c r="AD23" s="352"/>
      <c r="AE23" s="352"/>
      <c r="AF23" s="353">
        <f t="shared" si="1"/>
        <v>12459</v>
      </c>
    </row>
    <row r="24" spans="1:32" ht="13.8">
      <c r="A24" s="343"/>
      <c r="B24" s="342" t="s">
        <v>186</v>
      </c>
      <c r="C24" s="348">
        <v>6229.5</v>
      </c>
      <c r="D24" s="348">
        <v>0</v>
      </c>
      <c r="E24" s="348">
        <v>0</v>
      </c>
      <c r="F24" s="348">
        <v>0</v>
      </c>
      <c r="G24" s="348">
        <v>6229.5</v>
      </c>
      <c r="H24" s="349"/>
      <c r="I24" s="349"/>
      <c r="J24" s="349"/>
      <c r="K24" s="348">
        <v>6229.5</v>
      </c>
      <c r="L24" s="349"/>
      <c r="M24" s="349"/>
      <c r="N24" s="349"/>
      <c r="O24" s="350">
        <f t="shared" si="0"/>
        <v>18688.5</v>
      </c>
      <c r="R24" s="346"/>
      <c r="S24" s="345" t="s">
        <v>186</v>
      </c>
      <c r="T24" s="351">
        <v>6229.5</v>
      </c>
      <c r="U24" s="351">
        <v>0</v>
      </c>
      <c r="V24" s="351">
        <v>0</v>
      </c>
      <c r="W24" s="351">
        <v>0</v>
      </c>
      <c r="X24" s="351">
        <v>6229.5</v>
      </c>
      <c r="Y24" s="352"/>
      <c r="Z24" s="352"/>
      <c r="AA24" s="352"/>
      <c r="AB24" s="351">
        <v>6229.5</v>
      </c>
      <c r="AC24" s="352"/>
      <c r="AD24" s="352"/>
      <c r="AE24" s="352"/>
      <c r="AF24" s="353">
        <f t="shared" si="1"/>
        <v>18688.5</v>
      </c>
    </row>
    <row r="25" spans="1:32" ht="14.4">
      <c r="A25" s="262"/>
      <c r="B25" s="265" t="s">
        <v>66</v>
      </c>
      <c r="C25" s="263">
        <f>C24*0.195*17500</f>
        <v>21258168.75</v>
      </c>
      <c r="D25" s="263">
        <f t="shared" ref="D25:N25" si="10">D24*0.195*17500</f>
        <v>0</v>
      </c>
      <c r="E25" s="263">
        <f t="shared" si="10"/>
        <v>0</v>
      </c>
      <c r="F25" s="263">
        <f t="shared" si="10"/>
        <v>0</v>
      </c>
      <c r="G25" s="263">
        <f>G24*0.195*17500</f>
        <v>21258168.75</v>
      </c>
      <c r="H25" s="263">
        <f t="shared" si="10"/>
        <v>0</v>
      </c>
      <c r="I25" s="263">
        <f t="shared" si="10"/>
        <v>0</v>
      </c>
      <c r="J25" s="263">
        <f t="shared" si="10"/>
        <v>0</v>
      </c>
      <c r="K25" s="263">
        <f t="shared" si="10"/>
        <v>21258168.75</v>
      </c>
      <c r="L25" s="263">
        <f t="shared" si="10"/>
        <v>0</v>
      </c>
      <c r="M25" s="263">
        <f t="shared" si="10"/>
        <v>0</v>
      </c>
      <c r="N25" s="263">
        <f t="shared" si="10"/>
        <v>0</v>
      </c>
      <c r="O25" s="264">
        <f>SUM(C25:N25)</f>
        <v>63774506.25</v>
      </c>
      <c r="R25" s="262"/>
      <c r="S25" s="265" t="s">
        <v>66</v>
      </c>
      <c r="T25" s="263">
        <f>T24*0.195*17500</f>
        <v>21258168.75</v>
      </c>
      <c r="U25" s="263">
        <f t="shared" ref="U25:AE25" si="11">U24*0.195*17500</f>
        <v>0</v>
      </c>
      <c r="V25" s="263">
        <f t="shared" si="11"/>
        <v>0</v>
      </c>
      <c r="W25" s="263">
        <f t="shared" si="11"/>
        <v>0</v>
      </c>
      <c r="X25" s="263">
        <f>X24*0.195*17500</f>
        <v>21258168.75</v>
      </c>
      <c r="Y25" s="263">
        <f t="shared" si="11"/>
        <v>0</v>
      </c>
      <c r="Z25" s="263">
        <f t="shared" si="11"/>
        <v>0</v>
      </c>
      <c r="AA25" s="263">
        <f t="shared" si="11"/>
        <v>0</v>
      </c>
      <c r="AB25" s="263">
        <f t="shared" si="11"/>
        <v>21258168.75</v>
      </c>
      <c r="AC25" s="263">
        <f t="shared" si="11"/>
        <v>0</v>
      </c>
      <c r="AD25" s="263">
        <f t="shared" si="11"/>
        <v>0</v>
      </c>
      <c r="AE25" s="263">
        <f t="shared" si="11"/>
        <v>0</v>
      </c>
      <c r="AF25" s="264">
        <f>SUM(T25:AE25)</f>
        <v>63774506.25</v>
      </c>
    </row>
    <row r="26" spans="1:32" ht="13.8">
      <c r="A26" s="342" t="s">
        <v>194</v>
      </c>
      <c r="B26" s="342" t="s">
        <v>123</v>
      </c>
      <c r="C26" s="348">
        <v>0</v>
      </c>
      <c r="D26" s="348">
        <v>0</v>
      </c>
      <c r="E26" s="348">
        <v>0</v>
      </c>
      <c r="F26" s="348">
        <v>0</v>
      </c>
      <c r="G26" s="349"/>
      <c r="H26" s="349"/>
      <c r="I26" s="349"/>
      <c r="J26" s="349"/>
      <c r="K26" s="349"/>
      <c r="L26" s="349"/>
      <c r="M26" s="349"/>
      <c r="N26" s="349"/>
      <c r="O26" s="350">
        <f t="shared" si="0"/>
        <v>0</v>
      </c>
      <c r="R26" s="345" t="s">
        <v>194</v>
      </c>
      <c r="S26" s="345" t="s">
        <v>123</v>
      </c>
      <c r="T26" s="351">
        <v>0</v>
      </c>
      <c r="U26" s="351">
        <v>0</v>
      </c>
      <c r="V26" s="351">
        <v>0</v>
      </c>
      <c r="W26" s="351">
        <v>0</v>
      </c>
      <c r="X26" s="352"/>
      <c r="Y26" s="352"/>
      <c r="Z26" s="352"/>
      <c r="AA26" s="352"/>
      <c r="AB26" s="352"/>
      <c r="AC26" s="352"/>
      <c r="AD26" s="352"/>
      <c r="AE26" s="352"/>
      <c r="AF26" s="353">
        <f t="shared" si="1"/>
        <v>0</v>
      </c>
    </row>
    <row r="27" spans="1:32" ht="13.8">
      <c r="A27" s="343"/>
      <c r="B27" s="342" t="s">
        <v>64</v>
      </c>
      <c r="C27" s="348">
        <v>0</v>
      </c>
      <c r="D27" s="348">
        <v>0</v>
      </c>
      <c r="E27" s="348">
        <v>0</v>
      </c>
      <c r="F27" s="348">
        <v>0</v>
      </c>
      <c r="G27" s="349"/>
      <c r="H27" s="349"/>
      <c r="I27" s="349"/>
      <c r="J27" s="349"/>
      <c r="K27" s="349"/>
      <c r="L27" s="349"/>
      <c r="M27" s="349"/>
      <c r="N27" s="349"/>
      <c r="O27" s="350">
        <f t="shared" si="0"/>
        <v>0</v>
      </c>
      <c r="R27" s="346"/>
      <c r="S27" s="345" t="s">
        <v>64</v>
      </c>
      <c r="T27" s="351">
        <v>0</v>
      </c>
      <c r="U27" s="351">
        <v>0</v>
      </c>
      <c r="V27" s="351">
        <v>0</v>
      </c>
      <c r="W27" s="351">
        <v>0</v>
      </c>
      <c r="X27" s="352"/>
      <c r="Y27" s="352"/>
      <c r="Z27" s="352"/>
      <c r="AA27" s="352"/>
      <c r="AB27" s="352"/>
      <c r="AC27" s="352"/>
      <c r="AD27" s="352"/>
      <c r="AE27" s="352"/>
      <c r="AF27" s="353">
        <f t="shared" si="1"/>
        <v>0</v>
      </c>
    </row>
    <row r="28" spans="1:32" ht="13.8">
      <c r="A28" s="343"/>
      <c r="B28" s="342" t="s">
        <v>186</v>
      </c>
      <c r="C28" s="348">
        <v>0</v>
      </c>
      <c r="D28" s="348">
        <v>0</v>
      </c>
      <c r="E28" s="348">
        <v>0</v>
      </c>
      <c r="F28" s="348">
        <v>0</v>
      </c>
      <c r="G28" s="349"/>
      <c r="H28" s="349"/>
      <c r="I28" s="349"/>
      <c r="J28" s="349"/>
      <c r="K28" s="349"/>
      <c r="L28" s="349"/>
      <c r="M28" s="349"/>
      <c r="N28" s="349"/>
      <c r="O28" s="350">
        <f t="shared" si="0"/>
        <v>0</v>
      </c>
      <c r="R28" s="346"/>
      <c r="S28" s="345" t="s">
        <v>186</v>
      </c>
      <c r="T28" s="351">
        <v>0</v>
      </c>
      <c r="U28" s="351">
        <v>0</v>
      </c>
      <c r="V28" s="351">
        <v>0</v>
      </c>
      <c r="W28" s="351">
        <v>0</v>
      </c>
      <c r="X28" s="352"/>
      <c r="Y28" s="352"/>
      <c r="Z28" s="352"/>
      <c r="AA28" s="352"/>
      <c r="AB28" s="352"/>
      <c r="AC28" s="352"/>
      <c r="AD28" s="352"/>
      <c r="AE28" s="352"/>
      <c r="AF28" s="353">
        <f t="shared" si="1"/>
        <v>0</v>
      </c>
    </row>
    <row r="29" spans="1:32" ht="14.4">
      <c r="A29" s="262"/>
      <c r="B29" s="265" t="s">
        <v>66</v>
      </c>
      <c r="C29" s="263">
        <f>C28*0.195*17500</f>
        <v>0</v>
      </c>
      <c r="D29" s="263">
        <f t="shared" ref="D29:N29" si="12">D28*0.195*17500</f>
        <v>0</v>
      </c>
      <c r="E29" s="263">
        <f t="shared" si="12"/>
        <v>0</v>
      </c>
      <c r="F29" s="263">
        <f t="shared" si="12"/>
        <v>0</v>
      </c>
      <c r="G29" s="263">
        <f>G28*0.195*17500</f>
        <v>0</v>
      </c>
      <c r="H29" s="263">
        <f t="shared" si="12"/>
        <v>0</v>
      </c>
      <c r="I29" s="263">
        <f t="shared" si="12"/>
        <v>0</v>
      </c>
      <c r="J29" s="263">
        <f t="shared" si="12"/>
        <v>0</v>
      </c>
      <c r="K29" s="263">
        <f t="shared" si="12"/>
        <v>0</v>
      </c>
      <c r="L29" s="263">
        <f t="shared" si="12"/>
        <v>0</v>
      </c>
      <c r="M29" s="263">
        <f t="shared" si="12"/>
        <v>0</v>
      </c>
      <c r="N29" s="263">
        <f t="shared" si="12"/>
        <v>0</v>
      </c>
      <c r="O29" s="264">
        <f>SUM(C29:N29)</f>
        <v>0</v>
      </c>
      <c r="R29" s="262"/>
      <c r="S29" s="265" t="s">
        <v>66</v>
      </c>
      <c r="T29" s="263">
        <f>T28*0.195*17500</f>
        <v>0</v>
      </c>
      <c r="U29" s="263">
        <f t="shared" ref="U29:AE29" si="13">U28*0.195*17500</f>
        <v>0</v>
      </c>
      <c r="V29" s="263">
        <f t="shared" si="13"/>
        <v>0</v>
      </c>
      <c r="W29" s="263">
        <f t="shared" si="13"/>
        <v>0</v>
      </c>
      <c r="X29" s="263">
        <f>X28*0.195*17500</f>
        <v>0</v>
      </c>
      <c r="Y29" s="263">
        <f t="shared" si="13"/>
        <v>0</v>
      </c>
      <c r="Z29" s="263">
        <f t="shared" si="13"/>
        <v>0</v>
      </c>
      <c r="AA29" s="263">
        <f t="shared" si="13"/>
        <v>0</v>
      </c>
      <c r="AB29" s="263">
        <f t="shared" si="13"/>
        <v>0</v>
      </c>
      <c r="AC29" s="263">
        <f t="shared" si="13"/>
        <v>0</v>
      </c>
      <c r="AD29" s="263">
        <f t="shared" si="13"/>
        <v>0</v>
      </c>
      <c r="AE29" s="263">
        <f t="shared" si="13"/>
        <v>0</v>
      </c>
      <c r="AF29" s="264">
        <f>SUM(T29:AE29)</f>
        <v>0</v>
      </c>
    </row>
    <row r="30" spans="1:32" ht="13.8">
      <c r="A30" s="344"/>
      <c r="B30" s="344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350"/>
      <c r="R30" s="338"/>
      <c r="S30" s="338"/>
      <c r="T30" s="352"/>
      <c r="U30" s="352"/>
      <c r="V30" s="352"/>
      <c r="W30" s="352"/>
      <c r="X30" s="352"/>
      <c r="Y30" s="352"/>
      <c r="Z30" s="352"/>
      <c r="AA30" s="352"/>
      <c r="AB30" s="352"/>
      <c r="AC30" s="352"/>
      <c r="AD30" s="352"/>
      <c r="AE30" s="352"/>
      <c r="AF30" s="353"/>
    </row>
    <row r="31" spans="1:32" ht="13.8">
      <c r="A31" s="354" t="s">
        <v>195</v>
      </c>
      <c r="B31" s="355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50"/>
      <c r="R31" s="356" t="s">
        <v>195</v>
      </c>
      <c r="S31" s="357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3"/>
    </row>
    <row r="32" spans="1:32" ht="13.8">
      <c r="A32" s="354" t="s">
        <v>51</v>
      </c>
      <c r="B32" s="354" t="s">
        <v>123</v>
      </c>
      <c r="C32" s="348">
        <v>1</v>
      </c>
      <c r="D32" s="348">
        <v>4</v>
      </c>
      <c r="E32" s="348">
        <v>1</v>
      </c>
      <c r="F32" s="348">
        <v>3</v>
      </c>
      <c r="G32" s="349">
        <v>2</v>
      </c>
      <c r="H32" s="349">
        <v>4</v>
      </c>
      <c r="I32" s="349">
        <v>1</v>
      </c>
      <c r="J32" s="349">
        <v>3</v>
      </c>
      <c r="K32" s="349">
        <v>2</v>
      </c>
      <c r="L32" s="349">
        <v>4</v>
      </c>
      <c r="M32" s="349">
        <v>3</v>
      </c>
      <c r="N32" s="349">
        <v>2</v>
      </c>
      <c r="O32" s="350">
        <f t="shared" si="0"/>
        <v>30</v>
      </c>
      <c r="R32" s="356" t="s">
        <v>51</v>
      </c>
      <c r="S32" s="356" t="s">
        <v>123</v>
      </c>
      <c r="T32" s="352">
        <v>2</v>
      </c>
      <c r="U32" s="351">
        <v>4</v>
      </c>
      <c r="V32" s="351">
        <v>1</v>
      </c>
      <c r="W32" s="351">
        <v>3</v>
      </c>
      <c r="X32" s="352">
        <v>2</v>
      </c>
      <c r="Y32" s="352">
        <v>4</v>
      </c>
      <c r="Z32" s="352">
        <v>1</v>
      </c>
      <c r="AA32" s="352">
        <v>3</v>
      </c>
      <c r="AB32" s="352">
        <v>2</v>
      </c>
      <c r="AC32" s="352">
        <v>4</v>
      </c>
      <c r="AD32" s="352">
        <v>3</v>
      </c>
      <c r="AE32" s="352">
        <v>2</v>
      </c>
      <c r="AF32" s="353">
        <f t="shared" si="1"/>
        <v>31</v>
      </c>
    </row>
    <row r="33" spans="1:32" ht="13.8">
      <c r="A33" s="355"/>
      <c r="B33" s="354" t="s">
        <v>64</v>
      </c>
      <c r="C33" s="348">
        <v>1022</v>
      </c>
      <c r="D33" s="348">
        <v>5220</v>
      </c>
      <c r="E33" s="348">
        <v>707</v>
      </c>
      <c r="F33" s="348">
        <v>7584</v>
      </c>
      <c r="G33" s="349">
        <v>2044</v>
      </c>
      <c r="H33" s="349">
        <v>5220</v>
      </c>
      <c r="I33" s="349">
        <v>707</v>
      </c>
      <c r="J33" s="349">
        <v>7584</v>
      </c>
      <c r="K33" s="349">
        <v>2044</v>
      </c>
      <c r="L33" s="349">
        <v>5220</v>
      </c>
      <c r="M33" s="349">
        <v>2121</v>
      </c>
      <c r="N33" s="349">
        <v>5056</v>
      </c>
      <c r="O33" s="350">
        <f t="shared" si="0"/>
        <v>44529</v>
      </c>
      <c r="R33" s="357"/>
      <c r="S33" s="356" t="s">
        <v>64</v>
      </c>
      <c r="T33" s="352">
        <v>2044</v>
      </c>
      <c r="U33" s="351">
        <v>5220</v>
      </c>
      <c r="V33" s="351">
        <v>707</v>
      </c>
      <c r="W33" s="351">
        <v>7584</v>
      </c>
      <c r="X33" s="352">
        <v>2044</v>
      </c>
      <c r="Y33" s="352">
        <v>5220</v>
      </c>
      <c r="Z33" s="352">
        <v>707</v>
      </c>
      <c r="AA33" s="352">
        <v>7584</v>
      </c>
      <c r="AB33" s="352">
        <v>2044</v>
      </c>
      <c r="AC33" s="352">
        <v>5220</v>
      </c>
      <c r="AD33" s="352">
        <v>2121</v>
      </c>
      <c r="AE33" s="352">
        <v>5056</v>
      </c>
      <c r="AF33" s="353">
        <f t="shared" si="1"/>
        <v>45551</v>
      </c>
    </row>
    <row r="34" spans="1:32" ht="13.8">
      <c r="A34" s="355"/>
      <c r="B34" s="354" t="s">
        <v>186</v>
      </c>
      <c r="C34" s="348">
        <v>2810.5</v>
      </c>
      <c r="D34" s="348">
        <v>5250.25</v>
      </c>
      <c r="E34" s="348">
        <v>1944.25</v>
      </c>
      <c r="F34" s="348">
        <v>13828.5</v>
      </c>
      <c r="G34" s="349">
        <v>5621</v>
      </c>
      <c r="H34" s="349">
        <v>5250.25</v>
      </c>
      <c r="I34" s="349">
        <v>1944.25</v>
      </c>
      <c r="J34" s="349">
        <v>13828.5</v>
      </c>
      <c r="K34" s="349">
        <v>5621</v>
      </c>
      <c r="L34" s="349">
        <v>5250.25</v>
      </c>
      <c r="M34" s="349">
        <v>5832.75</v>
      </c>
      <c r="N34" s="349">
        <v>9219</v>
      </c>
      <c r="O34" s="350">
        <f t="shared" si="0"/>
        <v>76400.5</v>
      </c>
      <c r="R34" s="357"/>
      <c r="S34" s="356" t="s">
        <v>186</v>
      </c>
      <c r="T34" s="352">
        <v>5621</v>
      </c>
      <c r="U34" s="351">
        <v>5250.25</v>
      </c>
      <c r="V34" s="351">
        <v>1944.25</v>
      </c>
      <c r="W34" s="351">
        <v>13828.5</v>
      </c>
      <c r="X34" s="352">
        <v>5621</v>
      </c>
      <c r="Y34" s="352">
        <v>5250.25</v>
      </c>
      <c r="Z34" s="352">
        <v>1944.25</v>
      </c>
      <c r="AA34" s="352">
        <v>13828.5</v>
      </c>
      <c r="AB34" s="352">
        <v>5621</v>
      </c>
      <c r="AC34" s="352">
        <v>5250.25</v>
      </c>
      <c r="AD34" s="352">
        <v>5832.75</v>
      </c>
      <c r="AE34" s="352">
        <v>9219</v>
      </c>
      <c r="AF34" s="353">
        <f t="shared" si="1"/>
        <v>79211</v>
      </c>
    </row>
    <row r="35" spans="1:32" ht="14.4">
      <c r="A35" s="280"/>
      <c r="B35" s="285" t="s">
        <v>66</v>
      </c>
      <c r="C35" s="286">
        <f t="shared" ref="C35:O35" si="14">C34*90</f>
        <v>252945</v>
      </c>
      <c r="D35" s="286">
        <f t="shared" si="14"/>
        <v>472522.5</v>
      </c>
      <c r="E35" s="286">
        <f t="shared" si="14"/>
        <v>174982.5</v>
      </c>
      <c r="F35" s="286">
        <f t="shared" si="14"/>
        <v>1244565</v>
      </c>
      <c r="G35" s="286">
        <f t="shared" si="14"/>
        <v>505890</v>
      </c>
      <c r="H35" s="286">
        <f t="shared" si="14"/>
        <v>472522.5</v>
      </c>
      <c r="I35" s="286">
        <f t="shared" si="14"/>
        <v>174982.5</v>
      </c>
      <c r="J35" s="286">
        <f t="shared" si="14"/>
        <v>1244565</v>
      </c>
      <c r="K35" s="286">
        <f t="shared" si="14"/>
        <v>505890</v>
      </c>
      <c r="L35" s="286">
        <f t="shared" si="14"/>
        <v>472522.5</v>
      </c>
      <c r="M35" s="286">
        <f t="shared" si="14"/>
        <v>524947.5</v>
      </c>
      <c r="N35" s="286">
        <f t="shared" si="14"/>
        <v>829710</v>
      </c>
      <c r="O35" s="286">
        <f t="shared" si="14"/>
        <v>6876045</v>
      </c>
      <c r="R35" s="280"/>
      <c r="S35" s="285" t="s">
        <v>66</v>
      </c>
      <c r="T35" s="286">
        <f t="shared" ref="T35:AF35" si="15">T34*90</f>
        <v>505890</v>
      </c>
      <c r="U35" s="286">
        <f t="shared" si="15"/>
        <v>472522.5</v>
      </c>
      <c r="V35" s="286">
        <f t="shared" si="15"/>
        <v>174982.5</v>
      </c>
      <c r="W35" s="286">
        <f t="shared" si="15"/>
        <v>1244565</v>
      </c>
      <c r="X35" s="286">
        <f t="shared" si="15"/>
        <v>505890</v>
      </c>
      <c r="Y35" s="286">
        <f t="shared" si="15"/>
        <v>472522.5</v>
      </c>
      <c r="Z35" s="286">
        <f t="shared" si="15"/>
        <v>174982.5</v>
      </c>
      <c r="AA35" s="286">
        <f t="shared" si="15"/>
        <v>1244565</v>
      </c>
      <c r="AB35" s="286">
        <f t="shared" si="15"/>
        <v>505890</v>
      </c>
      <c r="AC35" s="286">
        <f t="shared" si="15"/>
        <v>472522.5</v>
      </c>
      <c r="AD35" s="286">
        <f t="shared" si="15"/>
        <v>524947.5</v>
      </c>
      <c r="AE35" s="286">
        <f t="shared" si="15"/>
        <v>829710</v>
      </c>
      <c r="AF35" s="286">
        <f t="shared" si="15"/>
        <v>7128990</v>
      </c>
    </row>
    <row r="36" spans="1:32" ht="13.8">
      <c r="A36" s="354" t="s">
        <v>56</v>
      </c>
      <c r="B36" s="354" t="s">
        <v>123</v>
      </c>
      <c r="C36" s="348">
        <v>8</v>
      </c>
      <c r="D36" s="348">
        <v>5</v>
      </c>
      <c r="E36" s="348">
        <v>6</v>
      </c>
      <c r="F36" s="348">
        <v>7</v>
      </c>
      <c r="G36" s="349">
        <v>8</v>
      </c>
      <c r="H36" s="349">
        <v>6</v>
      </c>
      <c r="I36" s="349">
        <v>9</v>
      </c>
      <c r="J36" s="349">
        <v>7</v>
      </c>
      <c r="K36" s="349">
        <v>8</v>
      </c>
      <c r="L36" s="349">
        <v>9</v>
      </c>
      <c r="M36" s="349">
        <v>7</v>
      </c>
      <c r="N36" s="349">
        <v>5</v>
      </c>
      <c r="O36" s="350">
        <f t="shared" si="0"/>
        <v>85</v>
      </c>
      <c r="R36" s="356" t="s">
        <v>56</v>
      </c>
      <c r="S36" s="356" t="s">
        <v>123</v>
      </c>
      <c r="T36" s="351">
        <v>8</v>
      </c>
      <c r="U36" s="352">
        <v>7</v>
      </c>
      <c r="V36" s="351">
        <v>9</v>
      </c>
      <c r="W36" s="351">
        <v>7</v>
      </c>
      <c r="X36" s="352">
        <v>8</v>
      </c>
      <c r="Y36" s="351">
        <v>7</v>
      </c>
      <c r="Z36" s="352">
        <v>9</v>
      </c>
      <c r="AA36" s="352">
        <v>7</v>
      </c>
      <c r="AB36" s="352">
        <v>8</v>
      </c>
      <c r="AC36" s="352">
        <v>9</v>
      </c>
      <c r="AD36" s="352">
        <v>7</v>
      </c>
      <c r="AE36" s="352">
        <v>5</v>
      </c>
      <c r="AF36" s="353">
        <f t="shared" si="1"/>
        <v>91</v>
      </c>
    </row>
    <row r="37" spans="1:32" ht="13.8">
      <c r="A37" s="355"/>
      <c r="B37" s="354" t="s">
        <v>64</v>
      </c>
      <c r="C37" s="348">
        <v>31615</v>
      </c>
      <c r="D37" s="348">
        <v>20195</v>
      </c>
      <c r="E37" s="348">
        <v>22928</v>
      </c>
      <c r="F37" s="348">
        <v>25589</v>
      </c>
      <c r="G37" s="349">
        <v>31615</v>
      </c>
      <c r="H37" s="349">
        <v>24234</v>
      </c>
      <c r="I37" s="349">
        <v>22928</v>
      </c>
      <c r="J37" s="349">
        <v>25589</v>
      </c>
      <c r="K37" s="349">
        <v>31615</v>
      </c>
      <c r="L37" s="349">
        <v>36351</v>
      </c>
      <c r="M37" s="349">
        <v>17832.888888888891</v>
      </c>
      <c r="N37" s="349">
        <v>18277.857142857141</v>
      </c>
      <c r="O37" s="350">
        <f t="shared" si="0"/>
        <v>308769.74603174604</v>
      </c>
      <c r="R37" s="357"/>
      <c r="S37" s="356" t="s">
        <v>64</v>
      </c>
      <c r="T37" s="351">
        <v>31615</v>
      </c>
      <c r="U37" s="352">
        <v>17832.888888888891</v>
      </c>
      <c r="V37" s="351">
        <v>22928</v>
      </c>
      <c r="W37" s="351">
        <v>25589</v>
      </c>
      <c r="X37" s="352">
        <v>31615</v>
      </c>
      <c r="Y37" s="351">
        <v>25589</v>
      </c>
      <c r="Z37" s="352">
        <v>22928</v>
      </c>
      <c r="AA37" s="352">
        <v>25589</v>
      </c>
      <c r="AB37" s="352">
        <v>31615</v>
      </c>
      <c r="AC37" s="352">
        <v>36351</v>
      </c>
      <c r="AD37" s="352">
        <v>17832.888888888891</v>
      </c>
      <c r="AE37" s="352">
        <v>18277.857142857141</v>
      </c>
      <c r="AF37" s="353">
        <f t="shared" si="1"/>
        <v>307762.63492063491</v>
      </c>
    </row>
    <row r="38" spans="1:32" ht="13.8">
      <c r="A38" s="355"/>
      <c r="B38" s="354" t="s">
        <v>186</v>
      </c>
      <c r="C38" s="348">
        <v>47072</v>
      </c>
      <c r="D38" s="348">
        <v>36989.25</v>
      </c>
      <c r="E38" s="348">
        <v>44191</v>
      </c>
      <c r="F38" s="348">
        <v>34630</v>
      </c>
      <c r="G38" s="349">
        <v>47072</v>
      </c>
      <c r="H38" s="349">
        <v>44387.100000000006</v>
      </c>
      <c r="I38" s="349">
        <v>44191</v>
      </c>
      <c r="J38" s="349">
        <v>34630</v>
      </c>
      <c r="K38" s="349">
        <v>47072</v>
      </c>
      <c r="L38" s="349">
        <v>66580.650000000009</v>
      </c>
      <c r="M38" s="349">
        <v>34370.777777777781</v>
      </c>
      <c r="N38" s="349">
        <v>24735.714285714283</v>
      </c>
      <c r="O38" s="350">
        <f t="shared" si="0"/>
        <v>505921.49206349201</v>
      </c>
      <c r="R38" s="357"/>
      <c r="S38" s="356" t="s">
        <v>186</v>
      </c>
      <c r="T38" s="351">
        <v>47072</v>
      </c>
      <c r="U38" s="352">
        <v>34370.777777777781</v>
      </c>
      <c r="V38" s="351">
        <v>44191</v>
      </c>
      <c r="W38" s="351">
        <v>34630</v>
      </c>
      <c r="X38" s="352">
        <v>47072</v>
      </c>
      <c r="Y38" s="351">
        <v>34630</v>
      </c>
      <c r="Z38" s="352">
        <v>44191</v>
      </c>
      <c r="AA38" s="352">
        <v>34630</v>
      </c>
      <c r="AB38" s="352">
        <v>47072</v>
      </c>
      <c r="AC38" s="352">
        <v>66580.650000000009</v>
      </c>
      <c r="AD38" s="352">
        <v>34370.777777777781</v>
      </c>
      <c r="AE38" s="352">
        <v>24735.714285714283</v>
      </c>
      <c r="AF38" s="353">
        <f t="shared" si="1"/>
        <v>493545.91984126979</v>
      </c>
    </row>
    <row r="39" spans="1:32" ht="14.4">
      <c r="A39" s="280"/>
      <c r="B39" s="285" t="s">
        <v>66</v>
      </c>
      <c r="C39" s="286">
        <f t="shared" ref="C39:O39" si="16">C38*90</f>
        <v>4236480</v>
      </c>
      <c r="D39" s="286">
        <f t="shared" si="16"/>
        <v>3329032.5</v>
      </c>
      <c r="E39" s="286">
        <f t="shared" si="16"/>
        <v>3977190</v>
      </c>
      <c r="F39" s="286">
        <f t="shared" si="16"/>
        <v>3116700</v>
      </c>
      <c r="G39" s="286">
        <f t="shared" si="16"/>
        <v>4236480</v>
      </c>
      <c r="H39" s="286">
        <f t="shared" si="16"/>
        <v>3994839.0000000005</v>
      </c>
      <c r="I39" s="286">
        <f t="shared" si="16"/>
        <v>3977190</v>
      </c>
      <c r="J39" s="286">
        <f t="shared" si="16"/>
        <v>3116700</v>
      </c>
      <c r="K39" s="286">
        <f t="shared" si="16"/>
        <v>4236480</v>
      </c>
      <c r="L39" s="286">
        <f t="shared" si="16"/>
        <v>5992258.5000000009</v>
      </c>
      <c r="M39" s="286">
        <f t="shared" si="16"/>
        <v>3093370.0000000005</v>
      </c>
      <c r="N39" s="286">
        <f t="shared" si="16"/>
        <v>2226214.2857142854</v>
      </c>
      <c r="O39" s="286">
        <f t="shared" si="16"/>
        <v>45532934.285714284</v>
      </c>
      <c r="R39" s="280"/>
      <c r="S39" s="285" t="s">
        <v>66</v>
      </c>
      <c r="T39" s="286">
        <f t="shared" ref="T39:AF39" si="17">T38*90</f>
        <v>4236480</v>
      </c>
      <c r="U39" s="286">
        <f t="shared" si="17"/>
        <v>3093370.0000000005</v>
      </c>
      <c r="V39" s="286">
        <f t="shared" si="17"/>
        <v>3977190</v>
      </c>
      <c r="W39" s="286">
        <f t="shared" si="17"/>
        <v>3116700</v>
      </c>
      <c r="X39" s="286">
        <f t="shared" si="17"/>
        <v>4236480</v>
      </c>
      <c r="Y39" s="286">
        <f t="shared" si="17"/>
        <v>3116700</v>
      </c>
      <c r="Z39" s="286">
        <f t="shared" si="17"/>
        <v>3977190</v>
      </c>
      <c r="AA39" s="286">
        <f t="shared" si="17"/>
        <v>3116700</v>
      </c>
      <c r="AB39" s="286">
        <f t="shared" si="17"/>
        <v>4236480</v>
      </c>
      <c r="AC39" s="286">
        <f t="shared" si="17"/>
        <v>5992258.5000000009</v>
      </c>
      <c r="AD39" s="286">
        <f t="shared" si="17"/>
        <v>3093370.0000000005</v>
      </c>
      <c r="AE39" s="286">
        <f t="shared" si="17"/>
        <v>2226214.2857142854</v>
      </c>
      <c r="AF39" s="286">
        <f t="shared" si="17"/>
        <v>44419132.785714284</v>
      </c>
    </row>
    <row r="40" spans="1:32" ht="13.8">
      <c r="A40" s="354" t="s">
        <v>57</v>
      </c>
      <c r="B40" s="354" t="s">
        <v>123</v>
      </c>
      <c r="C40" s="348">
        <v>7</v>
      </c>
      <c r="D40" s="348">
        <v>5</v>
      </c>
      <c r="E40" s="348">
        <v>4</v>
      </c>
      <c r="F40" s="348">
        <v>3</v>
      </c>
      <c r="G40" s="349">
        <v>4</v>
      </c>
      <c r="H40" s="349">
        <v>6</v>
      </c>
      <c r="I40" s="349">
        <v>5</v>
      </c>
      <c r="J40" s="349">
        <v>7</v>
      </c>
      <c r="K40" s="349">
        <v>6</v>
      </c>
      <c r="L40" s="349">
        <v>5</v>
      </c>
      <c r="M40" s="348">
        <v>4</v>
      </c>
      <c r="N40" s="348">
        <v>3</v>
      </c>
      <c r="O40" s="350">
        <f t="shared" si="0"/>
        <v>59</v>
      </c>
      <c r="R40" s="356" t="s">
        <v>57</v>
      </c>
      <c r="S40" s="356" t="s">
        <v>123</v>
      </c>
      <c r="T40" s="351">
        <v>7</v>
      </c>
      <c r="U40" s="351">
        <v>5</v>
      </c>
      <c r="V40" s="351">
        <v>4</v>
      </c>
      <c r="W40" s="352">
        <v>5</v>
      </c>
      <c r="X40" s="352">
        <v>4</v>
      </c>
      <c r="Y40" s="352">
        <v>7</v>
      </c>
      <c r="Z40" s="352">
        <v>5</v>
      </c>
      <c r="AA40" s="352">
        <v>7</v>
      </c>
      <c r="AB40" s="352">
        <v>6</v>
      </c>
      <c r="AC40" s="352">
        <v>5</v>
      </c>
      <c r="AD40" s="352">
        <v>7</v>
      </c>
      <c r="AE40" s="351">
        <v>4</v>
      </c>
      <c r="AF40" s="353">
        <f t="shared" si="1"/>
        <v>66</v>
      </c>
    </row>
    <row r="41" spans="1:32" ht="13.8">
      <c r="A41" s="355"/>
      <c r="B41" s="354" t="s">
        <v>64</v>
      </c>
      <c r="C41" s="348">
        <v>21410</v>
      </c>
      <c r="D41" s="348">
        <v>12812</v>
      </c>
      <c r="E41" s="348">
        <v>9388</v>
      </c>
      <c r="F41" s="348">
        <v>10590</v>
      </c>
      <c r="G41" s="349">
        <v>12234.285714285714</v>
      </c>
      <c r="H41" s="349">
        <v>15374.400000000001</v>
      </c>
      <c r="I41" s="349">
        <v>11735</v>
      </c>
      <c r="J41" s="349">
        <v>24710</v>
      </c>
      <c r="K41" s="349">
        <v>18351.428571428572</v>
      </c>
      <c r="L41" s="349">
        <v>12812</v>
      </c>
      <c r="M41" s="348">
        <v>9388</v>
      </c>
      <c r="N41" s="348">
        <v>10590</v>
      </c>
      <c r="O41" s="350">
        <f t="shared" si="0"/>
        <v>169395.11428571428</v>
      </c>
      <c r="R41" s="357"/>
      <c r="S41" s="356" t="s">
        <v>64</v>
      </c>
      <c r="T41" s="351">
        <v>21410</v>
      </c>
      <c r="U41" s="351">
        <v>12812</v>
      </c>
      <c r="V41" s="351">
        <v>9388</v>
      </c>
      <c r="W41" s="352">
        <v>12812</v>
      </c>
      <c r="X41" s="352">
        <v>12234.285714285714</v>
      </c>
      <c r="Y41" s="352">
        <v>16429</v>
      </c>
      <c r="Z41" s="352">
        <v>11735</v>
      </c>
      <c r="AA41" s="352">
        <v>24710</v>
      </c>
      <c r="AB41" s="352">
        <v>18351.428571428572</v>
      </c>
      <c r="AC41" s="352">
        <v>12812</v>
      </c>
      <c r="AD41" s="352">
        <v>24710</v>
      </c>
      <c r="AE41" s="351">
        <v>9388</v>
      </c>
      <c r="AF41" s="353">
        <f t="shared" si="1"/>
        <v>186791.71428571429</v>
      </c>
    </row>
    <row r="42" spans="1:32" ht="13.8">
      <c r="A42" s="355"/>
      <c r="B42" s="354" t="s">
        <v>186</v>
      </c>
      <c r="C42" s="348">
        <v>25284.75</v>
      </c>
      <c r="D42" s="348">
        <v>40237.5</v>
      </c>
      <c r="E42" s="348">
        <v>23589</v>
      </c>
      <c r="F42" s="348">
        <v>37812.5</v>
      </c>
      <c r="G42" s="349">
        <v>14448.428571428571</v>
      </c>
      <c r="H42" s="349">
        <v>48285</v>
      </c>
      <c r="I42" s="349">
        <v>29486.25</v>
      </c>
      <c r="J42" s="349">
        <v>88229.166666666657</v>
      </c>
      <c r="K42" s="349">
        <v>21672.642857142855</v>
      </c>
      <c r="L42" s="349">
        <v>40237.5</v>
      </c>
      <c r="M42" s="348">
        <v>23589</v>
      </c>
      <c r="N42" s="348">
        <v>37812.5</v>
      </c>
      <c r="O42" s="350">
        <f t="shared" si="0"/>
        <v>430684.23809523811</v>
      </c>
      <c r="R42" s="357"/>
      <c r="S42" s="356" t="s">
        <v>186</v>
      </c>
      <c r="T42" s="351">
        <v>25284.75</v>
      </c>
      <c r="U42" s="351">
        <v>40237.5</v>
      </c>
      <c r="V42" s="351">
        <v>23589</v>
      </c>
      <c r="W42" s="352">
        <v>40237.5</v>
      </c>
      <c r="X42" s="352">
        <v>14448.428571428571</v>
      </c>
      <c r="Y42" s="352">
        <v>41280.75</v>
      </c>
      <c r="Z42" s="352">
        <v>29486.25</v>
      </c>
      <c r="AA42" s="352">
        <v>88229.166666666657</v>
      </c>
      <c r="AB42" s="352">
        <v>21672.642857142855</v>
      </c>
      <c r="AC42" s="352">
        <v>40237.5</v>
      </c>
      <c r="AD42" s="352">
        <v>88229.166666666657</v>
      </c>
      <c r="AE42" s="351">
        <v>23589</v>
      </c>
      <c r="AF42" s="353">
        <f t="shared" si="1"/>
        <v>476521.65476190473</v>
      </c>
    </row>
    <row r="43" spans="1:32" ht="14.4">
      <c r="A43" s="280"/>
      <c r="B43" s="285" t="s">
        <v>66</v>
      </c>
      <c r="C43" s="286">
        <f t="shared" ref="C43:O43" si="18">C42*90</f>
        <v>2275627.5</v>
      </c>
      <c r="D43" s="286">
        <f t="shared" si="18"/>
        <v>3621375</v>
      </c>
      <c r="E43" s="286">
        <f t="shared" si="18"/>
        <v>2123010</v>
      </c>
      <c r="F43" s="286">
        <f t="shared" si="18"/>
        <v>3403125</v>
      </c>
      <c r="G43" s="286">
        <f t="shared" si="18"/>
        <v>1300358.5714285714</v>
      </c>
      <c r="H43" s="286">
        <f t="shared" si="18"/>
        <v>4345650</v>
      </c>
      <c r="I43" s="286">
        <f t="shared" si="18"/>
        <v>2653762.5</v>
      </c>
      <c r="J43" s="286">
        <f t="shared" si="18"/>
        <v>7940624.9999999991</v>
      </c>
      <c r="K43" s="286">
        <f t="shared" si="18"/>
        <v>1950537.857142857</v>
      </c>
      <c r="L43" s="286">
        <f t="shared" si="18"/>
        <v>3621375</v>
      </c>
      <c r="M43" s="286">
        <f t="shared" si="18"/>
        <v>2123010</v>
      </c>
      <c r="N43" s="286">
        <f t="shared" si="18"/>
        <v>3403125</v>
      </c>
      <c r="O43" s="286">
        <f t="shared" si="18"/>
        <v>38761581.428571433</v>
      </c>
      <c r="R43" s="280"/>
      <c r="S43" s="285" t="s">
        <v>66</v>
      </c>
      <c r="T43" s="286">
        <f t="shared" ref="T43:AF43" si="19">T42*90</f>
        <v>2275627.5</v>
      </c>
      <c r="U43" s="286">
        <f t="shared" si="19"/>
        <v>3621375</v>
      </c>
      <c r="V43" s="286">
        <f t="shared" si="19"/>
        <v>2123010</v>
      </c>
      <c r="W43" s="286">
        <f t="shared" si="19"/>
        <v>3621375</v>
      </c>
      <c r="X43" s="286">
        <f t="shared" si="19"/>
        <v>1300358.5714285714</v>
      </c>
      <c r="Y43" s="286">
        <f t="shared" si="19"/>
        <v>3715267.5</v>
      </c>
      <c r="Z43" s="286">
        <f t="shared" si="19"/>
        <v>2653762.5</v>
      </c>
      <c r="AA43" s="286">
        <f t="shared" si="19"/>
        <v>7940624.9999999991</v>
      </c>
      <c r="AB43" s="286">
        <f t="shared" si="19"/>
        <v>1950537.857142857</v>
      </c>
      <c r="AC43" s="286">
        <f t="shared" si="19"/>
        <v>3621375</v>
      </c>
      <c r="AD43" s="286">
        <f t="shared" si="19"/>
        <v>7940624.9999999991</v>
      </c>
      <c r="AE43" s="286">
        <f t="shared" si="19"/>
        <v>2123010</v>
      </c>
      <c r="AF43" s="286">
        <f t="shared" si="19"/>
        <v>42886948.928571425</v>
      </c>
    </row>
    <row r="44" spans="1:32" ht="13.8">
      <c r="A44" s="354" t="s">
        <v>190</v>
      </c>
      <c r="B44" s="354" t="s">
        <v>123</v>
      </c>
      <c r="C44" s="348">
        <v>33</v>
      </c>
      <c r="D44" s="348">
        <v>0</v>
      </c>
      <c r="E44" s="348">
        <v>238</v>
      </c>
      <c r="F44" s="348">
        <v>0</v>
      </c>
      <c r="G44" s="349"/>
      <c r="H44" s="349"/>
      <c r="I44" s="349"/>
      <c r="J44" s="349"/>
      <c r="K44" s="349"/>
      <c r="L44" s="349"/>
      <c r="M44" s="349"/>
      <c r="N44" s="349">
        <v>35</v>
      </c>
      <c r="O44" s="350">
        <f t="shared" si="0"/>
        <v>306</v>
      </c>
      <c r="R44" s="356" t="s">
        <v>190</v>
      </c>
      <c r="S44" s="356" t="s">
        <v>123</v>
      </c>
      <c r="T44" s="351">
        <v>33</v>
      </c>
      <c r="U44" s="351">
        <v>0</v>
      </c>
      <c r="V44" s="351">
        <v>238</v>
      </c>
      <c r="W44" s="351">
        <v>0</v>
      </c>
      <c r="X44" s="352"/>
      <c r="Y44" s="352"/>
      <c r="Z44" s="352"/>
      <c r="AA44" s="352"/>
      <c r="AB44" s="352"/>
      <c r="AC44" s="352"/>
      <c r="AD44" s="352"/>
      <c r="AE44" s="352">
        <v>35</v>
      </c>
      <c r="AF44" s="353">
        <f t="shared" si="1"/>
        <v>306</v>
      </c>
    </row>
    <row r="45" spans="1:32" ht="13.8">
      <c r="A45" s="355"/>
      <c r="B45" s="354" t="s">
        <v>64</v>
      </c>
      <c r="C45" s="348">
        <v>237433</v>
      </c>
      <c r="D45" s="348">
        <v>0</v>
      </c>
      <c r="E45" s="348">
        <v>2022277</v>
      </c>
      <c r="F45" s="348">
        <v>0</v>
      </c>
      <c r="G45" s="349"/>
      <c r="H45" s="349"/>
      <c r="I45" s="349"/>
      <c r="J45" s="349"/>
      <c r="K45" s="349"/>
      <c r="L45" s="349"/>
      <c r="M45" s="349"/>
      <c r="N45" s="349">
        <v>251822.87878787878</v>
      </c>
      <c r="O45" s="350">
        <f t="shared" si="0"/>
        <v>2511532.8787878789</v>
      </c>
      <c r="R45" s="357"/>
      <c r="S45" s="356" t="s">
        <v>64</v>
      </c>
      <c r="T45" s="351">
        <v>237433</v>
      </c>
      <c r="U45" s="351">
        <v>0</v>
      </c>
      <c r="V45" s="351">
        <v>2022277</v>
      </c>
      <c r="W45" s="351">
        <v>0</v>
      </c>
      <c r="X45" s="352"/>
      <c r="Y45" s="352"/>
      <c r="Z45" s="352"/>
      <c r="AA45" s="352"/>
      <c r="AB45" s="352"/>
      <c r="AC45" s="352"/>
      <c r="AD45" s="352"/>
      <c r="AE45" s="352">
        <v>251822.87878787878</v>
      </c>
      <c r="AF45" s="353">
        <f t="shared" si="1"/>
        <v>2511532.8787878789</v>
      </c>
    </row>
    <row r="46" spans="1:32" ht="13.8">
      <c r="A46" s="355"/>
      <c r="B46" s="354" t="s">
        <v>186</v>
      </c>
      <c r="C46" s="348">
        <v>125174.5</v>
      </c>
      <c r="D46" s="348">
        <v>0</v>
      </c>
      <c r="E46" s="348">
        <v>528766.25</v>
      </c>
      <c r="F46" s="348">
        <v>0</v>
      </c>
      <c r="G46" s="349"/>
      <c r="H46" s="349"/>
      <c r="I46" s="349"/>
      <c r="J46" s="349"/>
      <c r="K46" s="349"/>
      <c r="L46" s="349"/>
      <c r="M46" s="349"/>
      <c r="N46" s="349">
        <v>132760.83333333331</v>
      </c>
      <c r="O46" s="350">
        <f t="shared" si="0"/>
        <v>786701.58333333326</v>
      </c>
      <c r="R46" s="357"/>
      <c r="S46" s="356" t="s">
        <v>186</v>
      </c>
      <c r="T46" s="351">
        <v>125174.5</v>
      </c>
      <c r="U46" s="351">
        <v>0</v>
      </c>
      <c r="V46" s="351">
        <v>528766.25</v>
      </c>
      <c r="W46" s="351">
        <v>0</v>
      </c>
      <c r="X46" s="352"/>
      <c r="Y46" s="352"/>
      <c r="Z46" s="352"/>
      <c r="AA46" s="352"/>
      <c r="AB46" s="352"/>
      <c r="AC46" s="352"/>
      <c r="AD46" s="352"/>
      <c r="AE46" s="352">
        <v>132760.83333333331</v>
      </c>
      <c r="AF46" s="353">
        <f t="shared" si="1"/>
        <v>786701.58333333326</v>
      </c>
    </row>
    <row r="47" spans="1:32" ht="14.4">
      <c r="A47" s="280"/>
      <c r="B47" s="285" t="s">
        <v>66</v>
      </c>
      <c r="C47" s="286"/>
      <c r="D47" s="286">
        <f t="shared" ref="C47:O47" si="20">D46*90</f>
        <v>0</v>
      </c>
      <c r="E47" s="286"/>
      <c r="F47" s="286">
        <f t="shared" si="20"/>
        <v>0</v>
      </c>
      <c r="G47" s="286">
        <f t="shared" si="20"/>
        <v>0</v>
      </c>
      <c r="H47" s="286">
        <f t="shared" si="20"/>
        <v>0</v>
      </c>
      <c r="I47" s="286">
        <f t="shared" si="20"/>
        <v>0</v>
      </c>
      <c r="J47" s="286">
        <f t="shared" si="20"/>
        <v>0</v>
      </c>
      <c r="K47" s="286">
        <f t="shared" si="20"/>
        <v>0</v>
      </c>
      <c r="L47" s="286">
        <f t="shared" si="20"/>
        <v>0</v>
      </c>
      <c r="M47" s="286">
        <f t="shared" si="20"/>
        <v>0</v>
      </c>
      <c r="N47" s="286"/>
      <c r="O47" s="286"/>
      <c r="R47" s="280"/>
      <c r="S47" s="285" t="s">
        <v>66</v>
      </c>
      <c r="T47" s="286">
        <f t="shared" ref="T47:AF47" si="21">T46*90</f>
        <v>11265705</v>
      </c>
      <c r="U47" s="286">
        <f t="shared" si="21"/>
        <v>0</v>
      </c>
      <c r="V47" s="286">
        <f t="shared" si="21"/>
        <v>47588962.5</v>
      </c>
      <c r="W47" s="286">
        <f t="shared" si="21"/>
        <v>0</v>
      </c>
      <c r="X47" s="286">
        <f t="shared" si="21"/>
        <v>0</v>
      </c>
      <c r="Y47" s="286">
        <f t="shared" si="21"/>
        <v>0</v>
      </c>
      <c r="Z47" s="286">
        <f t="shared" si="21"/>
        <v>0</v>
      </c>
      <c r="AA47" s="286">
        <f t="shared" si="21"/>
        <v>0</v>
      </c>
      <c r="AB47" s="286">
        <f t="shared" si="21"/>
        <v>0</v>
      </c>
      <c r="AC47" s="286">
        <f t="shared" si="21"/>
        <v>0</v>
      </c>
      <c r="AD47" s="286">
        <f t="shared" si="21"/>
        <v>0</v>
      </c>
      <c r="AE47" s="286">
        <f t="shared" si="21"/>
        <v>11948474.999999998</v>
      </c>
      <c r="AF47" s="286">
        <f t="shared" si="21"/>
        <v>70803142.5</v>
      </c>
    </row>
    <row r="48" spans="1:32" ht="13.8">
      <c r="A48" s="354" t="s">
        <v>192</v>
      </c>
      <c r="B48" s="354" t="s">
        <v>123</v>
      </c>
      <c r="C48" s="348">
        <v>8</v>
      </c>
      <c r="D48" s="348">
        <v>6</v>
      </c>
      <c r="E48" s="348">
        <v>4</v>
      </c>
      <c r="F48" s="348">
        <v>11</v>
      </c>
      <c r="G48" s="349">
        <v>10</v>
      </c>
      <c r="H48" s="349">
        <v>8</v>
      </c>
      <c r="I48" s="349">
        <v>9</v>
      </c>
      <c r="J48" s="349">
        <v>6</v>
      </c>
      <c r="K48" s="349">
        <v>8</v>
      </c>
      <c r="L48" s="349">
        <v>8</v>
      </c>
      <c r="M48" s="349">
        <v>8</v>
      </c>
      <c r="N48" s="349">
        <v>6</v>
      </c>
      <c r="O48" s="350">
        <f t="shared" si="0"/>
        <v>92</v>
      </c>
      <c r="R48" s="356" t="s">
        <v>192</v>
      </c>
      <c r="S48" s="356" t="s">
        <v>123</v>
      </c>
      <c r="T48" s="351">
        <v>8</v>
      </c>
      <c r="U48" s="352">
        <v>8</v>
      </c>
      <c r="V48" s="351">
        <v>6</v>
      </c>
      <c r="W48" s="351">
        <v>11</v>
      </c>
      <c r="X48" s="352">
        <v>10</v>
      </c>
      <c r="Y48" s="352">
        <v>8</v>
      </c>
      <c r="Z48" s="352">
        <v>9</v>
      </c>
      <c r="AA48" s="352">
        <v>6</v>
      </c>
      <c r="AB48" s="352">
        <v>8</v>
      </c>
      <c r="AC48" s="352">
        <v>10</v>
      </c>
      <c r="AD48" s="352">
        <v>9</v>
      </c>
      <c r="AE48" s="352">
        <v>6</v>
      </c>
      <c r="AF48" s="353">
        <f t="shared" si="1"/>
        <v>99</v>
      </c>
    </row>
    <row r="49" spans="1:32" ht="13.8">
      <c r="A49" s="355"/>
      <c r="B49" s="354" t="s">
        <v>64</v>
      </c>
      <c r="C49" s="348">
        <v>30163</v>
      </c>
      <c r="D49" s="348">
        <v>24047</v>
      </c>
      <c r="E49" s="348">
        <v>14317</v>
      </c>
      <c r="F49" s="348">
        <v>39136</v>
      </c>
      <c r="G49" s="349">
        <v>37703.75</v>
      </c>
      <c r="H49" s="349">
        <v>32062.666666666668</v>
      </c>
      <c r="I49" s="349">
        <v>28975.5</v>
      </c>
      <c r="J49" s="349">
        <v>21346.909090909092</v>
      </c>
      <c r="K49" s="349">
        <v>30163</v>
      </c>
      <c r="L49" s="349">
        <v>32062.666666666668</v>
      </c>
      <c r="M49" s="349">
        <v>32062.666666666668</v>
      </c>
      <c r="N49" s="349">
        <v>21346.909090909092</v>
      </c>
      <c r="O49" s="350">
        <f t="shared" si="0"/>
        <v>343387.06818181823</v>
      </c>
      <c r="R49" s="357"/>
      <c r="S49" s="356" t="s">
        <v>64</v>
      </c>
      <c r="T49" s="351">
        <v>30163</v>
      </c>
      <c r="U49" s="352">
        <v>30163</v>
      </c>
      <c r="V49" s="351">
        <v>19317</v>
      </c>
      <c r="W49" s="351">
        <v>39136</v>
      </c>
      <c r="X49" s="352">
        <v>37703.75</v>
      </c>
      <c r="Y49" s="352">
        <v>32062.666666666668</v>
      </c>
      <c r="Z49" s="352">
        <v>28975.5</v>
      </c>
      <c r="AA49" s="352">
        <v>21346.909090909092</v>
      </c>
      <c r="AB49" s="352">
        <v>30163</v>
      </c>
      <c r="AC49" s="352">
        <v>37703.75</v>
      </c>
      <c r="AD49" s="352">
        <v>28975.5</v>
      </c>
      <c r="AE49" s="352">
        <v>21346.909090909092</v>
      </c>
      <c r="AF49" s="353">
        <f t="shared" si="1"/>
        <v>357056.98484848486</v>
      </c>
    </row>
    <row r="50" spans="1:32" ht="13.8">
      <c r="A50" s="355"/>
      <c r="B50" s="354" t="s">
        <v>186</v>
      </c>
      <c r="C50" s="348">
        <v>93534</v>
      </c>
      <c r="D50" s="348">
        <v>76140.25</v>
      </c>
      <c r="E50" s="348">
        <v>42310.75</v>
      </c>
      <c r="F50" s="348">
        <v>118318.75</v>
      </c>
      <c r="G50" s="349">
        <v>116917.5</v>
      </c>
      <c r="H50" s="349">
        <v>101520.33333333333</v>
      </c>
      <c r="I50" s="349">
        <v>78466.125</v>
      </c>
      <c r="J50" s="349">
        <v>64537.5</v>
      </c>
      <c r="K50" s="349">
        <v>93534</v>
      </c>
      <c r="L50" s="349">
        <v>101520.33333333333</v>
      </c>
      <c r="M50" s="349">
        <v>101520.33333333333</v>
      </c>
      <c r="N50" s="349">
        <v>64537.5</v>
      </c>
      <c r="O50" s="350">
        <f t="shared" si="0"/>
        <v>1052857.375</v>
      </c>
      <c r="R50" s="357"/>
      <c r="S50" s="356" t="s">
        <v>186</v>
      </c>
      <c r="T50" s="351">
        <v>93534</v>
      </c>
      <c r="U50" s="352">
        <v>93534</v>
      </c>
      <c r="V50" s="351">
        <v>52310.75</v>
      </c>
      <c r="W50" s="351">
        <v>118318.75</v>
      </c>
      <c r="X50" s="352">
        <v>116917.5</v>
      </c>
      <c r="Y50" s="352">
        <v>101520.33333333333</v>
      </c>
      <c r="Z50" s="352">
        <v>78466.125</v>
      </c>
      <c r="AA50" s="352">
        <v>64537.5</v>
      </c>
      <c r="AB50" s="352">
        <v>93534</v>
      </c>
      <c r="AC50" s="352">
        <v>116917.5</v>
      </c>
      <c r="AD50" s="352">
        <v>78466.125</v>
      </c>
      <c r="AE50" s="352">
        <v>64537.5</v>
      </c>
      <c r="AF50" s="353">
        <f t="shared" si="1"/>
        <v>1072594.0833333335</v>
      </c>
    </row>
    <row r="51" spans="1:32" ht="14.4">
      <c r="A51" s="280"/>
      <c r="B51" s="285" t="s">
        <v>66</v>
      </c>
      <c r="C51" s="286">
        <f t="shared" ref="C51:O51" si="22">C50*90</f>
        <v>8418060</v>
      </c>
      <c r="D51" s="286">
        <f t="shared" si="22"/>
        <v>6852622.5</v>
      </c>
      <c r="E51" s="286">
        <f t="shared" si="22"/>
        <v>3807967.5</v>
      </c>
      <c r="F51" s="286">
        <f t="shared" si="22"/>
        <v>10648687.5</v>
      </c>
      <c r="G51" s="286">
        <f t="shared" si="22"/>
        <v>10522575</v>
      </c>
      <c r="H51" s="286">
        <f t="shared" si="22"/>
        <v>9136830</v>
      </c>
      <c r="I51" s="286">
        <f t="shared" si="22"/>
        <v>7061951.25</v>
      </c>
      <c r="J51" s="286">
        <f t="shared" si="22"/>
        <v>5808375</v>
      </c>
      <c r="K51" s="286">
        <f t="shared" si="22"/>
        <v>8418060</v>
      </c>
      <c r="L51" s="286">
        <f t="shared" si="22"/>
        <v>9136830</v>
      </c>
      <c r="M51" s="286">
        <f t="shared" si="22"/>
        <v>9136830</v>
      </c>
      <c r="N51" s="286">
        <f t="shared" si="22"/>
        <v>5808375</v>
      </c>
      <c r="O51" s="286">
        <f t="shared" si="22"/>
        <v>94757163.75</v>
      </c>
      <c r="R51" s="280"/>
      <c r="S51" s="285" t="s">
        <v>66</v>
      </c>
      <c r="T51" s="286">
        <f t="shared" ref="T51:AF51" si="23">T50*90</f>
        <v>8418060</v>
      </c>
      <c r="U51" s="286">
        <f t="shared" si="23"/>
        <v>8418060</v>
      </c>
      <c r="V51" s="286">
        <f t="shared" si="23"/>
        <v>4707967.5</v>
      </c>
      <c r="W51" s="286">
        <f t="shared" si="23"/>
        <v>10648687.5</v>
      </c>
      <c r="X51" s="286">
        <f t="shared" si="23"/>
        <v>10522575</v>
      </c>
      <c r="Y51" s="286">
        <f t="shared" si="23"/>
        <v>9136830</v>
      </c>
      <c r="Z51" s="286">
        <f t="shared" si="23"/>
        <v>7061951.25</v>
      </c>
      <c r="AA51" s="286">
        <f t="shared" si="23"/>
        <v>5808375</v>
      </c>
      <c r="AB51" s="286">
        <f t="shared" si="23"/>
        <v>8418060</v>
      </c>
      <c r="AC51" s="286">
        <f t="shared" si="23"/>
        <v>10522575</v>
      </c>
      <c r="AD51" s="286">
        <f t="shared" si="23"/>
        <v>7061951.25</v>
      </c>
      <c r="AE51" s="286">
        <f t="shared" si="23"/>
        <v>5808375</v>
      </c>
      <c r="AF51" s="286">
        <f t="shared" si="23"/>
        <v>96533467.500000015</v>
      </c>
    </row>
    <row r="52" spans="1:32" ht="13.8">
      <c r="A52" s="354" t="s">
        <v>194</v>
      </c>
      <c r="B52" s="354" t="s">
        <v>123</v>
      </c>
      <c r="C52" s="348">
        <v>1</v>
      </c>
      <c r="D52" s="348">
        <v>0</v>
      </c>
      <c r="E52" s="348">
        <v>0</v>
      </c>
      <c r="F52" s="348">
        <v>2</v>
      </c>
      <c r="G52" s="349"/>
      <c r="H52" s="349"/>
      <c r="I52" s="348">
        <v>1</v>
      </c>
      <c r="J52" s="348">
        <v>0</v>
      </c>
      <c r="K52" s="348">
        <v>0</v>
      </c>
      <c r="L52" s="348">
        <v>2</v>
      </c>
      <c r="M52" s="349"/>
      <c r="N52" s="349"/>
      <c r="O52" s="350">
        <f t="shared" si="0"/>
        <v>6</v>
      </c>
      <c r="R52" s="356" t="s">
        <v>194</v>
      </c>
      <c r="S52" s="356" t="s">
        <v>123</v>
      </c>
      <c r="T52" s="351">
        <v>1</v>
      </c>
      <c r="U52" s="351">
        <v>0</v>
      </c>
      <c r="V52" s="351">
        <v>0</v>
      </c>
      <c r="W52" s="351">
        <v>2</v>
      </c>
      <c r="X52" s="352"/>
      <c r="Y52" s="352"/>
      <c r="Z52" s="351">
        <v>1</v>
      </c>
      <c r="AA52" s="351">
        <v>0</v>
      </c>
      <c r="AB52" s="351">
        <v>0</v>
      </c>
      <c r="AC52" s="351">
        <v>2</v>
      </c>
      <c r="AD52" s="352"/>
      <c r="AE52" s="352"/>
      <c r="AF52" s="353">
        <f t="shared" si="1"/>
        <v>6</v>
      </c>
    </row>
    <row r="53" spans="1:32" ht="13.8">
      <c r="A53" s="355"/>
      <c r="B53" s="354" t="s">
        <v>64</v>
      </c>
      <c r="C53" s="348">
        <v>1833</v>
      </c>
      <c r="D53" s="348">
        <v>0</v>
      </c>
      <c r="E53" s="348">
        <v>0</v>
      </c>
      <c r="F53" s="348">
        <v>6863</v>
      </c>
      <c r="G53" s="349"/>
      <c r="H53" s="349"/>
      <c r="I53" s="348">
        <v>1833</v>
      </c>
      <c r="J53" s="348">
        <v>0</v>
      </c>
      <c r="K53" s="348">
        <v>0</v>
      </c>
      <c r="L53" s="348">
        <v>6863</v>
      </c>
      <c r="M53" s="349"/>
      <c r="N53" s="349"/>
      <c r="O53" s="350">
        <f t="shared" si="0"/>
        <v>17392</v>
      </c>
      <c r="R53" s="357"/>
      <c r="S53" s="356" t="s">
        <v>64</v>
      </c>
      <c r="T53" s="351">
        <v>1833</v>
      </c>
      <c r="U53" s="351">
        <v>0</v>
      </c>
      <c r="V53" s="351">
        <v>0</v>
      </c>
      <c r="W53" s="351">
        <v>6863</v>
      </c>
      <c r="X53" s="352"/>
      <c r="Y53" s="352"/>
      <c r="Z53" s="351">
        <v>1833</v>
      </c>
      <c r="AA53" s="351">
        <v>0</v>
      </c>
      <c r="AB53" s="351">
        <v>0</v>
      </c>
      <c r="AC53" s="351">
        <v>6863</v>
      </c>
      <c r="AD53" s="352"/>
      <c r="AE53" s="352"/>
      <c r="AF53" s="353">
        <f t="shared" si="1"/>
        <v>17392</v>
      </c>
    </row>
    <row r="54" spans="1:32" ht="13.8">
      <c r="A54" s="355"/>
      <c r="B54" s="354" t="s">
        <v>186</v>
      </c>
      <c r="C54" s="348">
        <v>5040.75</v>
      </c>
      <c r="D54" s="348">
        <v>0</v>
      </c>
      <c r="E54" s="348">
        <v>0</v>
      </c>
      <c r="F54" s="348">
        <v>30077</v>
      </c>
      <c r="G54" s="349"/>
      <c r="H54" s="349"/>
      <c r="I54" s="348">
        <v>5040.75</v>
      </c>
      <c r="J54" s="348">
        <v>0</v>
      </c>
      <c r="K54" s="348">
        <v>0</v>
      </c>
      <c r="L54" s="348">
        <v>30077</v>
      </c>
      <c r="M54" s="349"/>
      <c r="N54" s="349"/>
      <c r="O54" s="350">
        <f t="shared" si="0"/>
        <v>70235.5</v>
      </c>
      <c r="R54" s="357"/>
      <c r="S54" s="356" t="s">
        <v>186</v>
      </c>
      <c r="T54" s="351">
        <v>5040.75</v>
      </c>
      <c r="U54" s="351">
        <v>0</v>
      </c>
      <c r="V54" s="351">
        <v>0</v>
      </c>
      <c r="W54" s="351">
        <v>30077</v>
      </c>
      <c r="X54" s="352"/>
      <c r="Y54" s="352"/>
      <c r="Z54" s="351">
        <v>5040.75</v>
      </c>
      <c r="AA54" s="351">
        <v>0</v>
      </c>
      <c r="AB54" s="351">
        <v>0</v>
      </c>
      <c r="AC54" s="351">
        <v>30077</v>
      </c>
      <c r="AD54" s="352"/>
      <c r="AE54" s="352"/>
      <c r="AF54" s="353">
        <f t="shared" si="1"/>
        <v>70235.5</v>
      </c>
    </row>
    <row r="55" spans="1:32" ht="14.4">
      <c r="A55" s="280"/>
      <c r="B55" s="285" t="s">
        <v>66</v>
      </c>
      <c r="C55" s="286">
        <f t="shared" ref="C55:O55" si="24">C54*90</f>
        <v>453667.5</v>
      </c>
      <c r="D55" s="286">
        <f t="shared" si="24"/>
        <v>0</v>
      </c>
      <c r="E55" s="286">
        <f t="shared" si="24"/>
        <v>0</v>
      </c>
      <c r="F55" s="286">
        <f t="shared" si="24"/>
        <v>2706930</v>
      </c>
      <c r="G55" s="286">
        <f t="shared" si="24"/>
        <v>0</v>
      </c>
      <c r="H55" s="286">
        <f t="shared" si="24"/>
        <v>0</v>
      </c>
      <c r="I55" s="286">
        <f t="shared" si="24"/>
        <v>453667.5</v>
      </c>
      <c r="J55" s="286">
        <f t="shared" si="24"/>
        <v>0</v>
      </c>
      <c r="K55" s="286">
        <f t="shared" si="24"/>
        <v>0</v>
      </c>
      <c r="L55" s="286">
        <f t="shared" si="24"/>
        <v>2706930</v>
      </c>
      <c r="M55" s="286">
        <f t="shared" si="24"/>
        <v>0</v>
      </c>
      <c r="N55" s="286">
        <f t="shared" si="24"/>
        <v>0</v>
      </c>
      <c r="O55" s="286">
        <f t="shared" si="24"/>
        <v>6321195</v>
      </c>
      <c r="R55" s="280"/>
      <c r="S55" s="285" t="s">
        <v>66</v>
      </c>
      <c r="T55" s="286">
        <f t="shared" ref="T55:AF55" si="25">T54*90</f>
        <v>453667.5</v>
      </c>
      <c r="U55" s="286">
        <f t="shared" si="25"/>
        <v>0</v>
      </c>
      <c r="V55" s="286">
        <f t="shared" si="25"/>
        <v>0</v>
      </c>
      <c r="W55" s="286">
        <f t="shared" si="25"/>
        <v>2706930</v>
      </c>
      <c r="X55" s="286">
        <f t="shared" si="25"/>
        <v>0</v>
      </c>
      <c r="Y55" s="286">
        <f t="shared" si="25"/>
        <v>0</v>
      </c>
      <c r="Z55" s="286">
        <f t="shared" si="25"/>
        <v>453667.5</v>
      </c>
      <c r="AA55" s="286">
        <f t="shared" si="25"/>
        <v>0</v>
      </c>
      <c r="AB55" s="286">
        <f t="shared" si="25"/>
        <v>0</v>
      </c>
      <c r="AC55" s="286">
        <f t="shared" si="25"/>
        <v>2706930</v>
      </c>
      <c r="AD55" s="286">
        <f t="shared" si="25"/>
        <v>0</v>
      </c>
      <c r="AE55" s="286">
        <f t="shared" si="25"/>
        <v>0</v>
      </c>
      <c r="AF55" s="286">
        <f t="shared" si="25"/>
        <v>6321195</v>
      </c>
    </row>
    <row r="56" spans="1:32" ht="13.8">
      <c r="A56" s="344"/>
      <c r="B56" s="344"/>
      <c r="C56" s="349"/>
      <c r="D56" s="349"/>
      <c r="E56" s="349"/>
      <c r="F56" s="349"/>
      <c r="G56" s="349"/>
      <c r="H56" s="349"/>
      <c r="I56" s="349"/>
      <c r="J56" s="349"/>
      <c r="K56" s="349"/>
      <c r="L56" s="349"/>
      <c r="M56" s="349"/>
      <c r="N56" s="349"/>
      <c r="O56" s="350">
        <f t="shared" si="0"/>
        <v>0</v>
      </c>
      <c r="R56" s="338"/>
      <c r="S56" s="338"/>
      <c r="T56" s="352"/>
      <c r="U56" s="352"/>
      <c r="V56" s="352"/>
      <c r="W56" s="352"/>
      <c r="X56" s="352"/>
      <c r="Y56" s="352"/>
      <c r="Z56" s="352"/>
      <c r="AA56" s="352"/>
      <c r="AB56" s="352"/>
      <c r="AC56" s="352"/>
      <c r="AD56" s="352"/>
      <c r="AE56" s="352"/>
      <c r="AF56" s="353">
        <f t="shared" si="1"/>
        <v>0</v>
      </c>
    </row>
    <row r="57" spans="1:32" ht="13.8">
      <c r="A57" s="344"/>
      <c r="B57" s="344"/>
      <c r="C57" s="349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50">
        <f t="shared" si="0"/>
        <v>0</v>
      </c>
      <c r="R57" s="338"/>
      <c r="S57" s="338"/>
      <c r="T57" s="352"/>
      <c r="U57" s="352"/>
      <c r="V57" s="352"/>
      <c r="W57" s="352"/>
      <c r="X57" s="352"/>
      <c r="Y57" s="352"/>
      <c r="Z57" s="352"/>
      <c r="AA57" s="352"/>
      <c r="AB57" s="352"/>
      <c r="AC57" s="352"/>
      <c r="AD57" s="352"/>
      <c r="AE57" s="352"/>
      <c r="AF57" s="353">
        <f t="shared" si="1"/>
        <v>0</v>
      </c>
    </row>
    <row r="58" spans="1:32" ht="13.8">
      <c r="A58" s="344"/>
      <c r="B58" s="344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50">
        <f t="shared" si="0"/>
        <v>0</v>
      </c>
      <c r="R58" s="338"/>
      <c r="S58" s="338"/>
      <c r="T58" s="352"/>
      <c r="U58" s="352"/>
      <c r="V58" s="352"/>
      <c r="W58" s="352"/>
      <c r="X58" s="352"/>
      <c r="Y58" s="352"/>
      <c r="Z58" s="352"/>
      <c r="AA58" s="352"/>
      <c r="AB58" s="352"/>
      <c r="AC58" s="352"/>
      <c r="AD58" s="352"/>
      <c r="AE58" s="352"/>
      <c r="AF58" s="353">
        <f t="shared" si="1"/>
        <v>0</v>
      </c>
    </row>
    <row r="59" spans="1:32" ht="14.4">
      <c r="A59" s="358" t="s">
        <v>50</v>
      </c>
      <c r="B59" s="359" t="s">
        <v>123</v>
      </c>
      <c r="C59" s="360">
        <v>13</v>
      </c>
      <c r="D59" s="360">
        <v>16</v>
      </c>
      <c r="E59" s="360">
        <v>13</v>
      </c>
      <c r="F59" s="360">
        <v>15</v>
      </c>
      <c r="G59" s="360">
        <f>G6+G10+G14+G18+G22+G26</f>
        <v>14</v>
      </c>
      <c r="H59" s="360">
        <f>H6+H10+H14+H18+H22+H26</f>
        <v>14</v>
      </c>
      <c r="I59" s="360">
        <f>I6+I10+I14+I18+I22+I26</f>
        <v>15</v>
      </c>
      <c r="J59" s="360">
        <f>J6+J10+J14+J18+J22+J26</f>
        <v>15</v>
      </c>
      <c r="K59" s="360">
        <f>K6+K10+K14+K18+K22+K26</f>
        <v>13</v>
      </c>
      <c r="L59" s="360">
        <f>L6+L10+L14+L18+L22+L26</f>
        <v>16</v>
      </c>
      <c r="M59" s="360">
        <f>M6+M10+M14+M18+M22+M26</f>
        <v>13</v>
      </c>
      <c r="N59" s="360">
        <f>N6+N10+N14+N18+N22+N26</f>
        <v>8</v>
      </c>
      <c r="O59" s="350">
        <f t="shared" si="0"/>
        <v>165</v>
      </c>
      <c r="R59" s="361" t="s">
        <v>50</v>
      </c>
      <c r="S59" s="362" t="s">
        <v>123</v>
      </c>
      <c r="T59" s="363">
        <v>13</v>
      </c>
      <c r="U59" s="363">
        <v>16</v>
      </c>
      <c r="V59" s="363">
        <v>13</v>
      </c>
      <c r="W59" s="363">
        <v>15</v>
      </c>
      <c r="X59" s="363">
        <f>X6+X10+X14+X18+X22+X26</f>
        <v>14</v>
      </c>
      <c r="Y59" s="363">
        <f>Y6+Y10+Y14+Y18+Y22+Y26</f>
        <v>14</v>
      </c>
      <c r="Z59" s="363">
        <f>Z6+Z10+Z14+Z18+Z22+Z26</f>
        <v>16</v>
      </c>
      <c r="AA59" s="363">
        <f>AA6+AA10+AA14+AA18+AA22+AA26</f>
        <v>13</v>
      </c>
      <c r="AB59" s="363">
        <f>AB6+AB10+AB14+AB18+AB22+AB26</f>
        <v>12</v>
      </c>
      <c r="AC59" s="363">
        <f>AC6+AC10+AC14+AC18+AC22+AC26</f>
        <v>15</v>
      </c>
      <c r="AD59" s="363">
        <f>AD6+AD10+AD14+AD18+AD22+AD26</f>
        <v>15</v>
      </c>
      <c r="AE59" s="363">
        <f>AE6+AE10+AE14+AE18+AE22+AE26</f>
        <v>7</v>
      </c>
      <c r="AF59" s="353">
        <f t="shared" si="1"/>
        <v>163</v>
      </c>
    </row>
    <row r="60" spans="1:32" ht="13.8">
      <c r="A60" s="344"/>
      <c r="B60" s="359" t="s">
        <v>64</v>
      </c>
      <c r="C60" s="360">
        <v>221580</v>
      </c>
      <c r="D60" s="360">
        <v>305056</v>
      </c>
      <c r="E60" s="360">
        <v>243954</v>
      </c>
      <c r="F60" s="360">
        <v>289659</v>
      </c>
      <c r="G60" s="360">
        <f>G7+G11+G15+G19+G23+G27</f>
        <v>219530.66666666666</v>
      </c>
      <c r="H60" s="360">
        <f>H7+H11+H15+H19+H23+H27</f>
        <v>244916</v>
      </c>
      <c r="I60" s="360">
        <f>I7+I11+I15+I19+I23+I27</f>
        <v>263523.35714285716</v>
      </c>
      <c r="J60" s="360">
        <f>J7+J11+J15+J19+J23+J27</f>
        <v>299673.19047619047</v>
      </c>
      <c r="K60" s="360">
        <f>K7+K11+K15+K19+K23+K27</f>
        <v>192980.26666666666</v>
      </c>
      <c r="L60" s="360">
        <f>L7+L11+L15+L19+L23+L27</f>
        <v>267807.73333333334</v>
      </c>
      <c r="M60" s="360">
        <f>M7+M11+M15+M19+M23+M27</f>
        <v>210140.91666666666</v>
      </c>
      <c r="N60" s="360">
        <f>N7+N11+N15+N19+N23+N27</f>
        <v>146930.4</v>
      </c>
      <c r="O60" s="350">
        <f t="shared" si="0"/>
        <v>2905751.530952381</v>
      </c>
      <c r="R60" s="338"/>
      <c r="S60" s="362" t="s">
        <v>64</v>
      </c>
      <c r="T60" s="363">
        <v>221580</v>
      </c>
      <c r="U60" s="363">
        <v>305056</v>
      </c>
      <c r="V60" s="363">
        <v>243954</v>
      </c>
      <c r="W60" s="363">
        <v>289659</v>
      </c>
      <c r="X60" s="363">
        <f>X7+X11+X15+X19+X23+X27</f>
        <v>267969.85714285716</v>
      </c>
      <c r="Y60" s="363">
        <f>Y7+Y11+Y15+Y19+Y23+Y27</f>
        <v>257623.66666666666</v>
      </c>
      <c r="Z60" s="363">
        <f>Z7+Z11+Z15+Z19+Z23+Z27</f>
        <v>283465.43333333335</v>
      </c>
      <c r="AA60" s="363">
        <f>AA7+AA11+AA15+AA19+AA23+AA27</f>
        <v>251234</v>
      </c>
      <c r="AB60" s="363">
        <f>AB7+AB11+AB15+AB19+AB23+AB27</f>
        <v>192980.26666666666</v>
      </c>
      <c r="AC60" s="363">
        <f>AC7+AC11+AC15+AC19+AC23+AC27</f>
        <v>310515.40000000002</v>
      </c>
      <c r="AD60" s="363">
        <f>AD7+AD11+AD15+AD19+AD23+AD27</f>
        <v>297409.16666666663</v>
      </c>
      <c r="AE60" s="363">
        <f>AE7+AE11+AE15+AE19+AE23+AE27</f>
        <v>197544</v>
      </c>
      <c r="AF60" s="353">
        <f t="shared" si="1"/>
        <v>3118990.7904761904</v>
      </c>
    </row>
    <row r="61" spans="1:32" ht="13.8">
      <c r="A61" s="344"/>
      <c r="B61" s="359" t="s">
        <v>186</v>
      </c>
      <c r="C61" s="360">
        <v>1090789.5</v>
      </c>
      <c r="D61" s="360">
        <v>1384514.25</v>
      </c>
      <c r="E61" s="360">
        <v>1483366</v>
      </c>
      <c r="F61" s="360">
        <v>1254894</v>
      </c>
      <c r="G61" s="360">
        <f>G8+G12+G16+G20+G24+G28</f>
        <v>827473.3833333333</v>
      </c>
      <c r="H61" s="360">
        <f>H8+H12+H16+H20+H24+H28</f>
        <v>796057.08333333337</v>
      </c>
      <c r="I61" s="360">
        <f>I8+I12+I16+I20+I24+I28</f>
        <v>1351388.1607142857</v>
      </c>
      <c r="J61" s="360">
        <f>J8+J12+J16+J20+J24+J28</f>
        <v>1217200.7857142857</v>
      </c>
      <c r="K61" s="360">
        <f>K8+K12+K16+K20+K24+K28</f>
        <v>725212.3833333333</v>
      </c>
      <c r="L61" s="360">
        <f>L8+L12+L16+L20+L24+L28</f>
        <v>879475.7</v>
      </c>
      <c r="M61" s="360">
        <f>M8+M12+M16+M20+M24+M28</f>
        <v>710349.77083333337</v>
      </c>
      <c r="N61" s="360">
        <f>N8+N12+N16+N20+N24+N28</f>
        <v>587497.05000000005</v>
      </c>
      <c r="O61" s="350">
        <f t="shared" si="0"/>
        <v>12308218.067261904</v>
      </c>
      <c r="R61" s="338"/>
      <c r="S61" s="362" t="s">
        <v>186</v>
      </c>
      <c r="T61" s="363">
        <v>1090789.5</v>
      </c>
      <c r="U61" s="363">
        <v>1384514.25</v>
      </c>
      <c r="V61" s="363">
        <v>1483366</v>
      </c>
      <c r="W61" s="363">
        <v>1254894</v>
      </c>
      <c r="X61" s="363">
        <f>X8+X12+X16+X20+X24+X28</f>
        <v>1227691.5857142857</v>
      </c>
      <c r="Y61" s="363">
        <f>Y8+Y12+Y16+Y20+Y24+Y28</f>
        <v>895636.83333333337</v>
      </c>
      <c r="Z61" s="363">
        <f>Z8+Z12+Z16+Z20+Z24+Z28</f>
        <v>1445957.125</v>
      </c>
      <c r="AA61" s="363">
        <f>AA8+AA12+AA16+AA20+AA24+AA28</f>
        <v>843982.58333333337</v>
      </c>
      <c r="AB61" s="363">
        <f>AB8+AB12+AB16+AB20+AB24+AB28</f>
        <v>725712.3833333333</v>
      </c>
      <c r="AC61" s="363">
        <f>AC8+AC12+AC16+AC20+AC24+AC28</f>
        <v>1187855.45</v>
      </c>
      <c r="AD61" s="363">
        <f>AD8+AD12+AD16+AD20+AD24+AD28</f>
        <v>1104557.708333333</v>
      </c>
      <c r="AE61" s="363">
        <f>AE8+AE12+AE16+AE20+AE24+AE28</f>
        <v>748133.5</v>
      </c>
      <c r="AF61" s="353">
        <f t="shared" si="1"/>
        <v>13393090.91904762</v>
      </c>
    </row>
    <row r="62" spans="1:32" ht="14.4">
      <c r="A62" s="267"/>
      <c r="B62" s="265" t="s">
        <v>66</v>
      </c>
      <c r="C62" s="263">
        <f>C61*0.195*17500</f>
        <v>3722319168.7500005</v>
      </c>
      <c r="D62" s="263">
        <f t="shared" ref="D62:N62" si="26">D61*0.195*17500</f>
        <v>4724654878.125</v>
      </c>
      <c r="E62" s="263">
        <f t="shared" si="26"/>
        <v>5061986475</v>
      </c>
      <c r="F62" s="263">
        <f t="shared" si="26"/>
        <v>4282325775.0000005</v>
      </c>
      <c r="G62" s="263">
        <f t="shared" si="26"/>
        <v>2823752920.6249995</v>
      </c>
      <c r="H62" s="263">
        <f t="shared" si="26"/>
        <v>2716544796.875</v>
      </c>
      <c r="I62" s="263">
        <f t="shared" si="26"/>
        <v>4611612098.4375</v>
      </c>
      <c r="J62" s="263">
        <f t="shared" si="26"/>
        <v>4153697681.25</v>
      </c>
      <c r="K62" s="263">
        <f t="shared" si="26"/>
        <v>2474787258.125</v>
      </c>
      <c r="L62" s="263">
        <f t="shared" si="26"/>
        <v>3001210826.25</v>
      </c>
      <c r="M62" s="263">
        <f t="shared" si="26"/>
        <v>2424068592.96875</v>
      </c>
      <c r="N62" s="263">
        <f t="shared" si="26"/>
        <v>2004833683.1250002</v>
      </c>
      <c r="O62" s="269">
        <f>SUM(C62:N62)</f>
        <v>42001794154.53125</v>
      </c>
      <c r="R62" s="267"/>
      <c r="S62" s="265" t="s">
        <v>66</v>
      </c>
      <c r="T62" s="263">
        <f>T61*0.195*17500</f>
        <v>3722319168.7500005</v>
      </c>
      <c r="U62" s="263">
        <f t="shared" ref="U62:AE62" si="27">U61*0.195*17500</f>
        <v>4724654878.125</v>
      </c>
      <c r="V62" s="263">
        <f t="shared" si="27"/>
        <v>5061986475</v>
      </c>
      <c r="W62" s="263">
        <f t="shared" si="27"/>
        <v>4282325775.0000005</v>
      </c>
      <c r="X62" s="263">
        <f t="shared" si="27"/>
        <v>4189497536.2500005</v>
      </c>
      <c r="Y62" s="263">
        <f t="shared" si="27"/>
        <v>3056360693.7500005</v>
      </c>
      <c r="Z62" s="263">
        <f t="shared" si="27"/>
        <v>4934328689.062501</v>
      </c>
      <c r="AA62" s="263">
        <f t="shared" si="27"/>
        <v>2880090565.625</v>
      </c>
      <c r="AB62" s="263">
        <f t="shared" si="27"/>
        <v>2476493508.125</v>
      </c>
      <c r="AC62" s="263">
        <f t="shared" si="27"/>
        <v>4053556723.125</v>
      </c>
      <c r="AD62" s="263">
        <f t="shared" si="27"/>
        <v>3769303179.6874995</v>
      </c>
      <c r="AE62" s="263">
        <f t="shared" si="27"/>
        <v>2553005568.75</v>
      </c>
      <c r="AF62" s="269">
        <f>SUM(T62:AE62)</f>
        <v>45703922761.25</v>
      </c>
    </row>
    <row r="63" spans="1:32" ht="14.4">
      <c r="A63" s="358" t="s">
        <v>58</v>
      </c>
      <c r="B63" s="359" t="s">
        <v>123</v>
      </c>
      <c r="C63" s="360">
        <v>58</v>
      </c>
      <c r="D63" s="360">
        <v>20</v>
      </c>
      <c r="E63" s="360">
        <v>258</v>
      </c>
      <c r="F63" s="360">
        <v>26</v>
      </c>
      <c r="G63" s="360">
        <f>G32+G36+G40+G44+G48+G52</f>
        <v>24</v>
      </c>
      <c r="H63" s="360">
        <f t="shared" ref="H63:N63" si="28">H32+H36+H40+H44+H48+H52</f>
        <v>24</v>
      </c>
      <c r="I63" s="360">
        <f t="shared" si="28"/>
        <v>25</v>
      </c>
      <c r="J63" s="360">
        <f t="shared" si="28"/>
        <v>23</v>
      </c>
      <c r="K63" s="360">
        <f t="shared" si="28"/>
        <v>24</v>
      </c>
      <c r="L63" s="360">
        <f t="shared" si="28"/>
        <v>28</v>
      </c>
      <c r="M63" s="360">
        <f t="shared" si="28"/>
        <v>22</v>
      </c>
      <c r="N63" s="360">
        <f t="shared" si="28"/>
        <v>51</v>
      </c>
      <c r="O63" s="350">
        <f t="shared" si="0"/>
        <v>583</v>
      </c>
      <c r="R63" s="361" t="s">
        <v>58</v>
      </c>
      <c r="S63" s="362" t="s">
        <v>123</v>
      </c>
      <c r="T63" s="363">
        <v>58</v>
      </c>
      <c r="U63" s="363">
        <v>20</v>
      </c>
      <c r="V63" s="363">
        <v>258</v>
      </c>
      <c r="W63" s="363">
        <v>26</v>
      </c>
      <c r="X63" s="363">
        <f>X32+X36+X40+X44+X48+X52</f>
        <v>24</v>
      </c>
      <c r="Y63" s="363">
        <f t="shared" ref="Y63:AE63" si="29">Y32+Y36+Y40+Y44+Y48+Y52</f>
        <v>26</v>
      </c>
      <c r="Z63" s="363">
        <f t="shared" si="29"/>
        <v>25</v>
      </c>
      <c r="AA63" s="363">
        <f t="shared" si="29"/>
        <v>23</v>
      </c>
      <c r="AB63" s="363">
        <f t="shared" si="29"/>
        <v>24</v>
      </c>
      <c r="AC63" s="363">
        <f t="shared" si="29"/>
        <v>30</v>
      </c>
      <c r="AD63" s="363">
        <f t="shared" si="29"/>
        <v>26</v>
      </c>
      <c r="AE63" s="363">
        <f t="shared" si="29"/>
        <v>52</v>
      </c>
      <c r="AF63" s="353">
        <f t="shared" si="1"/>
        <v>592</v>
      </c>
    </row>
    <row r="64" spans="1:32" ht="13.8">
      <c r="A64" s="344"/>
      <c r="B64" s="359" t="s">
        <v>64</v>
      </c>
      <c r="C64" s="360">
        <v>323476</v>
      </c>
      <c r="D64" s="360">
        <v>62274</v>
      </c>
      <c r="E64" s="360">
        <v>2074617</v>
      </c>
      <c r="F64" s="360">
        <v>89762</v>
      </c>
      <c r="G64" s="360">
        <f>G33+G37+G41+G45+G49+G53</f>
        <v>83597.03571428571</v>
      </c>
      <c r="H64" s="360">
        <f>H33+H37+H41+H45+H49+H53</f>
        <v>76891.066666666666</v>
      </c>
      <c r="I64" s="360">
        <f>I33+I37+I41+I45+I49+I53</f>
        <v>66178.5</v>
      </c>
      <c r="J64" s="360">
        <f>J33+J37+J41+J45+J49+J53</f>
        <v>79229.909090909088</v>
      </c>
      <c r="K64" s="360">
        <f>K33+K37+K41+K45+K49+K53</f>
        <v>82173.42857142858</v>
      </c>
      <c r="L64" s="360">
        <f>L33+L37+L41+L45+L49+L53</f>
        <v>93308.666666666672</v>
      </c>
      <c r="M64" s="360">
        <f>M33+M37+M41+M45+M49+M53</f>
        <v>61404.555555555562</v>
      </c>
      <c r="N64" s="360">
        <f>N33+N37+N41+N45+N49+N53</f>
        <v>307093.64502164506</v>
      </c>
      <c r="O64" s="350">
        <f t="shared" si="0"/>
        <v>3400005.8072871575</v>
      </c>
      <c r="R64" s="338"/>
      <c r="S64" s="362" t="s">
        <v>64</v>
      </c>
      <c r="T64" s="363">
        <v>323476</v>
      </c>
      <c r="U64" s="363">
        <v>62274</v>
      </c>
      <c r="V64" s="363">
        <v>2074617</v>
      </c>
      <c r="W64" s="363">
        <v>89762</v>
      </c>
      <c r="X64" s="363">
        <f>X33+X37+X41+X45+X49+X53</f>
        <v>83597.03571428571</v>
      </c>
      <c r="Y64" s="363">
        <f>Y33+Y37+Y41+Y45+Y49+Y53</f>
        <v>79300.666666666672</v>
      </c>
      <c r="Z64" s="363">
        <f>Z33+Z37+Z41+Z45+Z49+Z53</f>
        <v>66178.5</v>
      </c>
      <c r="AA64" s="363">
        <f>AA33+AA37+AA41+AA45+AA49+AA53</f>
        <v>79229.909090909088</v>
      </c>
      <c r="AB64" s="363">
        <f>AB33+AB37+AB41+AB45+AB49+AB53</f>
        <v>82173.42857142858</v>
      </c>
      <c r="AC64" s="363">
        <f>AC33+AC37+AC41+AC45+AC49+AC53</f>
        <v>98949.75</v>
      </c>
      <c r="AD64" s="363">
        <f>AD33+AD37+AD41+AD45+AD49+AD53</f>
        <v>73639.388888888891</v>
      </c>
      <c r="AE64" s="363">
        <f>AE33+AE37+AE41+AE45+AE49+AE53</f>
        <v>305891.64502164506</v>
      </c>
      <c r="AF64" s="353">
        <f t="shared" si="1"/>
        <v>3419089.3239538241</v>
      </c>
    </row>
    <row r="65" spans="1:32" ht="13.8">
      <c r="A65" s="344"/>
      <c r="B65" s="359" t="s">
        <v>186</v>
      </c>
      <c r="C65" s="360">
        <v>298916.5</v>
      </c>
      <c r="D65" s="360">
        <v>158617.25</v>
      </c>
      <c r="E65" s="360">
        <v>650801.25</v>
      </c>
      <c r="F65" s="360">
        <v>234666.75</v>
      </c>
      <c r="G65" s="360">
        <f>G34+G38+G42+G46+G50+G54</f>
        <v>184058.92857142858</v>
      </c>
      <c r="H65" s="360">
        <f>H34+H38+H42+H46+H50+H54</f>
        <v>199442.68333333335</v>
      </c>
      <c r="I65" s="360">
        <f>I34+I38+I42+I46+I50+I54</f>
        <v>159128.375</v>
      </c>
      <c r="J65" s="360">
        <f>J34+J38+J42+J46+J50+J54</f>
        <v>201225.16666666666</v>
      </c>
      <c r="K65" s="360">
        <f>K34+K38+K42+K46+K50+K54</f>
        <v>167899.64285714284</v>
      </c>
      <c r="L65" s="360">
        <f>L34+L38+L42+L46+L50+L54</f>
        <v>243665.73333333334</v>
      </c>
      <c r="M65" s="360">
        <f>M34+M38+M42+M46+M50+M54</f>
        <v>165312.86111111112</v>
      </c>
      <c r="N65" s="360">
        <f>N34+N38+N42+N46+N50+N54</f>
        <v>269065.54761904757</v>
      </c>
      <c r="O65" s="350">
        <f t="shared" si="0"/>
        <v>2932800.6884920634</v>
      </c>
      <c r="R65" s="338"/>
      <c r="S65" s="362" t="s">
        <v>186</v>
      </c>
      <c r="T65" s="363">
        <v>298916.5</v>
      </c>
      <c r="U65" s="363">
        <v>158617.25</v>
      </c>
      <c r="V65" s="363">
        <v>650801.25</v>
      </c>
      <c r="W65" s="363">
        <v>234666.75</v>
      </c>
      <c r="X65" s="363">
        <f>X34+X38+X42+X46+X50+X54</f>
        <v>184058.92857142858</v>
      </c>
      <c r="Y65" s="363">
        <f>Y34+Y38+Y42+Y46+Y50+Y54</f>
        <v>182681.33333333331</v>
      </c>
      <c r="Z65" s="363">
        <f>Z34+Z38+Z42+Z46+Z50+Z54</f>
        <v>159128.375</v>
      </c>
      <c r="AA65" s="363">
        <f>AA34+AA38+AA42+AA46+AA50+AA54</f>
        <v>201225.16666666666</v>
      </c>
      <c r="AB65" s="363">
        <f>AB34+AB38+AB42+AB46+AB50+AB54</f>
        <v>167899.64285714284</v>
      </c>
      <c r="AC65" s="363">
        <f>AC34+AC38+AC42+AC46+AC50+AC54</f>
        <v>259062.90000000002</v>
      </c>
      <c r="AD65" s="363">
        <f>AD34+AD38+AD42+AD46+AD50+AD54</f>
        <v>206898.81944444444</v>
      </c>
      <c r="AE65" s="363">
        <f>AE34+AE38+AE42+AE46+AE50+AE54</f>
        <v>254842.0476190476</v>
      </c>
      <c r="AF65" s="353">
        <f t="shared" si="1"/>
        <v>2958798.9634920633</v>
      </c>
    </row>
    <row r="66" spans="1:32" ht="14.4">
      <c r="A66" s="271"/>
      <c r="B66" s="272" t="s">
        <v>66</v>
      </c>
      <c r="C66" s="286">
        <f t="shared" ref="C66:O66" si="30">C65*90</f>
        <v>26902485</v>
      </c>
      <c r="D66" s="286">
        <f t="shared" si="30"/>
        <v>14275552.5</v>
      </c>
      <c r="E66" s="286">
        <f t="shared" si="30"/>
        <v>58572112.5</v>
      </c>
      <c r="F66" s="286">
        <f t="shared" si="30"/>
        <v>21120007.5</v>
      </c>
      <c r="G66" s="286">
        <f t="shared" si="30"/>
        <v>16565303.571428573</v>
      </c>
      <c r="H66" s="286">
        <f t="shared" si="30"/>
        <v>17949841.5</v>
      </c>
      <c r="I66" s="286">
        <f t="shared" si="30"/>
        <v>14321553.75</v>
      </c>
      <c r="J66" s="286">
        <f t="shared" si="30"/>
        <v>18110265</v>
      </c>
      <c r="K66" s="286">
        <f t="shared" si="30"/>
        <v>15110967.857142856</v>
      </c>
      <c r="L66" s="286">
        <f t="shared" si="30"/>
        <v>21929916</v>
      </c>
      <c r="M66" s="286">
        <f t="shared" si="30"/>
        <v>14878157.500000002</v>
      </c>
      <c r="N66" s="286">
        <f t="shared" si="30"/>
        <v>24215899.285714284</v>
      </c>
      <c r="O66" s="273">
        <f t="shared" si="30"/>
        <v>263952061.9642857</v>
      </c>
      <c r="R66" s="271"/>
      <c r="S66" s="272" t="s">
        <v>66</v>
      </c>
      <c r="T66" s="286">
        <f t="shared" ref="T66:AF66" si="31">T65*90</f>
        <v>26902485</v>
      </c>
      <c r="U66" s="286">
        <f t="shared" si="31"/>
        <v>14275552.5</v>
      </c>
      <c r="V66" s="286">
        <f t="shared" si="31"/>
        <v>58572112.5</v>
      </c>
      <c r="W66" s="286">
        <f t="shared" si="31"/>
        <v>21120007.5</v>
      </c>
      <c r="X66" s="286">
        <f t="shared" si="31"/>
        <v>16565303.571428573</v>
      </c>
      <c r="Y66" s="286">
        <f t="shared" si="31"/>
        <v>16441319.999999998</v>
      </c>
      <c r="Z66" s="286">
        <f t="shared" si="31"/>
        <v>14321553.75</v>
      </c>
      <c r="AA66" s="286">
        <f t="shared" si="31"/>
        <v>18110265</v>
      </c>
      <c r="AB66" s="286">
        <f t="shared" si="31"/>
        <v>15110967.857142856</v>
      </c>
      <c r="AC66" s="286">
        <f t="shared" si="31"/>
        <v>23315661.000000004</v>
      </c>
      <c r="AD66" s="286">
        <f t="shared" si="31"/>
        <v>18620893.75</v>
      </c>
      <c r="AE66" s="286">
        <f t="shared" si="31"/>
        <v>22935784.285714284</v>
      </c>
      <c r="AF66" s="273">
        <f t="shared" si="31"/>
        <v>266291906.7142857</v>
      </c>
    </row>
    <row r="67" spans="1:32" ht="13.8">
      <c r="A67" s="364" t="s">
        <v>130</v>
      </c>
      <c r="B67" s="365" t="s">
        <v>123</v>
      </c>
      <c r="C67" s="360">
        <v>71</v>
      </c>
      <c r="D67" s="360">
        <v>36</v>
      </c>
      <c r="E67" s="360">
        <v>271</v>
      </c>
      <c r="F67" s="360">
        <v>41</v>
      </c>
      <c r="G67" s="360">
        <f>G59+G63</f>
        <v>38</v>
      </c>
      <c r="H67" s="360">
        <f t="shared" ref="H67:N67" si="32">H59+H63</f>
        <v>38</v>
      </c>
      <c r="I67" s="360">
        <f t="shared" si="32"/>
        <v>40</v>
      </c>
      <c r="J67" s="360">
        <f t="shared" si="32"/>
        <v>38</v>
      </c>
      <c r="K67" s="360">
        <f t="shared" si="32"/>
        <v>37</v>
      </c>
      <c r="L67" s="360">
        <f t="shared" si="32"/>
        <v>44</v>
      </c>
      <c r="M67" s="360">
        <f t="shared" si="32"/>
        <v>35</v>
      </c>
      <c r="N67" s="360">
        <f t="shared" si="32"/>
        <v>59</v>
      </c>
      <c r="O67" s="350">
        <f t="shared" si="0"/>
        <v>748</v>
      </c>
      <c r="R67" s="366" t="s">
        <v>130</v>
      </c>
      <c r="S67" s="367" t="s">
        <v>123</v>
      </c>
      <c r="T67" s="363">
        <v>71</v>
      </c>
      <c r="U67" s="363">
        <v>36</v>
      </c>
      <c r="V67" s="363">
        <v>271</v>
      </c>
      <c r="W67" s="363">
        <v>41</v>
      </c>
      <c r="X67" s="363">
        <f>X59+X63</f>
        <v>38</v>
      </c>
      <c r="Y67" s="363">
        <f t="shared" ref="Y67:AE67" si="33">Y59+Y63</f>
        <v>40</v>
      </c>
      <c r="Z67" s="363">
        <f t="shared" si="33"/>
        <v>41</v>
      </c>
      <c r="AA67" s="363">
        <f t="shared" si="33"/>
        <v>36</v>
      </c>
      <c r="AB67" s="363">
        <f t="shared" si="33"/>
        <v>36</v>
      </c>
      <c r="AC67" s="363">
        <f t="shared" si="33"/>
        <v>45</v>
      </c>
      <c r="AD67" s="363">
        <f t="shared" si="33"/>
        <v>41</v>
      </c>
      <c r="AE67" s="363">
        <f t="shared" si="33"/>
        <v>59</v>
      </c>
      <c r="AF67" s="353">
        <f t="shared" si="1"/>
        <v>755</v>
      </c>
    </row>
    <row r="68" spans="1:32" ht="13.8">
      <c r="A68" s="344"/>
      <c r="B68" s="365" t="s">
        <v>64</v>
      </c>
      <c r="C68" s="360">
        <v>545056</v>
      </c>
      <c r="D68" s="360">
        <v>367330</v>
      </c>
      <c r="E68" s="360">
        <v>2318571</v>
      </c>
      <c r="F68" s="360">
        <v>379421</v>
      </c>
      <c r="G68" s="360">
        <f t="shared" ref="G68:N69" si="34">G60+G64</f>
        <v>303127.70238095237</v>
      </c>
      <c r="H68" s="360">
        <f t="shared" si="34"/>
        <v>321807.06666666665</v>
      </c>
      <c r="I68" s="360">
        <f t="shared" si="34"/>
        <v>329701.85714285716</v>
      </c>
      <c r="J68" s="360">
        <f t="shared" si="34"/>
        <v>378903.09956709959</v>
      </c>
      <c r="K68" s="360">
        <f t="shared" si="34"/>
        <v>275153.69523809524</v>
      </c>
      <c r="L68" s="360">
        <f t="shared" si="34"/>
        <v>361116.4</v>
      </c>
      <c r="M68" s="360">
        <f t="shared" si="34"/>
        <v>271545.47222222225</v>
      </c>
      <c r="N68" s="360">
        <f t="shared" si="34"/>
        <v>454024.04502164503</v>
      </c>
      <c r="O68" s="350">
        <f t="shared" si="0"/>
        <v>6305757.3382395385</v>
      </c>
      <c r="R68" s="338"/>
      <c r="S68" s="367" t="s">
        <v>64</v>
      </c>
      <c r="T68" s="363">
        <v>545056</v>
      </c>
      <c r="U68" s="363">
        <v>367330</v>
      </c>
      <c r="V68" s="363">
        <v>2318571</v>
      </c>
      <c r="W68" s="363">
        <v>379421</v>
      </c>
      <c r="X68" s="363">
        <f t="shared" ref="X68:AE69" si="35">X60+X64</f>
        <v>351566.89285714284</v>
      </c>
      <c r="Y68" s="363">
        <f t="shared" si="35"/>
        <v>336924.33333333331</v>
      </c>
      <c r="Z68" s="363">
        <f t="shared" si="35"/>
        <v>349643.93333333335</v>
      </c>
      <c r="AA68" s="363">
        <f t="shared" si="35"/>
        <v>330463.90909090906</v>
      </c>
      <c r="AB68" s="363">
        <f t="shared" si="35"/>
        <v>275153.69523809524</v>
      </c>
      <c r="AC68" s="363">
        <f t="shared" si="35"/>
        <v>409465.15</v>
      </c>
      <c r="AD68" s="363">
        <f t="shared" si="35"/>
        <v>371048.5555555555</v>
      </c>
      <c r="AE68" s="363">
        <f t="shared" si="35"/>
        <v>503435.64502164506</v>
      </c>
      <c r="AF68" s="353">
        <f t="shared" si="1"/>
        <v>6538080.1144300159</v>
      </c>
    </row>
    <row r="69" spans="1:32" ht="13.8">
      <c r="A69" s="344"/>
      <c r="B69" s="365" t="s">
        <v>186</v>
      </c>
      <c r="C69" s="360">
        <v>1389706</v>
      </c>
      <c r="D69" s="360">
        <v>1543131.5</v>
      </c>
      <c r="E69" s="360">
        <v>2134167.25</v>
      </c>
      <c r="F69" s="360">
        <v>1489560.75</v>
      </c>
      <c r="G69" s="360">
        <f t="shared" si="34"/>
        <v>1011532.3119047619</v>
      </c>
      <c r="H69" s="360">
        <f t="shared" si="34"/>
        <v>995499.76666666672</v>
      </c>
      <c r="I69" s="360">
        <f t="shared" si="34"/>
        <v>1510516.5357142857</v>
      </c>
      <c r="J69" s="360">
        <f t="shared" si="34"/>
        <v>1418425.9523809524</v>
      </c>
      <c r="K69" s="360">
        <f t="shared" si="34"/>
        <v>893112.02619047614</v>
      </c>
      <c r="L69" s="360">
        <f t="shared" si="34"/>
        <v>1123141.4333333333</v>
      </c>
      <c r="M69" s="360">
        <f t="shared" si="34"/>
        <v>875662.6319444445</v>
      </c>
      <c r="N69" s="360">
        <f t="shared" si="34"/>
        <v>856562.59761904762</v>
      </c>
      <c r="O69" s="350">
        <f t="shared" si="0"/>
        <v>15241018.755753968</v>
      </c>
      <c r="R69" s="338"/>
      <c r="S69" s="367" t="s">
        <v>186</v>
      </c>
      <c r="T69" s="363">
        <v>1389706</v>
      </c>
      <c r="U69" s="363">
        <v>1543131.5</v>
      </c>
      <c r="V69" s="363">
        <v>2134167.25</v>
      </c>
      <c r="W69" s="363">
        <v>1489560.75</v>
      </c>
      <c r="X69" s="363">
        <f t="shared" si="35"/>
        <v>1411750.5142857144</v>
      </c>
      <c r="Y69" s="363">
        <f t="shared" si="35"/>
        <v>1078318.1666666667</v>
      </c>
      <c r="Z69" s="363">
        <f t="shared" si="35"/>
        <v>1605085.5</v>
      </c>
      <c r="AA69" s="363">
        <f t="shared" si="35"/>
        <v>1045207.75</v>
      </c>
      <c r="AB69" s="363">
        <f t="shared" si="35"/>
        <v>893612.02619047614</v>
      </c>
      <c r="AC69" s="363">
        <f t="shared" si="35"/>
        <v>1446918.35</v>
      </c>
      <c r="AD69" s="363">
        <f t="shared" si="35"/>
        <v>1311456.5277777775</v>
      </c>
      <c r="AE69" s="363">
        <f t="shared" si="35"/>
        <v>1002975.5476190476</v>
      </c>
      <c r="AF69" s="353">
        <f t="shared" si="1"/>
        <v>16351889.882539682</v>
      </c>
    </row>
    <row r="70" spans="1:32" ht="15.75" customHeight="1">
      <c r="A70" s="274"/>
      <c r="B70" s="275" t="s">
        <v>66</v>
      </c>
      <c r="C70" s="293">
        <f>C66+C62</f>
        <v>3749221653.7500005</v>
      </c>
      <c r="D70" s="293">
        <f t="shared" ref="D70:O70" si="36">D66+D62</f>
        <v>4738930430.625</v>
      </c>
      <c r="E70" s="293">
        <f t="shared" si="36"/>
        <v>5120558587.5</v>
      </c>
      <c r="F70" s="293">
        <f t="shared" si="36"/>
        <v>4303445782.5</v>
      </c>
      <c r="G70" s="293">
        <f t="shared" si="36"/>
        <v>2840318224.1964283</v>
      </c>
      <c r="H70" s="293">
        <f t="shared" si="36"/>
        <v>2734494638.375</v>
      </c>
      <c r="I70" s="293">
        <f t="shared" si="36"/>
        <v>4625933652.1875</v>
      </c>
      <c r="J70" s="293">
        <f t="shared" si="36"/>
        <v>4171807946.25</v>
      </c>
      <c r="K70" s="293">
        <f t="shared" si="36"/>
        <v>2489898225.9821429</v>
      </c>
      <c r="L70" s="293">
        <f t="shared" si="36"/>
        <v>3023140742.25</v>
      </c>
      <c r="M70" s="293">
        <f t="shared" si="36"/>
        <v>2438946750.46875</v>
      </c>
      <c r="N70" s="293">
        <f t="shared" si="36"/>
        <v>2029049582.4107146</v>
      </c>
      <c r="O70" s="276">
        <f t="shared" si="36"/>
        <v>42265746216.495537</v>
      </c>
      <c r="R70" s="274"/>
      <c r="S70" s="275" t="s">
        <v>66</v>
      </c>
      <c r="T70" s="293">
        <f>T66+T62</f>
        <v>3749221653.7500005</v>
      </c>
      <c r="U70" s="293">
        <f t="shared" ref="U70:AF70" si="37">U66+U62</f>
        <v>4738930430.625</v>
      </c>
      <c r="V70" s="293">
        <f t="shared" si="37"/>
        <v>5120558587.5</v>
      </c>
      <c r="W70" s="293">
        <f t="shared" si="37"/>
        <v>4303445782.5</v>
      </c>
      <c r="X70" s="293">
        <f t="shared" si="37"/>
        <v>4206062839.8214293</v>
      </c>
      <c r="Y70" s="293">
        <f t="shared" si="37"/>
        <v>3072802013.7500005</v>
      </c>
      <c r="Z70" s="293">
        <f t="shared" si="37"/>
        <v>4948650242.812501</v>
      </c>
      <c r="AA70" s="293">
        <f t="shared" si="37"/>
        <v>2898200830.625</v>
      </c>
      <c r="AB70" s="293">
        <f t="shared" si="37"/>
        <v>2491604475.9821429</v>
      </c>
      <c r="AC70" s="293">
        <f t="shared" si="37"/>
        <v>4076872384.125</v>
      </c>
      <c r="AD70" s="293">
        <f t="shared" si="37"/>
        <v>3787924073.4374995</v>
      </c>
      <c r="AE70" s="293">
        <f t="shared" si="37"/>
        <v>2575941353.0357141</v>
      </c>
      <c r="AF70" s="276">
        <f t="shared" si="37"/>
        <v>45970214667.964287</v>
      </c>
    </row>
    <row r="71" spans="1:32" ht="15.75" customHeight="1">
      <c r="O71" s="369">
        <v>42162843914</v>
      </c>
      <c r="AF71" s="369">
        <v>45969518167</v>
      </c>
    </row>
    <row r="72" spans="1:32" ht="15.75" customHeight="1">
      <c r="O72" s="368">
        <f>O70-O71</f>
        <v>102902302.4955368</v>
      </c>
      <c r="AF72" s="368">
        <f>AF70-AF71</f>
        <v>696500.9642868042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D411-0CEC-4407-8F43-03FF74BE20D3}">
  <sheetPr>
    <tabColor rgb="FF00B0F0"/>
  </sheetPr>
  <dimension ref="A1:AI141"/>
  <sheetViews>
    <sheetView topLeftCell="V73" zoomScale="74" zoomScaleNormal="60" workbookViewId="0">
      <selection activeCell="AC107" sqref="AC107"/>
    </sheetView>
  </sheetViews>
  <sheetFormatPr defaultRowHeight="14.4"/>
  <cols>
    <col min="1" max="1" width="14" bestFit="1" customWidth="1"/>
    <col min="2" max="2" width="15.109375" bestFit="1" customWidth="1"/>
    <col min="3" max="3" width="17.44140625" bestFit="1" customWidth="1"/>
    <col min="4" max="6" width="15" bestFit="1" customWidth="1"/>
    <col min="7" max="7" width="14.88671875" customWidth="1"/>
    <col min="8" max="8" width="15.6640625" customWidth="1"/>
    <col min="9" max="14" width="15" bestFit="1" customWidth="1"/>
    <col min="15" max="15" width="20.88671875" customWidth="1"/>
    <col min="16" max="16" width="15" style="39" customWidth="1"/>
    <col min="17" max="17" width="21.109375" bestFit="1" customWidth="1"/>
    <col min="18" max="18" width="7.88671875" customWidth="1"/>
    <col min="19" max="19" width="12.6640625" bestFit="1" customWidth="1"/>
    <col min="20" max="20" width="14.109375" customWidth="1"/>
    <col min="21" max="32" width="15" customWidth="1"/>
    <col min="33" max="33" width="18.5546875" customWidth="1"/>
    <col min="34" max="34" width="18.6640625" bestFit="1" customWidth="1"/>
    <col min="35" max="35" width="16" customWidth="1"/>
  </cols>
  <sheetData>
    <row r="1" spans="1:35">
      <c r="B1" s="56" t="s">
        <v>36</v>
      </c>
      <c r="C1" s="56">
        <f>'[1]PANDU PELUM'!C1</f>
        <v>17500</v>
      </c>
      <c r="F1" s="56" t="s">
        <v>94</v>
      </c>
      <c r="G1" s="56">
        <v>71.5</v>
      </c>
      <c r="I1" s="56" t="s">
        <v>35</v>
      </c>
      <c r="J1" s="57">
        <v>631880</v>
      </c>
      <c r="L1" t="s">
        <v>52</v>
      </c>
      <c r="M1" s="205">
        <v>1</v>
      </c>
      <c r="O1" s="39">
        <f>[1]USULAN!O24</f>
        <v>2637792576.5454445</v>
      </c>
      <c r="Q1" s="380">
        <f>[1]USULAN!H24</f>
        <v>30955639020.494553</v>
      </c>
      <c r="AD1" t="s">
        <v>52</v>
      </c>
      <c r="AE1" s="205">
        <v>1.20576662365</v>
      </c>
      <c r="AG1" s="148"/>
      <c r="AH1" s="73">
        <f>[1]USULAN!P24</f>
        <v>2449976398.6650696</v>
      </c>
      <c r="AI1" t="str">
        <f>IF(AH1&lt;1,"LEBIH","KURANG")</f>
        <v>KURANG</v>
      </c>
    </row>
    <row r="2" spans="1:35">
      <c r="B2" s="56" t="s">
        <v>37</v>
      </c>
      <c r="C2" s="56">
        <v>2.25</v>
      </c>
      <c r="F2" s="56"/>
      <c r="G2" s="56">
        <v>3.2000000000000001E-2</v>
      </c>
      <c r="I2" s="56"/>
      <c r="J2" s="56">
        <v>181</v>
      </c>
      <c r="L2" t="s">
        <v>164</v>
      </c>
      <c r="M2" s="204">
        <f>M1</f>
        <v>1</v>
      </c>
      <c r="O2" s="381"/>
      <c r="Q2" s="380">
        <v>22168242090</v>
      </c>
      <c r="U2" s="149">
        <v>4.4999999999999998E-2</v>
      </c>
      <c r="AD2" t="s">
        <v>164</v>
      </c>
      <c r="AE2" s="204">
        <f>AE1</f>
        <v>1.20576662365</v>
      </c>
      <c r="AH2" s="73">
        <f>[1]USULAN!J24</f>
        <v>35323284331.33493</v>
      </c>
    </row>
    <row r="3" spans="1:35">
      <c r="G3" s="27">
        <v>2</v>
      </c>
      <c r="H3" t="s">
        <v>123</v>
      </c>
      <c r="I3">
        <v>1.1000000000000001</v>
      </c>
      <c r="K3" t="s">
        <v>212</v>
      </c>
      <c r="L3">
        <v>2</v>
      </c>
      <c r="O3" s="382"/>
      <c r="P3" s="39">
        <f>[1]TRAFIK!U9</f>
        <v>-694</v>
      </c>
      <c r="Q3" s="31">
        <f>O108</f>
        <v>0</v>
      </c>
      <c r="Z3" t="s">
        <v>170</v>
      </c>
      <c r="AA3">
        <v>1</v>
      </c>
    </row>
    <row r="4" spans="1:35">
      <c r="H4" t="s">
        <v>64</v>
      </c>
      <c r="I4">
        <v>1.1000000000000001</v>
      </c>
      <c r="J4">
        <v>1</v>
      </c>
      <c r="O4" s="382"/>
      <c r="P4" s="39">
        <f>[1]TRAFIK!U10</f>
        <v>1833772.8818864003</v>
      </c>
      <c r="Z4" t="s">
        <v>171</v>
      </c>
      <c r="AA4">
        <v>1.05</v>
      </c>
    </row>
    <row r="5" spans="1:35">
      <c r="B5" s="333" t="s">
        <v>172</v>
      </c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T5" s="333" t="s">
        <v>108</v>
      </c>
      <c r="U5" s="333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333"/>
    </row>
    <row r="6" spans="1:35"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U6" t="s">
        <v>38</v>
      </c>
      <c r="V6" t="s">
        <v>39</v>
      </c>
      <c r="W6" t="s">
        <v>40</v>
      </c>
      <c r="X6" t="s">
        <v>41</v>
      </c>
      <c r="Y6" t="s">
        <v>42</v>
      </c>
      <c r="Z6" t="s">
        <v>43</v>
      </c>
      <c r="AA6" t="s">
        <v>44</v>
      </c>
      <c r="AB6" t="s">
        <v>45</v>
      </c>
      <c r="AC6" t="s">
        <v>46</v>
      </c>
      <c r="AD6" t="s">
        <v>47</v>
      </c>
      <c r="AE6" t="s">
        <v>48</v>
      </c>
      <c r="AF6" t="s">
        <v>49</v>
      </c>
    </row>
    <row r="7" spans="1:35">
      <c r="B7" s="28" t="s">
        <v>50</v>
      </c>
      <c r="T7" s="28" t="s">
        <v>184</v>
      </c>
    </row>
    <row r="8" spans="1:35">
      <c r="B8" s="383" t="s">
        <v>51</v>
      </c>
      <c r="C8" s="384"/>
      <c r="D8" s="384"/>
      <c r="E8" s="384"/>
      <c r="F8" s="384"/>
      <c r="G8" s="384"/>
      <c r="H8" s="385"/>
      <c r="I8" s="30"/>
      <c r="J8" s="30"/>
      <c r="K8" s="30"/>
      <c r="L8" s="30"/>
      <c r="M8" s="30"/>
      <c r="N8" s="30"/>
      <c r="O8" s="31">
        <f>SUM(C8:N8)</f>
        <v>0</v>
      </c>
      <c r="T8" s="383" t="s">
        <v>51</v>
      </c>
      <c r="U8" s="386">
        <f>IF(ROUND((C8*$AA$3),)=1,1,IF($AA$3&gt;1,ROUNDUP((C8*$AA$3),),ROUNDDOWN((C8*$AA$3),)))</f>
        <v>0</v>
      </c>
      <c r="V8" s="386">
        <f t="shared" ref="V8:AF8" si="0">IF(ROUND((D8*$AA$3),)=1,1,IF($AA$3&gt;1,ROUNDUP((D8*$AA$3),),ROUNDDOWN((D8*$AA$3),)))</f>
        <v>0</v>
      </c>
      <c r="W8" s="386">
        <f t="shared" si="0"/>
        <v>0</v>
      </c>
      <c r="X8" s="386">
        <f t="shared" si="0"/>
        <v>0</v>
      </c>
      <c r="Y8" s="386">
        <f t="shared" si="0"/>
        <v>0</v>
      </c>
      <c r="Z8" s="386">
        <f t="shared" si="0"/>
        <v>0</v>
      </c>
      <c r="AA8" s="386">
        <f t="shared" si="0"/>
        <v>0</v>
      </c>
      <c r="AB8" s="386">
        <f t="shared" si="0"/>
        <v>0</v>
      </c>
      <c r="AC8" s="386">
        <f t="shared" si="0"/>
        <v>0</v>
      </c>
      <c r="AD8" s="386">
        <f t="shared" si="0"/>
        <v>0</v>
      </c>
      <c r="AE8" s="386">
        <f t="shared" si="0"/>
        <v>0</v>
      </c>
      <c r="AF8" s="386">
        <f t="shared" si="0"/>
        <v>0</v>
      </c>
      <c r="AG8" s="62">
        <f>SUM(U8:AF8)</f>
        <v>0</v>
      </c>
    </row>
    <row r="9" spans="1:35">
      <c r="C9" s="384"/>
      <c r="D9" s="384"/>
      <c r="E9" s="384"/>
      <c r="F9" s="384"/>
      <c r="G9" s="384"/>
      <c r="H9" s="385"/>
      <c r="I9" s="30"/>
      <c r="J9" s="30"/>
      <c r="K9" s="30"/>
      <c r="L9" s="30"/>
      <c r="M9" s="30"/>
      <c r="N9" s="30"/>
      <c r="O9" s="31">
        <f>SUM(C9:N9)</f>
        <v>0</v>
      </c>
      <c r="S9" s="54"/>
      <c r="U9" s="386">
        <f>ROUNDUP(C9*$AA$4,)</f>
        <v>0</v>
      </c>
      <c r="V9" s="386">
        <f t="shared" ref="V9:AF9" si="1">ROUNDUP(D9*$AA$4,)</f>
        <v>0</v>
      </c>
      <c r="W9" s="386">
        <f t="shared" si="1"/>
        <v>0</v>
      </c>
      <c r="X9" s="386">
        <f t="shared" si="1"/>
        <v>0</v>
      </c>
      <c r="Y9" s="386">
        <f t="shared" si="1"/>
        <v>0</v>
      </c>
      <c r="Z9" s="386">
        <f t="shared" si="1"/>
        <v>0</v>
      </c>
      <c r="AA9" s="386">
        <f t="shared" si="1"/>
        <v>0</v>
      </c>
      <c r="AB9" s="386">
        <f t="shared" si="1"/>
        <v>0</v>
      </c>
      <c r="AC9" s="386">
        <f t="shared" si="1"/>
        <v>0</v>
      </c>
      <c r="AD9" s="386">
        <f t="shared" si="1"/>
        <v>0</v>
      </c>
      <c r="AE9" s="386">
        <f t="shared" si="1"/>
        <v>0</v>
      </c>
      <c r="AF9" s="386">
        <f t="shared" si="1"/>
        <v>0</v>
      </c>
      <c r="AG9" s="387">
        <f>SUM(U9:AF9)</f>
        <v>0</v>
      </c>
    </row>
    <row r="10" spans="1:35">
      <c r="A10" s="54">
        <f>$M$1</f>
        <v>1</v>
      </c>
      <c r="B10" s="31" t="s">
        <v>52</v>
      </c>
      <c r="C10" s="32">
        <f>C8*$C$2</f>
        <v>0</v>
      </c>
      <c r="D10" s="32">
        <f t="shared" ref="D10:N11" si="2">D8*$C$2</f>
        <v>0</v>
      </c>
      <c r="E10" s="32">
        <f t="shared" si="2"/>
        <v>0</v>
      </c>
      <c r="F10" s="32">
        <f t="shared" si="2"/>
        <v>0</v>
      </c>
      <c r="G10" s="32">
        <f t="shared" si="2"/>
        <v>0</v>
      </c>
      <c r="H10" s="32">
        <f t="shared" si="2"/>
        <v>0</v>
      </c>
      <c r="I10" s="32">
        <f t="shared" si="2"/>
        <v>0</v>
      </c>
      <c r="J10" s="32">
        <f t="shared" si="2"/>
        <v>0</v>
      </c>
      <c r="K10" s="32">
        <f t="shared" si="2"/>
        <v>0</v>
      </c>
      <c r="L10" s="32">
        <f t="shared" si="2"/>
        <v>0</v>
      </c>
      <c r="M10" s="32">
        <f t="shared" si="2"/>
        <v>0</v>
      </c>
      <c r="N10" s="32">
        <f t="shared" si="2"/>
        <v>0</v>
      </c>
      <c r="O10" s="31">
        <f>SUM(C10:N10)</f>
        <v>0</v>
      </c>
      <c r="Q10" t="e">
        <f>F9/F8</f>
        <v>#DIV/0!</v>
      </c>
      <c r="S10" s="54">
        <f>$AE$1</f>
        <v>1.20576662365</v>
      </c>
      <c r="T10" s="31" t="s">
        <v>52</v>
      </c>
      <c r="U10" s="32">
        <f t="shared" ref="U10:AF11" si="3">U8*$C$2</f>
        <v>0</v>
      </c>
      <c r="V10" s="32">
        <f t="shared" si="3"/>
        <v>0</v>
      </c>
      <c r="W10" s="32">
        <f t="shared" si="3"/>
        <v>0</v>
      </c>
      <c r="X10" s="32">
        <f t="shared" si="3"/>
        <v>0</v>
      </c>
      <c r="Y10" s="32">
        <f t="shared" si="3"/>
        <v>0</v>
      </c>
      <c r="Z10" s="32">
        <f t="shared" si="3"/>
        <v>0</v>
      </c>
      <c r="AA10" s="32">
        <f t="shared" si="3"/>
        <v>0</v>
      </c>
      <c r="AB10" s="32">
        <f t="shared" si="3"/>
        <v>0</v>
      </c>
      <c r="AC10" s="32">
        <f t="shared" si="3"/>
        <v>0</v>
      </c>
      <c r="AD10" s="32">
        <f t="shared" si="3"/>
        <v>0</v>
      </c>
      <c r="AE10" s="32">
        <f t="shared" si="3"/>
        <v>0</v>
      </c>
      <c r="AF10" s="32">
        <f t="shared" si="3"/>
        <v>0</v>
      </c>
      <c r="AG10" s="60">
        <f>SUM(U10:AF10)</f>
        <v>0</v>
      </c>
    </row>
    <row r="11" spans="1:35">
      <c r="A11" s="54">
        <f>$M$2</f>
        <v>1</v>
      </c>
      <c r="B11" s="31" t="s">
        <v>53</v>
      </c>
      <c r="C11" s="32">
        <f t="shared" ref="C11:H11" si="4">C9*$C$2</f>
        <v>0</v>
      </c>
      <c r="D11" s="32">
        <f t="shared" si="4"/>
        <v>0</v>
      </c>
      <c r="E11" s="32">
        <f t="shared" si="4"/>
        <v>0</v>
      </c>
      <c r="F11" s="32">
        <f t="shared" si="4"/>
        <v>0</v>
      </c>
      <c r="G11" s="32">
        <f t="shared" si="4"/>
        <v>0</v>
      </c>
      <c r="H11" s="32">
        <f t="shared" si="4"/>
        <v>0</v>
      </c>
      <c r="I11" s="32">
        <f t="shared" si="2"/>
        <v>0</v>
      </c>
      <c r="J11" s="32">
        <f t="shared" si="2"/>
        <v>0</v>
      </c>
      <c r="K11" s="32">
        <f t="shared" si="2"/>
        <v>0</v>
      </c>
      <c r="L11" s="32">
        <f t="shared" si="2"/>
        <v>0</v>
      </c>
      <c r="M11" s="32">
        <f t="shared" si="2"/>
        <v>0</v>
      </c>
      <c r="N11" s="32">
        <f t="shared" si="2"/>
        <v>0</v>
      </c>
      <c r="O11" s="31">
        <f t="shared" ref="O11:O37" si="5">SUM(C11:N11)</f>
        <v>0</v>
      </c>
      <c r="Q11" t="e">
        <f>Q10*9</f>
        <v>#DIV/0!</v>
      </c>
      <c r="S11" s="54">
        <f>$AE$2</f>
        <v>1.20576662365</v>
      </c>
      <c r="T11" s="31" t="s">
        <v>53</v>
      </c>
      <c r="U11" s="32">
        <f>U9*$C$2</f>
        <v>0</v>
      </c>
      <c r="V11" s="32">
        <f t="shared" si="3"/>
        <v>0</v>
      </c>
      <c r="W11" s="32">
        <f t="shared" si="3"/>
        <v>0</v>
      </c>
      <c r="X11" s="32">
        <f t="shared" si="3"/>
        <v>0</v>
      </c>
      <c r="Y11" s="32">
        <f t="shared" si="3"/>
        <v>0</v>
      </c>
      <c r="Z11" s="32">
        <f t="shared" si="3"/>
        <v>0</v>
      </c>
      <c r="AA11" s="32">
        <f t="shared" si="3"/>
        <v>0</v>
      </c>
      <c r="AB11" s="32">
        <f t="shared" si="3"/>
        <v>0</v>
      </c>
      <c r="AC11" s="32">
        <f t="shared" si="3"/>
        <v>0</v>
      </c>
      <c r="AD11" s="32">
        <f t="shared" si="3"/>
        <v>0</v>
      </c>
      <c r="AE11" s="32">
        <f t="shared" si="3"/>
        <v>0</v>
      </c>
      <c r="AF11" s="32">
        <f t="shared" si="3"/>
        <v>0</v>
      </c>
      <c r="AG11" s="60">
        <f>SUM(U11:AF11)</f>
        <v>0</v>
      </c>
    </row>
    <row r="12" spans="1:35">
      <c r="A12" s="54"/>
      <c r="B12" s="31" t="s">
        <v>54</v>
      </c>
      <c r="C12" s="32">
        <f>(C10*$G$1*$C$1)*$A10</f>
        <v>0</v>
      </c>
      <c r="D12" s="32">
        <f>(D10*$G$1*$C$1)*$A10</f>
        <v>0</v>
      </c>
      <c r="E12" s="32">
        <f t="shared" ref="E12:N12" si="6">(E10*$G$1*$C$1)*$A10</f>
        <v>0</v>
      </c>
      <c r="F12" s="32">
        <f t="shared" si="6"/>
        <v>0</v>
      </c>
      <c r="G12" s="32">
        <f t="shared" si="6"/>
        <v>0</v>
      </c>
      <c r="H12" s="32">
        <f t="shared" si="6"/>
        <v>0</v>
      </c>
      <c r="I12" s="32">
        <f t="shared" si="6"/>
        <v>0</v>
      </c>
      <c r="J12" s="32">
        <f t="shared" si="6"/>
        <v>0</v>
      </c>
      <c r="K12" s="32">
        <f t="shared" si="6"/>
        <v>0</v>
      </c>
      <c r="L12" s="32">
        <f t="shared" si="6"/>
        <v>0</v>
      </c>
      <c r="M12" s="32">
        <f t="shared" si="6"/>
        <v>0</v>
      </c>
      <c r="N12" s="32">
        <f t="shared" si="6"/>
        <v>0</v>
      </c>
      <c r="O12" s="31">
        <f t="shared" si="5"/>
        <v>0</v>
      </c>
      <c r="T12" s="31" t="s">
        <v>54</v>
      </c>
      <c r="U12" s="32">
        <f>(U10*$G$1*$C$1)*$S10</f>
        <v>0</v>
      </c>
      <c r="V12" s="32">
        <f t="shared" ref="V12:AF12" si="7">(V10*$G$1*$C$1)*$S10</f>
        <v>0</v>
      </c>
      <c r="W12" s="32">
        <f t="shared" si="7"/>
        <v>0</v>
      </c>
      <c r="X12" s="32">
        <f t="shared" si="7"/>
        <v>0</v>
      </c>
      <c r="Y12" s="32">
        <f t="shared" si="7"/>
        <v>0</v>
      </c>
      <c r="Z12" s="32">
        <f t="shared" si="7"/>
        <v>0</v>
      </c>
      <c r="AA12" s="32">
        <f t="shared" si="7"/>
        <v>0</v>
      </c>
      <c r="AB12" s="32">
        <f t="shared" si="7"/>
        <v>0</v>
      </c>
      <c r="AC12" s="32">
        <f t="shared" si="7"/>
        <v>0</v>
      </c>
      <c r="AD12" s="32">
        <f t="shared" si="7"/>
        <v>0</v>
      </c>
      <c r="AE12" s="32">
        <f t="shared" si="7"/>
        <v>0</v>
      </c>
      <c r="AF12" s="32">
        <f t="shared" si="7"/>
        <v>0</v>
      </c>
      <c r="AG12" s="60">
        <f t="shared" ref="AG12:AG13" si="8">SUM(U12:AF12)</f>
        <v>0</v>
      </c>
    </row>
    <row r="13" spans="1:35">
      <c r="B13" s="31" t="s">
        <v>55</v>
      </c>
      <c r="C13" s="32">
        <f>(C11*$G$2*$C$1)*$A11</f>
        <v>0</v>
      </c>
      <c r="D13" s="32">
        <f t="shared" ref="D13:N13" si="9">(D11*$G$2*$C$1)*$A11</f>
        <v>0</v>
      </c>
      <c r="E13" s="32">
        <f t="shared" si="9"/>
        <v>0</v>
      </c>
      <c r="F13" s="32">
        <f t="shared" si="9"/>
        <v>0</v>
      </c>
      <c r="G13" s="32">
        <f t="shared" si="9"/>
        <v>0</v>
      </c>
      <c r="H13" s="32">
        <f t="shared" si="9"/>
        <v>0</v>
      </c>
      <c r="I13" s="32">
        <f t="shared" si="9"/>
        <v>0</v>
      </c>
      <c r="J13" s="32">
        <f t="shared" si="9"/>
        <v>0</v>
      </c>
      <c r="K13" s="32">
        <f t="shared" si="9"/>
        <v>0</v>
      </c>
      <c r="L13" s="32">
        <f t="shared" si="9"/>
        <v>0</v>
      </c>
      <c r="M13" s="32">
        <f t="shared" si="9"/>
        <v>0</v>
      </c>
      <c r="N13" s="32">
        <f t="shared" si="9"/>
        <v>0</v>
      </c>
      <c r="O13" s="31">
        <f t="shared" si="5"/>
        <v>0</v>
      </c>
      <c r="T13" s="31" t="s">
        <v>55</v>
      </c>
      <c r="U13" s="32">
        <f>(U11*$G$2*$C$1)*$S11</f>
        <v>0</v>
      </c>
      <c r="V13" s="32">
        <f t="shared" ref="V13:AF13" si="10">(V11*$G$2*$C$1)*$S11</f>
        <v>0</v>
      </c>
      <c r="W13" s="32">
        <f t="shared" si="10"/>
        <v>0</v>
      </c>
      <c r="X13" s="32">
        <f t="shared" si="10"/>
        <v>0</v>
      </c>
      <c r="Y13" s="32">
        <f t="shared" si="10"/>
        <v>0</v>
      </c>
      <c r="Z13" s="32">
        <f t="shared" si="10"/>
        <v>0</v>
      </c>
      <c r="AA13" s="32">
        <f t="shared" si="10"/>
        <v>0</v>
      </c>
      <c r="AB13" s="32">
        <f t="shared" si="10"/>
        <v>0</v>
      </c>
      <c r="AC13" s="32">
        <f t="shared" si="10"/>
        <v>0</v>
      </c>
      <c r="AD13" s="32">
        <f t="shared" si="10"/>
        <v>0</v>
      </c>
      <c r="AE13" s="32">
        <f t="shared" si="10"/>
        <v>0</v>
      </c>
      <c r="AF13" s="32">
        <f t="shared" si="10"/>
        <v>0</v>
      </c>
      <c r="AG13" s="60">
        <f t="shared" si="8"/>
        <v>0</v>
      </c>
    </row>
    <row r="14" spans="1:35">
      <c r="B14" s="44" t="s">
        <v>213</v>
      </c>
      <c r="C14" s="385">
        <v>11</v>
      </c>
      <c r="D14" s="385">
        <v>19</v>
      </c>
      <c r="E14" s="385">
        <v>13</v>
      </c>
      <c r="F14" s="385">
        <v>11</v>
      </c>
      <c r="G14" s="385">
        <v>6</v>
      </c>
      <c r="H14" s="385">
        <v>16</v>
      </c>
      <c r="I14" s="30">
        <v>14</v>
      </c>
      <c r="J14" s="30">
        <v>18</v>
      </c>
      <c r="K14" s="30">
        <v>15</v>
      </c>
      <c r="L14" s="30">
        <v>16</v>
      </c>
      <c r="M14" s="30">
        <v>15</v>
      </c>
      <c r="N14" s="30">
        <v>24</v>
      </c>
      <c r="O14" s="31">
        <f t="shared" si="5"/>
        <v>178</v>
      </c>
      <c r="T14" s="44" t="s">
        <v>213</v>
      </c>
      <c r="U14" s="386">
        <f>IF(ROUND((C14*$AA$3),)=1,1,IF($AA$3&gt;1,ROUNDUP((C14*$AA$3),),ROUNDDOWN((C14*$AA$3),)))</f>
        <v>11</v>
      </c>
      <c r="V14" s="386">
        <f t="shared" ref="V14:AF14" si="11">IF(ROUND((D14*$AA$3),)=1,1,IF($AA$3&gt;1,ROUNDUP((D14*$AA$3),),ROUNDDOWN((D14*$AA$3),)))</f>
        <v>19</v>
      </c>
      <c r="W14" s="386">
        <f t="shared" si="11"/>
        <v>13</v>
      </c>
      <c r="X14" s="386">
        <f t="shared" si="11"/>
        <v>11</v>
      </c>
      <c r="Y14" s="386">
        <f t="shared" si="11"/>
        <v>6</v>
      </c>
      <c r="Z14" s="386">
        <f t="shared" si="11"/>
        <v>16</v>
      </c>
      <c r="AA14" s="386">
        <f t="shared" si="11"/>
        <v>14</v>
      </c>
      <c r="AB14" s="386">
        <f t="shared" si="11"/>
        <v>18</v>
      </c>
      <c r="AC14" s="386">
        <f t="shared" si="11"/>
        <v>15</v>
      </c>
      <c r="AD14" s="386">
        <f t="shared" si="11"/>
        <v>16</v>
      </c>
      <c r="AE14" s="386">
        <f t="shared" si="11"/>
        <v>15</v>
      </c>
      <c r="AF14" s="386">
        <f t="shared" si="11"/>
        <v>24</v>
      </c>
      <c r="AG14" s="62">
        <f>SUM(U14:AF14)</f>
        <v>178</v>
      </c>
    </row>
    <row r="15" spans="1:35">
      <c r="C15" s="385">
        <v>287597</v>
      </c>
      <c r="D15" s="385">
        <v>356298</v>
      </c>
      <c r="E15" s="385">
        <v>286600</v>
      </c>
      <c r="F15" s="385">
        <v>258250</v>
      </c>
      <c r="G15" s="385">
        <v>156871.09090909091</v>
      </c>
      <c r="H15" s="385">
        <v>300040.42105263157</v>
      </c>
      <c r="I15" s="30">
        <v>308646.15384615387</v>
      </c>
      <c r="J15" s="30">
        <v>422590.90909090912</v>
      </c>
      <c r="K15" s="30">
        <v>392177.72727272729</v>
      </c>
      <c r="L15" s="30">
        <v>300040.42105263157</v>
      </c>
      <c r="M15" s="30">
        <v>330692.30769230769</v>
      </c>
      <c r="N15" s="30">
        <v>563454.54545454541</v>
      </c>
      <c r="O15" s="31">
        <f t="shared" si="5"/>
        <v>3963258.5763709969</v>
      </c>
      <c r="S15" s="54"/>
      <c r="U15" s="386">
        <f>ROUNDUP(C15*$AA$4,)</f>
        <v>301977</v>
      </c>
      <c r="V15" s="386">
        <f t="shared" ref="V15:AF15" si="12">ROUNDUP(D15*$AA$4,)</f>
        <v>374113</v>
      </c>
      <c r="W15" s="386">
        <f t="shared" si="12"/>
        <v>300930</v>
      </c>
      <c r="X15" s="386">
        <f t="shared" si="12"/>
        <v>271163</v>
      </c>
      <c r="Y15" s="386">
        <f t="shared" si="12"/>
        <v>164715</v>
      </c>
      <c r="Z15" s="386">
        <f t="shared" si="12"/>
        <v>315043</v>
      </c>
      <c r="AA15" s="386">
        <f t="shared" si="12"/>
        <v>324079</v>
      </c>
      <c r="AB15" s="386">
        <f t="shared" si="12"/>
        <v>443721</v>
      </c>
      <c r="AC15" s="386">
        <f t="shared" si="12"/>
        <v>411787</v>
      </c>
      <c r="AD15" s="386">
        <f t="shared" si="12"/>
        <v>315043</v>
      </c>
      <c r="AE15" s="386">
        <f t="shared" si="12"/>
        <v>347227</v>
      </c>
      <c r="AF15" s="386">
        <f t="shared" si="12"/>
        <v>591628</v>
      </c>
      <c r="AG15" s="387">
        <f>SUM(U15:AF15)</f>
        <v>4161426</v>
      </c>
    </row>
    <row r="16" spans="1:35">
      <c r="A16" s="54">
        <f>$M$1</f>
        <v>1</v>
      </c>
      <c r="B16" s="31" t="s">
        <v>52</v>
      </c>
      <c r="C16" s="32">
        <f>C14*$C$2</f>
        <v>24.75</v>
      </c>
      <c r="D16" s="32">
        <f t="shared" ref="D16:N17" si="13">D14*$C$2</f>
        <v>42.75</v>
      </c>
      <c r="E16" s="32">
        <f t="shared" si="13"/>
        <v>29.25</v>
      </c>
      <c r="F16" s="32">
        <f t="shared" si="13"/>
        <v>24.75</v>
      </c>
      <c r="G16" s="32">
        <f t="shared" si="13"/>
        <v>13.5</v>
      </c>
      <c r="H16" s="32">
        <f t="shared" si="13"/>
        <v>36</v>
      </c>
      <c r="I16" s="32">
        <f t="shared" si="13"/>
        <v>31.5</v>
      </c>
      <c r="J16" s="32">
        <f t="shared" si="13"/>
        <v>40.5</v>
      </c>
      <c r="K16" s="32">
        <f t="shared" si="13"/>
        <v>33.75</v>
      </c>
      <c r="L16" s="32">
        <f t="shared" si="13"/>
        <v>36</v>
      </c>
      <c r="M16" s="32">
        <f t="shared" si="13"/>
        <v>33.75</v>
      </c>
      <c r="N16" s="32">
        <f t="shared" si="13"/>
        <v>54</v>
      </c>
      <c r="O16" s="31">
        <f t="shared" si="5"/>
        <v>400.5</v>
      </c>
      <c r="S16" s="54">
        <f>$AE$1</f>
        <v>1.20576662365</v>
      </c>
      <c r="T16" s="31" t="s">
        <v>52</v>
      </c>
      <c r="U16" s="32">
        <f>U14*$C$2</f>
        <v>24.75</v>
      </c>
      <c r="V16" s="32">
        <f t="shared" ref="V16:AF17" si="14">V14*$C$2</f>
        <v>42.75</v>
      </c>
      <c r="W16" s="32">
        <f t="shared" si="14"/>
        <v>29.25</v>
      </c>
      <c r="X16" s="32">
        <f t="shared" si="14"/>
        <v>24.75</v>
      </c>
      <c r="Y16" s="32">
        <f t="shared" si="14"/>
        <v>13.5</v>
      </c>
      <c r="Z16" s="32">
        <f t="shared" si="14"/>
        <v>36</v>
      </c>
      <c r="AA16" s="32">
        <f t="shared" si="14"/>
        <v>31.5</v>
      </c>
      <c r="AB16" s="32">
        <f t="shared" si="14"/>
        <v>40.5</v>
      </c>
      <c r="AC16" s="32">
        <f t="shared" si="14"/>
        <v>33.75</v>
      </c>
      <c r="AD16" s="32">
        <f t="shared" si="14"/>
        <v>36</v>
      </c>
      <c r="AE16" s="32">
        <f t="shared" si="14"/>
        <v>33.75</v>
      </c>
      <c r="AF16" s="32">
        <f t="shared" si="14"/>
        <v>54</v>
      </c>
      <c r="AG16" s="60">
        <f>SUM(U16:AF16)</f>
        <v>400.5</v>
      </c>
    </row>
    <row r="17" spans="1:35">
      <c r="A17" s="54">
        <f>$M$2</f>
        <v>1</v>
      </c>
      <c r="B17" s="31" t="s">
        <v>53</v>
      </c>
      <c r="C17" s="32">
        <f>C15*$C$2</f>
        <v>647093.25</v>
      </c>
      <c r="D17" s="32">
        <f t="shared" si="13"/>
        <v>801670.5</v>
      </c>
      <c r="E17" s="32">
        <f t="shared" si="13"/>
        <v>644850</v>
      </c>
      <c r="F17" s="32">
        <f t="shared" si="13"/>
        <v>581062.5</v>
      </c>
      <c r="G17" s="32">
        <f>G15*$C$2</f>
        <v>352959.95454545453</v>
      </c>
      <c r="H17" s="32">
        <f>H15*$C$2</f>
        <v>675090.94736842101</v>
      </c>
      <c r="I17" s="32">
        <f t="shared" si="13"/>
        <v>694453.84615384624</v>
      </c>
      <c r="J17" s="32">
        <f t="shared" si="13"/>
        <v>950829.54545454553</v>
      </c>
      <c r="K17" s="32">
        <f t="shared" si="13"/>
        <v>882399.88636363647</v>
      </c>
      <c r="L17" s="32">
        <f t="shared" si="13"/>
        <v>675090.94736842101</v>
      </c>
      <c r="M17" s="32">
        <f t="shared" si="13"/>
        <v>744057.69230769225</v>
      </c>
      <c r="N17" s="32">
        <f t="shared" si="13"/>
        <v>1267772.7272727271</v>
      </c>
      <c r="O17" s="31">
        <f t="shared" si="5"/>
        <v>8917331.7968347445</v>
      </c>
      <c r="S17" s="54">
        <f>$AE$2</f>
        <v>1.20576662365</v>
      </c>
      <c r="T17" s="31" t="s">
        <v>53</v>
      </c>
      <c r="U17" s="32">
        <f>U15*$C$2</f>
        <v>679448.25</v>
      </c>
      <c r="V17" s="32">
        <f t="shared" si="14"/>
        <v>841754.25</v>
      </c>
      <c r="W17" s="32">
        <f t="shared" si="14"/>
        <v>677092.5</v>
      </c>
      <c r="X17" s="32">
        <f t="shared" si="14"/>
        <v>610116.75</v>
      </c>
      <c r="Y17" s="32">
        <f t="shared" si="14"/>
        <v>370608.75</v>
      </c>
      <c r="Z17" s="32">
        <f t="shared" si="14"/>
        <v>708846.75</v>
      </c>
      <c r="AA17" s="32">
        <f t="shared" si="14"/>
        <v>729177.75</v>
      </c>
      <c r="AB17" s="32">
        <f t="shared" si="14"/>
        <v>998372.25</v>
      </c>
      <c r="AC17" s="32">
        <f t="shared" si="14"/>
        <v>926520.75</v>
      </c>
      <c r="AD17" s="32">
        <f t="shared" si="14"/>
        <v>708846.75</v>
      </c>
      <c r="AE17" s="32">
        <f t="shared" si="14"/>
        <v>781260.75</v>
      </c>
      <c r="AF17" s="32">
        <f t="shared" si="14"/>
        <v>1331163</v>
      </c>
      <c r="AG17" s="60">
        <f t="shared" ref="AG17:AG19" si="15">SUM(U17:AF17)</f>
        <v>9363208.5</v>
      </c>
      <c r="AI17">
        <f>U88</f>
        <v>87997356.726050526</v>
      </c>
    </row>
    <row r="18" spans="1:35">
      <c r="B18" s="31" t="s">
        <v>54</v>
      </c>
      <c r="C18" s="32">
        <f>(C16*$G$1*$C$1)*$A16</f>
        <v>30968437.5</v>
      </c>
      <c r="D18" s="32">
        <f>(D16*$G$1*$C$1)*$A16</f>
        <v>53490937.5</v>
      </c>
      <c r="E18" s="32">
        <f t="shared" ref="E18:N18" si="16">(E16*$G$1*$C$1)*$A16</f>
        <v>36599062.5</v>
      </c>
      <c r="F18" s="32">
        <f t="shared" si="16"/>
        <v>30968437.5</v>
      </c>
      <c r="G18" s="32">
        <f t="shared" si="16"/>
        <v>16891875</v>
      </c>
      <c r="H18" s="32">
        <f t="shared" si="16"/>
        <v>45045000</v>
      </c>
      <c r="I18" s="32">
        <f>(I16*$G$1*$C$1)*$A16</f>
        <v>39414375</v>
      </c>
      <c r="J18" s="32">
        <f t="shared" si="16"/>
        <v>50675625</v>
      </c>
      <c r="K18" s="32">
        <f t="shared" si="16"/>
        <v>42229687.5</v>
      </c>
      <c r="L18" s="32">
        <f t="shared" si="16"/>
        <v>45045000</v>
      </c>
      <c r="M18" s="32">
        <f t="shared" si="16"/>
        <v>42229687.5</v>
      </c>
      <c r="N18" s="32">
        <f t="shared" si="16"/>
        <v>67567500</v>
      </c>
      <c r="O18" s="31">
        <f t="shared" si="5"/>
        <v>501125625</v>
      </c>
      <c r="T18" s="31" t="s">
        <v>54</v>
      </c>
      <c r="U18" s="32">
        <f>(U16*$G$1*$C$1)*$S16</f>
        <v>37340708.324091047</v>
      </c>
      <c r="V18" s="32">
        <f t="shared" ref="V18:AF18" si="17">(V16*$G$1*$C$1)*$S16</f>
        <v>64497587.105248168</v>
      </c>
      <c r="W18" s="32">
        <f t="shared" si="17"/>
        <v>44129928.019380331</v>
      </c>
      <c r="X18" s="32">
        <f t="shared" si="17"/>
        <v>37340708.324091047</v>
      </c>
      <c r="Y18" s="32">
        <f t="shared" si="17"/>
        <v>20367659.085867845</v>
      </c>
      <c r="Z18" s="32">
        <f t="shared" si="17"/>
        <v>54313757.56231425</v>
      </c>
      <c r="AA18" s="32">
        <f t="shared" si="17"/>
        <v>47524537.867024966</v>
      </c>
      <c r="AB18" s="32">
        <f t="shared" si="17"/>
        <v>61102977.257603534</v>
      </c>
      <c r="AC18" s="32">
        <f t="shared" si="17"/>
        <v>50919147.714669608</v>
      </c>
      <c r="AD18" s="32">
        <f t="shared" si="17"/>
        <v>54313757.56231425</v>
      </c>
      <c r="AE18" s="32">
        <f t="shared" si="17"/>
        <v>50919147.714669608</v>
      </c>
      <c r="AF18" s="32">
        <f t="shared" si="17"/>
        <v>81470636.343471378</v>
      </c>
      <c r="AG18" s="60">
        <f t="shared" si="15"/>
        <v>604240552.88074601</v>
      </c>
    </row>
    <row r="19" spans="1:35">
      <c r="B19" s="31" t="s">
        <v>55</v>
      </c>
      <c r="C19" s="32">
        <f>(C17*$G$2*$C$1)*$A17</f>
        <v>362372220</v>
      </c>
      <c r="D19" s="32">
        <f t="shared" ref="D19:N19" si="18">(D17*$G$2*$C$1)*$A17</f>
        <v>448935480.00000006</v>
      </c>
      <c r="E19" s="32">
        <f t="shared" si="18"/>
        <v>361116000</v>
      </c>
      <c r="F19" s="32">
        <f t="shared" si="18"/>
        <v>325395000</v>
      </c>
      <c r="G19" s="32">
        <f t="shared" si="18"/>
        <v>197657574.54545453</v>
      </c>
      <c r="H19" s="32">
        <f t="shared" si="18"/>
        <v>378050930.52631575</v>
      </c>
      <c r="I19" s="32">
        <f t="shared" si="18"/>
        <v>388894153.84615391</v>
      </c>
      <c r="J19" s="32">
        <f t="shared" si="18"/>
        <v>532464545.4545455</v>
      </c>
      <c r="K19" s="32">
        <f t="shared" si="18"/>
        <v>494143936.36363643</v>
      </c>
      <c r="L19" s="32">
        <f t="shared" si="18"/>
        <v>378050930.52631575</v>
      </c>
      <c r="M19" s="32">
        <f t="shared" si="18"/>
        <v>416672307.69230765</v>
      </c>
      <c r="N19" s="32">
        <f t="shared" si="18"/>
        <v>709952727.27272713</v>
      </c>
      <c r="O19" s="31">
        <f t="shared" si="5"/>
        <v>4993705806.2274561</v>
      </c>
      <c r="T19" s="31" t="s">
        <v>55</v>
      </c>
      <c r="U19" s="32">
        <f>(U17*$G$2*$C$1)*$S17</f>
        <v>458783372.51454461</v>
      </c>
      <c r="V19" s="32">
        <f t="shared" ref="V19:AF19" si="19">(V17*$G$2*$C$1)*$S17</f>
        <v>568377140.7807014</v>
      </c>
      <c r="W19" s="32">
        <f t="shared" si="19"/>
        <v>457192701.06929308</v>
      </c>
      <c r="X19" s="32">
        <f t="shared" si="19"/>
        <v>411968711.66069424</v>
      </c>
      <c r="Y19" s="32">
        <f t="shared" si="19"/>
        <v>250245890.26228228</v>
      </c>
      <c r="Z19" s="32">
        <f t="shared" si="19"/>
        <v>478634101.36235434</v>
      </c>
      <c r="AA19" s="32">
        <f t="shared" si="19"/>
        <v>492362188.44859421</v>
      </c>
      <c r="AB19" s="32">
        <f t="shared" si="19"/>
        <v>674130204.73587811</v>
      </c>
      <c r="AC19" s="32">
        <f t="shared" si="19"/>
        <v>625613966.02273285</v>
      </c>
      <c r="AD19" s="32">
        <f t="shared" si="19"/>
        <v>478634101.36235434</v>
      </c>
      <c r="AE19" s="32">
        <f t="shared" si="19"/>
        <v>527530156.56194937</v>
      </c>
      <c r="AF19" s="32">
        <f t="shared" si="19"/>
        <v>898840272.98117077</v>
      </c>
      <c r="AG19" s="60">
        <f t="shared" si="15"/>
        <v>6322312807.7625494</v>
      </c>
    </row>
    <row r="20" spans="1:35">
      <c r="B20" s="44" t="s">
        <v>214</v>
      </c>
      <c r="C20" s="385">
        <v>15</v>
      </c>
      <c r="D20" s="385">
        <v>12</v>
      </c>
      <c r="E20" s="385">
        <v>20</v>
      </c>
      <c r="F20" s="385">
        <v>11</v>
      </c>
      <c r="G20" s="385">
        <v>10</v>
      </c>
      <c r="H20" s="385">
        <v>13</v>
      </c>
      <c r="I20" s="30">
        <v>15</v>
      </c>
      <c r="J20" s="30">
        <v>14</v>
      </c>
      <c r="K20" s="30">
        <v>14</v>
      </c>
      <c r="L20" s="30">
        <v>16</v>
      </c>
      <c r="M20" s="30">
        <v>12</v>
      </c>
      <c r="N20" s="30">
        <v>14</v>
      </c>
      <c r="O20" s="31">
        <f t="shared" ref="O20:O25" si="20">SUM(C20:N20)</f>
        <v>166</v>
      </c>
      <c r="T20" s="44" t="s">
        <v>214</v>
      </c>
      <c r="U20" s="386">
        <f>IF(ROUND((C20*$AA$3),)=1,1,IF($AA$3&gt;1,ROUNDUP((C20*$AA$3),),ROUNDDOWN((C20*$AA$3),)))</f>
        <v>15</v>
      </c>
      <c r="V20" s="386">
        <f t="shared" ref="V20:AF20" si="21">IF(ROUND((D20*$AA$3),)=1,1,IF($AA$3&gt;1,ROUNDUP((D20*$AA$3),),ROUNDDOWN((D20*$AA$3),)))</f>
        <v>12</v>
      </c>
      <c r="W20" s="386">
        <f t="shared" si="21"/>
        <v>20</v>
      </c>
      <c r="X20" s="386">
        <f t="shared" si="21"/>
        <v>11</v>
      </c>
      <c r="Y20" s="386">
        <f t="shared" si="21"/>
        <v>10</v>
      </c>
      <c r="Z20" s="386">
        <f t="shared" si="21"/>
        <v>13</v>
      </c>
      <c r="AA20" s="386">
        <f t="shared" si="21"/>
        <v>15</v>
      </c>
      <c r="AB20" s="386">
        <f t="shared" si="21"/>
        <v>14</v>
      </c>
      <c r="AC20" s="386">
        <f t="shared" si="21"/>
        <v>14</v>
      </c>
      <c r="AD20" s="386">
        <f t="shared" si="21"/>
        <v>16</v>
      </c>
      <c r="AE20" s="386">
        <f t="shared" si="21"/>
        <v>12</v>
      </c>
      <c r="AF20" s="386">
        <f t="shared" si="21"/>
        <v>14</v>
      </c>
      <c r="AG20" s="62">
        <f>SUM(U20:AF20)</f>
        <v>166</v>
      </c>
    </row>
    <row r="21" spans="1:35">
      <c r="C21" s="385">
        <v>358895</v>
      </c>
      <c r="D21" s="385">
        <v>343586</v>
      </c>
      <c r="E21" s="385">
        <v>433765</v>
      </c>
      <c r="F21" s="385">
        <v>323756</v>
      </c>
      <c r="G21" s="385">
        <v>239263.33333333331</v>
      </c>
      <c r="H21" s="385">
        <v>372218.16666666669</v>
      </c>
      <c r="I21" s="30">
        <v>325323.75</v>
      </c>
      <c r="J21" s="30">
        <v>412053.09090909088</v>
      </c>
      <c r="K21" s="30">
        <v>334968.66666666663</v>
      </c>
      <c r="L21" s="30">
        <v>458114.66666666669</v>
      </c>
      <c r="M21" s="30">
        <v>260259</v>
      </c>
      <c r="N21" s="30">
        <v>412053.09090909088</v>
      </c>
      <c r="O21" s="31">
        <f t="shared" si="20"/>
        <v>4274255.7651515147</v>
      </c>
      <c r="S21" s="54"/>
      <c r="U21" s="386">
        <f>ROUNDUP(C21*$AA$4,)</f>
        <v>376840</v>
      </c>
      <c r="V21" s="386">
        <f t="shared" ref="V21:AF21" si="22">ROUNDUP(D21*$AA$4,)</f>
        <v>360766</v>
      </c>
      <c r="W21" s="386">
        <f t="shared" si="22"/>
        <v>455454</v>
      </c>
      <c r="X21" s="386">
        <f t="shared" si="22"/>
        <v>339944</v>
      </c>
      <c r="Y21" s="386">
        <f t="shared" si="22"/>
        <v>251227</v>
      </c>
      <c r="Z21" s="386">
        <f t="shared" si="22"/>
        <v>390830</v>
      </c>
      <c r="AA21" s="386">
        <f t="shared" si="22"/>
        <v>341590</v>
      </c>
      <c r="AB21" s="386">
        <f t="shared" si="22"/>
        <v>432656</v>
      </c>
      <c r="AC21" s="386">
        <f t="shared" si="22"/>
        <v>351718</v>
      </c>
      <c r="AD21" s="386">
        <f t="shared" si="22"/>
        <v>481021</v>
      </c>
      <c r="AE21" s="386">
        <f t="shared" si="22"/>
        <v>273272</v>
      </c>
      <c r="AF21" s="386">
        <f t="shared" si="22"/>
        <v>432656</v>
      </c>
      <c r="AG21" s="62">
        <f>SUM(U21:AF21)</f>
        <v>4487974</v>
      </c>
      <c r="AI21">
        <v>173667</v>
      </c>
    </row>
    <row r="22" spans="1:35">
      <c r="A22" s="54">
        <f>$M$1</f>
        <v>1</v>
      </c>
      <c r="B22" s="31" t="s">
        <v>52</v>
      </c>
      <c r="C22" s="32">
        <f>C20*$C$2</f>
        <v>33.75</v>
      </c>
      <c r="D22" s="32">
        <f t="shared" ref="D22:N23" si="23">D20*$C$2</f>
        <v>27</v>
      </c>
      <c r="E22" s="32">
        <f t="shared" si="23"/>
        <v>45</v>
      </c>
      <c r="F22" s="32">
        <f t="shared" si="23"/>
        <v>24.75</v>
      </c>
      <c r="G22" s="32">
        <f t="shared" si="23"/>
        <v>22.5</v>
      </c>
      <c r="H22" s="32">
        <f t="shared" si="23"/>
        <v>29.25</v>
      </c>
      <c r="I22" s="32">
        <f t="shared" si="23"/>
        <v>33.75</v>
      </c>
      <c r="J22" s="32">
        <f t="shared" si="23"/>
        <v>31.5</v>
      </c>
      <c r="K22" s="32">
        <f t="shared" si="23"/>
        <v>31.5</v>
      </c>
      <c r="L22" s="32">
        <f t="shared" si="23"/>
        <v>36</v>
      </c>
      <c r="M22" s="32">
        <f t="shared" si="23"/>
        <v>27</v>
      </c>
      <c r="N22" s="32">
        <f t="shared" si="23"/>
        <v>31.5</v>
      </c>
      <c r="O22" s="31">
        <f t="shared" si="20"/>
        <v>373.5</v>
      </c>
      <c r="S22" s="54">
        <f>$AE$1</f>
        <v>1.20576662365</v>
      </c>
      <c r="T22" s="31" t="s">
        <v>52</v>
      </c>
      <c r="U22" s="32">
        <f>U20*$C$2</f>
        <v>33.75</v>
      </c>
      <c r="V22" s="32">
        <f t="shared" ref="V22:AF23" si="24">V20*$C$2</f>
        <v>27</v>
      </c>
      <c r="W22" s="32">
        <f t="shared" si="24"/>
        <v>45</v>
      </c>
      <c r="X22" s="32">
        <f t="shared" si="24"/>
        <v>24.75</v>
      </c>
      <c r="Y22" s="32">
        <f t="shared" si="24"/>
        <v>22.5</v>
      </c>
      <c r="Z22" s="32">
        <f t="shared" si="24"/>
        <v>29.25</v>
      </c>
      <c r="AA22" s="32">
        <f t="shared" si="24"/>
        <v>33.75</v>
      </c>
      <c r="AB22" s="32">
        <f t="shared" si="24"/>
        <v>31.5</v>
      </c>
      <c r="AC22" s="32">
        <f t="shared" si="24"/>
        <v>31.5</v>
      </c>
      <c r="AD22" s="32">
        <f t="shared" si="24"/>
        <v>36</v>
      </c>
      <c r="AE22" s="32">
        <f t="shared" si="24"/>
        <v>27</v>
      </c>
      <c r="AF22" s="32">
        <f t="shared" si="24"/>
        <v>31.5</v>
      </c>
      <c r="AG22" s="60">
        <f>SUM(U22:AF22)</f>
        <v>373.5</v>
      </c>
      <c r="AI22">
        <f>AI21/36</f>
        <v>4824.083333333333</v>
      </c>
    </row>
    <row r="23" spans="1:35">
      <c r="A23" s="54">
        <f>$M$2</f>
        <v>1</v>
      </c>
      <c r="B23" s="31" t="s">
        <v>53</v>
      </c>
      <c r="C23" s="32">
        <f>C21*$C$2</f>
        <v>807513.75</v>
      </c>
      <c r="D23" s="32">
        <f t="shared" si="23"/>
        <v>773068.5</v>
      </c>
      <c r="E23" s="32">
        <f t="shared" si="23"/>
        <v>975971.25</v>
      </c>
      <c r="F23" s="32">
        <f t="shared" si="23"/>
        <v>728451</v>
      </c>
      <c r="G23" s="32">
        <f>G21*$C$2</f>
        <v>538342.5</v>
      </c>
      <c r="H23" s="32">
        <f>H21*$C$2</f>
        <v>837490.875</v>
      </c>
      <c r="I23" s="32">
        <f t="shared" si="23"/>
        <v>731978.4375</v>
      </c>
      <c r="J23" s="32">
        <f t="shared" si="23"/>
        <v>927119.45454545447</v>
      </c>
      <c r="K23" s="32">
        <f t="shared" si="23"/>
        <v>753679.49999999988</v>
      </c>
      <c r="L23" s="32">
        <f t="shared" si="23"/>
        <v>1030758</v>
      </c>
      <c r="M23" s="32">
        <f t="shared" si="23"/>
        <v>585582.75</v>
      </c>
      <c r="N23" s="32">
        <f t="shared" si="23"/>
        <v>927119.45454545447</v>
      </c>
      <c r="O23" s="31">
        <f t="shared" si="20"/>
        <v>9617075.4715909082</v>
      </c>
      <c r="S23" s="54">
        <f>$AE$2</f>
        <v>1.20576662365</v>
      </c>
      <c r="T23" s="31" t="s">
        <v>53</v>
      </c>
      <c r="U23" s="32">
        <f>U21*$C$2</f>
        <v>847890</v>
      </c>
      <c r="V23" s="32">
        <f t="shared" si="24"/>
        <v>811723.5</v>
      </c>
      <c r="W23" s="32">
        <f t="shared" si="24"/>
        <v>1024771.5</v>
      </c>
      <c r="X23" s="32">
        <f t="shared" si="24"/>
        <v>764874</v>
      </c>
      <c r="Y23" s="32">
        <f t="shared" si="24"/>
        <v>565260.75</v>
      </c>
      <c r="Z23" s="32">
        <f t="shared" si="24"/>
        <v>879367.5</v>
      </c>
      <c r="AA23" s="32">
        <f t="shared" si="24"/>
        <v>768577.5</v>
      </c>
      <c r="AB23" s="32">
        <f t="shared" si="24"/>
        <v>973476</v>
      </c>
      <c r="AC23" s="32">
        <f t="shared" si="24"/>
        <v>791365.5</v>
      </c>
      <c r="AD23" s="32">
        <f t="shared" si="24"/>
        <v>1082297.25</v>
      </c>
      <c r="AE23" s="32">
        <f t="shared" si="24"/>
        <v>614862</v>
      </c>
      <c r="AF23" s="32">
        <f t="shared" si="24"/>
        <v>973476</v>
      </c>
      <c r="AG23" s="60">
        <f t="shared" ref="AG23:AG25" si="25">SUM(U23:AF23)</f>
        <v>10097941.5</v>
      </c>
    </row>
    <row r="24" spans="1:35">
      <c r="B24" s="31" t="s">
        <v>54</v>
      </c>
      <c r="C24" s="32">
        <f>(C22*$G$1*$C$1)*$A22</f>
        <v>42229687.5</v>
      </c>
      <c r="D24" s="32">
        <f>(D22*$G$1*$C$1)*$A22</f>
        <v>33783750</v>
      </c>
      <c r="E24" s="32">
        <f t="shared" ref="E24:N24" si="26">(E22*$G$1*$C$1)*$A22</f>
        <v>56306250</v>
      </c>
      <c r="F24" s="32">
        <f t="shared" si="26"/>
        <v>30968437.5</v>
      </c>
      <c r="G24" s="32">
        <f t="shared" si="26"/>
        <v>28153125</v>
      </c>
      <c r="H24" s="32">
        <f t="shared" si="26"/>
        <v>36599062.5</v>
      </c>
      <c r="I24" s="32">
        <f t="shared" si="26"/>
        <v>42229687.5</v>
      </c>
      <c r="J24" s="32">
        <f t="shared" si="26"/>
        <v>39414375</v>
      </c>
      <c r="K24" s="32">
        <f t="shared" si="26"/>
        <v>39414375</v>
      </c>
      <c r="L24" s="32">
        <f t="shared" si="26"/>
        <v>45045000</v>
      </c>
      <c r="M24" s="32">
        <f t="shared" si="26"/>
        <v>33783750</v>
      </c>
      <c r="N24" s="32">
        <f t="shared" si="26"/>
        <v>39414375</v>
      </c>
      <c r="O24" s="31">
        <f t="shared" si="20"/>
        <v>467341875</v>
      </c>
      <c r="T24" s="31" t="s">
        <v>54</v>
      </c>
      <c r="U24" s="32">
        <f>(U22*$G$1*$C$1)*$S22</f>
        <v>50919147.714669608</v>
      </c>
      <c r="V24" s="32">
        <f t="shared" ref="V24:AF24" si="27">(V22*$G$1*$C$1)*$S22</f>
        <v>40735318.171735689</v>
      </c>
      <c r="W24" s="32">
        <f t="shared" si="27"/>
        <v>67892196.95289281</v>
      </c>
      <c r="X24" s="32">
        <f t="shared" si="27"/>
        <v>37340708.324091047</v>
      </c>
      <c r="Y24" s="32">
        <f t="shared" si="27"/>
        <v>33946098.476446405</v>
      </c>
      <c r="Z24" s="32">
        <f t="shared" si="27"/>
        <v>44129928.019380331</v>
      </c>
      <c r="AA24" s="32">
        <f t="shared" si="27"/>
        <v>50919147.714669608</v>
      </c>
      <c r="AB24" s="32">
        <f t="shared" si="27"/>
        <v>47524537.867024966</v>
      </c>
      <c r="AC24" s="32">
        <f t="shared" si="27"/>
        <v>47524537.867024966</v>
      </c>
      <c r="AD24" s="32">
        <f t="shared" si="27"/>
        <v>54313757.56231425</v>
      </c>
      <c r="AE24" s="32">
        <f t="shared" si="27"/>
        <v>40735318.171735689</v>
      </c>
      <c r="AF24" s="32">
        <f t="shared" si="27"/>
        <v>47524537.867024966</v>
      </c>
      <c r="AG24" s="60">
        <f t="shared" si="25"/>
        <v>563505234.70901036</v>
      </c>
    </row>
    <row r="25" spans="1:35">
      <c r="B25" s="31" t="s">
        <v>55</v>
      </c>
      <c r="C25" s="32">
        <f>(C23*$G$2*$C$1)*$A23</f>
        <v>452207700.00000006</v>
      </c>
      <c r="D25" s="32">
        <f t="shared" ref="D25:N25" si="28">(D23*$G$2*$C$1)*$A23</f>
        <v>432918360</v>
      </c>
      <c r="E25" s="32">
        <f t="shared" si="28"/>
        <v>546543900</v>
      </c>
      <c r="F25" s="32">
        <f t="shared" si="28"/>
        <v>407932560</v>
      </c>
      <c r="G25" s="32">
        <f t="shared" si="28"/>
        <v>301471800</v>
      </c>
      <c r="H25" s="32">
        <f t="shared" si="28"/>
        <v>468994890.00000006</v>
      </c>
      <c r="I25" s="32">
        <f t="shared" si="28"/>
        <v>409907925</v>
      </c>
      <c r="J25" s="32">
        <f t="shared" si="28"/>
        <v>519186894.5454545</v>
      </c>
      <c r="K25" s="32">
        <f t="shared" si="28"/>
        <v>422060519.99999994</v>
      </c>
      <c r="L25" s="32">
        <f t="shared" si="28"/>
        <v>577224480</v>
      </c>
      <c r="M25" s="32">
        <f t="shared" si="28"/>
        <v>327926340</v>
      </c>
      <c r="N25" s="32">
        <f t="shared" si="28"/>
        <v>519186894.5454545</v>
      </c>
      <c r="O25" s="31">
        <f t="shared" si="20"/>
        <v>5385562264.0909081</v>
      </c>
      <c r="T25" s="31" t="s">
        <v>55</v>
      </c>
      <c r="U25" s="32">
        <f>(U23*$G$2*$C$1)*$S23</f>
        <v>572520179.0148952</v>
      </c>
      <c r="V25" s="32">
        <f t="shared" ref="V25:AF25" si="29">(V23*$G$2*$C$1)*$S23</f>
        <v>548099498.20212209</v>
      </c>
      <c r="W25" s="32">
        <f t="shared" si="29"/>
        <v>691955752.07793772</v>
      </c>
      <c r="X25" s="32">
        <f t="shared" si="29"/>
        <v>516465342.67869526</v>
      </c>
      <c r="Y25" s="32">
        <f t="shared" si="29"/>
        <v>381680625.76524538</v>
      </c>
      <c r="Z25" s="32">
        <f t="shared" si="29"/>
        <v>593774709.59662318</v>
      </c>
      <c r="AA25" s="32">
        <f t="shared" si="29"/>
        <v>518966054.42548043</v>
      </c>
      <c r="AB25" s="32">
        <f t="shared" si="29"/>
        <v>657319527.0456121</v>
      </c>
      <c r="AC25" s="32">
        <f t="shared" si="29"/>
        <v>534353179.92453265</v>
      </c>
      <c r="AD25" s="32">
        <f t="shared" si="29"/>
        <v>730798824.51418078</v>
      </c>
      <c r="AE25" s="32">
        <f t="shared" si="29"/>
        <v>415172843.54038429</v>
      </c>
      <c r="AF25" s="32">
        <f t="shared" si="29"/>
        <v>657319527.0456121</v>
      </c>
      <c r="AG25" s="60">
        <f t="shared" si="25"/>
        <v>6818426063.8313217</v>
      </c>
    </row>
    <row r="26" spans="1:35">
      <c r="B26" s="44" t="s">
        <v>215</v>
      </c>
      <c r="C26" s="385">
        <v>16</v>
      </c>
      <c r="D26" s="385">
        <v>23</v>
      </c>
      <c r="E26" s="385">
        <v>22</v>
      </c>
      <c r="F26" s="385">
        <v>17</v>
      </c>
      <c r="G26" s="385">
        <v>12</v>
      </c>
      <c r="H26" s="385">
        <v>16</v>
      </c>
      <c r="I26" s="30">
        <v>18</v>
      </c>
      <c r="J26" s="30">
        <v>23</v>
      </c>
      <c r="K26" s="30">
        <v>18</v>
      </c>
      <c r="L26" s="30">
        <v>16</v>
      </c>
      <c r="M26" s="30">
        <v>21</v>
      </c>
      <c r="N26" s="30">
        <v>23</v>
      </c>
      <c r="O26" s="31">
        <f t="shared" si="5"/>
        <v>225</v>
      </c>
      <c r="Q26" s="53"/>
      <c r="T26" s="44" t="s">
        <v>215</v>
      </c>
      <c r="U26" s="386">
        <f>IF(ROUND((C26*$AA$3),)=1,1,IF($AA$3&gt;1,ROUNDUP((C26*$AA$3),),ROUNDDOWN((C26*$AA$3),)))</f>
        <v>16</v>
      </c>
      <c r="V26" s="386">
        <f t="shared" ref="V26:AF26" si="30">IF(ROUND((D26*$AA$3),)=1,1,IF($AA$3&gt;1,ROUNDUP((D26*$AA$3),),ROUNDDOWN((D26*$AA$3),)))</f>
        <v>23</v>
      </c>
      <c r="W26" s="386">
        <f t="shared" si="30"/>
        <v>22</v>
      </c>
      <c r="X26" s="386">
        <f t="shared" si="30"/>
        <v>17</v>
      </c>
      <c r="Y26" s="386">
        <f t="shared" si="30"/>
        <v>12</v>
      </c>
      <c r="Z26" s="386">
        <f t="shared" si="30"/>
        <v>16</v>
      </c>
      <c r="AA26" s="386">
        <f t="shared" si="30"/>
        <v>18</v>
      </c>
      <c r="AB26" s="386">
        <f t="shared" si="30"/>
        <v>23</v>
      </c>
      <c r="AC26" s="386">
        <f t="shared" si="30"/>
        <v>18</v>
      </c>
      <c r="AD26" s="386">
        <f t="shared" si="30"/>
        <v>16</v>
      </c>
      <c r="AE26" s="386">
        <f t="shared" si="30"/>
        <v>21</v>
      </c>
      <c r="AF26" s="386">
        <f t="shared" si="30"/>
        <v>23</v>
      </c>
      <c r="AG26" s="62">
        <f>SUM(U26:AF26)</f>
        <v>225</v>
      </c>
      <c r="AI26">
        <v>31054</v>
      </c>
    </row>
    <row r="27" spans="1:35">
      <c r="C27" s="385">
        <v>128975</v>
      </c>
      <c r="D27" s="385">
        <v>198191</v>
      </c>
      <c r="E27" s="385">
        <v>177563</v>
      </c>
      <c r="F27" s="385">
        <v>90344</v>
      </c>
      <c r="G27" s="385">
        <v>96731.25</v>
      </c>
      <c r="H27" s="385">
        <v>137872</v>
      </c>
      <c r="I27" s="30">
        <v>145278.81818181818</v>
      </c>
      <c r="J27" s="30">
        <v>122230.11764705881</v>
      </c>
      <c r="K27" s="30">
        <v>145096.875</v>
      </c>
      <c r="L27" s="30">
        <v>137872</v>
      </c>
      <c r="M27" s="30">
        <v>169491.95454545456</v>
      </c>
      <c r="N27" s="30">
        <v>122230.11764705881</v>
      </c>
      <c r="O27" s="31">
        <f t="shared" si="5"/>
        <v>1671876.1330213903</v>
      </c>
      <c r="Q27" s="39"/>
      <c r="S27" s="54"/>
      <c r="U27" s="386">
        <f>ROUNDUP(C27*$AA$4,)</f>
        <v>135424</v>
      </c>
      <c r="V27" s="386">
        <f t="shared" ref="V27:AF27" si="31">ROUNDUP(D27*$AA$4,)</f>
        <v>208101</v>
      </c>
      <c r="W27" s="386">
        <f t="shared" si="31"/>
        <v>186442</v>
      </c>
      <c r="X27" s="386">
        <f t="shared" si="31"/>
        <v>94862</v>
      </c>
      <c r="Y27" s="386">
        <f t="shared" si="31"/>
        <v>101568</v>
      </c>
      <c r="Z27" s="386">
        <f t="shared" si="31"/>
        <v>144766</v>
      </c>
      <c r="AA27" s="386">
        <f t="shared" si="31"/>
        <v>152543</v>
      </c>
      <c r="AB27" s="386">
        <f t="shared" si="31"/>
        <v>128342</v>
      </c>
      <c r="AC27" s="386">
        <f t="shared" si="31"/>
        <v>152352</v>
      </c>
      <c r="AD27" s="386">
        <f t="shared" si="31"/>
        <v>144766</v>
      </c>
      <c r="AE27" s="386">
        <f t="shared" si="31"/>
        <v>177967</v>
      </c>
      <c r="AF27" s="386">
        <f t="shared" si="31"/>
        <v>128342</v>
      </c>
      <c r="AG27" s="387">
        <f>SUM(U27:AF27)</f>
        <v>1755475</v>
      </c>
    </row>
    <row r="28" spans="1:35">
      <c r="A28" s="54">
        <f>$M$1</f>
        <v>1</v>
      </c>
      <c r="B28" s="31" t="s">
        <v>52</v>
      </c>
      <c r="C28" s="32">
        <f>C26*$C$2</f>
        <v>36</v>
      </c>
      <c r="D28" s="32">
        <f t="shared" ref="D28:N29" si="32">D26*$C$2</f>
        <v>51.75</v>
      </c>
      <c r="E28" s="32">
        <f t="shared" si="32"/>
        <v>49.5</v>
      </c>
      <c r="F28" s="32">
        <f t="shared" si="32"/>
        <v>38.25</v>
      </c>
      <c r="G28" s="32">
        <f t="shared" si="32"/>
        <v>27</v>
      </c>
      <c r="H28" s="32">
        <f t="shared" si="32"/>
        <v>36</v>
      </c>
      <c r="I28" s="32">
        <f t="shared" si="32"/>
        <v>40.5</v>
      </c>
      <c r="J28" s="32">
        <f t="shared" si="32"/>
        <v>51.75</v>
      </c>
      <c r="K28" s="32">
        <f t="shared" si="32"/>
        <v>40.5</v>
      </c>
      <c r="L28" s="32">
        <f t="shared" si="32"/>
        <v>36</v>
      </c>
      <c r="M28" s="32">
        <f t="shared" si="32"/>
        <v>47.25</v>
      </c>
      <c r="N28" s="32">
        <f t="shared" si="32"/>
        <v>51.75</v>
      </c>
      <c r="O28" s="31">
        <f t="shared" si="5"/>
        <v>506.25</v>
      </c>
      <c r="S28" s="54">
        <f>$AE$1</f>
        <v>1.20576662365</v>
      </c>
      <c r="T28" s="31" t="s">
        <v>52</v>
      </c>
      <c r="U28" s="32">
        <f>U26*$C$2</f>
        <v>36</v>
      </c>
      <c r="V28" s="32">
        <f t="shared" ref="V28:AF29" si="33">V26*$C$2</f>
        <v>51.75</v>
      </c>
      <c r="W28" s="32">
        <f t="shared" si="33"/>
        <v>49.5</v>
      </c>
      <c r="X28" s="32">
        <f t="shared" si="33"/>
        <v>38.25</v>
      </c>
      <c r="Y28" s="32">
        <f t="shared" si="33"/>
        <v>27</v>
      </c>
      <c r="Z28" s="32">
        <f t="shared" si="33"/>
        <v>36</v>
      </c>
      <c r="AA28" s="32">
        <f t="shared" si="33"/>
        <v>40.5</v>
      </c>
      <c r="AB28" s="32">
        <f t="shared" si="33"/>
        <v>51.75</v>
      </c>
      <c r="AC28" s="32">
        <f t="shared" si="33"/>
        <v>40.5</v>
      </c>
      <c r="AD28" s="32">
        <f t="shared" si="33"/>
        <v>36</v>
      </c>
      <c r="AE28" s="32">
        <f t="shared" si="33"/>
        <v>47.25</v>
      </c>
      <c r="AF28" s="32">
        <f t="shared" si="33"/>
        <v>51.75</v>
      </c>
      <c r="AG28" s="60">
        <f>SUM(U28:AF28)</f>
        <v>506.25</v>
      </c>
    </row>
    <row r="29" spans="1:35">
      <c r="A29" s="54">
        <f>$M$2</f>
        <v>1</v>
      </c>
      <c r="B29" s="31" t="s">
        <v>53</v>
      </c>
      <c r="C29" s="32">
        <f>C27*$C$2</f>
        <v>290193.75</v>
      </c>
      <c r="D29" s="32">
        <f t="shared" si="32"/>
        <v>445929.75</v>
      </c>
      <c r="E29" s="32">
        <f t="shared" si="32"/>
        <v>399516.75</v>
      </c>
      <c r="F29" s="32">
        <f t="shared" si="32"/>
        <v>203274</v>
      </c>
      <c r="G29" s="32">
        <f>G27*$C$2</f>
        <v>217645.3125</v>
      </c>
      <c r="H29" s="32">
        <f>H27*$C$2</f>
        <v>310212</v>
      </c>
      <c r="I29" s="32">
        <f t="shared" si="32"/>
        <v>326877.34090909088</v>
      </c>
      <c r="J29" s="32">
        <f t="shared" si="32"/>
        <v>275017.76470588235</v>
      </c>
      <c r="K29" s="32">
        <f t="shared" si="32"/>
        <v>326467.96875</v>
      </c>
      <c r="L29" s="32">
        <f t="shared" si="32"/>
        <v>310212</v>
      </c>
      <c r="M29" s="32">
        <f t="shared" si="32"/>
        <v>381356.89772727276</v>
      </c>
      <c r="N29" s="32">
        <f t="shared" si="32"/>
        <v>275017.76470588235</v>
      </c>
      <c r="O29" s="31">
        <f t="shared" si="5"/>
        <v>3761721.2992981286</v>
      </c>
      <c r="Q29" s="39"/>
      <c r="S29" s="54">
        <f>$AE$2</f>
        <v>1.20576662365</v>
      </c>
      <c r="T29" s="31" t="s">
        <v>53</v>
      </c>
      <c r="U29" s="32">
        <f>U27*$C$2</f>
        <v>304704</v>
      </c>
      <c r="V29" s="32">
        <f t="shared" si="33"/>
        <v>468227.25</v>
      </c>
      <c r="W29" s="32">
        <f t="shared" si="33"/>
        <v>419494.5</v>
      </c>
      <c r="X29" s="32">
        <f t="shared" si="33"/>
        <v>213439.5</v>
      </c>
      <c r="Y29" s="32">
        <f t="shared" si="33"/>
        <v>228528</v>
      </c>
      <c r="Z29" s="32">
        <f t="shared" si="33"/>
        <v>325723.5</v>
      </c>
      <c r="AA29" s="32">
        <f t="shared" si="33"/>
        <v>343221.75</v>
      </c>
      <c r="AB29" s="32">
        <f t="shared" si="33"/>
        <v>288769.5</v>
      </c>
      <c r="AC29" s="32">
        <f t="shared" si="33"/>
        <v>342792</v>
      </c>
      <c r="AD29" s="32">
        <f t="shared" si="33"/>
        <v>325723.5</v>
      </c>
      <c r="AE29" s="32">
        <f t="shared" si="33"/>
        <v>400425.75</v>
      </c>
      <c r="AF29" s="32">
        <f t="shared" si="33"/>
        <v>288769.5</v>
      </c>
      <c r="AG29" s="60">
        <f t="shared" ref="AG29:AG31" si="34">SUM(U29:AF29)</f>
        <v>3949818.75</v>
      </c>
      <c r="AI29">
        <f>AI26/12</f>
        <v>2587.8333333333335</v>
      </c>
    </row>
    <row r="30" spans="1:35">
      <c r="B30" s="31" t="s">
        <v>54</v>
      </c>
      <c r="C30" s="32">
        <f>(C28*$G$1*$C$1)*$A28</f>
        <v>45045000</v>
      </c>
      <c r="D30" s="32">
        <f>(D28*$G$1*$C$1)*$A28</f>
        <v>64752187.5</v>
      </c>
      <c r="E30" s="32">
        <f t="shared" ref="E30:N30" si="35">(E28*$G$1*$C$1)*$A28</f>
        <v>61936875</v>
      </c>
      <c r="F30" s="32">
        <f t="shared" si="35"/>
        <v>47860312.5</v>
      </c>
      <c r="G30" s="32">
        <f t="shared" si="35"/>
        <v>33783750</v>
      </c>
      <c r="H30" s="32">
        <f t="shared" si="35"/>
        <v>45045000</v>
      </c>
      <c r="I30" s="32">
        <f t="shared" si="35"/>
        <v>50675625</v>
      </c>
      <c r="J30" s="32">
        <f t="shared" si="35"/>
        <v>64752187.5</v>
      </c>
      <c r="K30" s="32">
        <f t="shared" si="35"/>
        <v>50675625</v>
      </c>
      <c r="L30" s="32">
        <f t="shared" si="35"/>
        <v>45045000</v>
      </c>
      <c r="M30" s="32">
        <f t="shared" si="35"/>
        <v>59121562.5</v>
      </c>
      <c r="N30" s="32">
        <f t="shared" si="35"/>
        <v>64752187.5</v>
      </c>
      <c r="O30" s="31">
        <f t="shared" si="5"/>
        <v>633445312.5</v>
      </c>
      <c r="Q30" s="39"/>
      <c r="T30" s="31" t="s">
        <v>54</v>
      </c>
      <c r="U30" s="32">
        <f>(U28*$G$1*$C$1)*$S28</f>
        <v>54313757.56231425</v>
      </c>
      <c r="V30" s="32">
        <f t="shared" ref="V30:AF30" si="36">(V28*$G$1*$C$1)*$S28</f>
        <v>78076026.495826736</v>
      </c>
      <c r="W30" s="32">
        <f t="shared" si="36"/>
        <v>74681416.648182094</v>
      </c>
      <c r="X30" s="32">
        <f t="shared" si="36"/>
        <v>57708367.409958892</v>
      </c>
      <c r="Y30" s="32">
        <f t="shared" si="36"/>
        <v>40735318.171735689</v>
      </c>
      <c r="Z30" s="32">
        <f t="shared" si="36"/>
        <v>54313757.56231425</v>
      </c>
      <c r="AA30" s="32">
        <f t="shared" si="36"/>
        <v>61102977.257603534</v>
      </c>
      <c r="AB30" s="32">
        <f t="shared" si="36"/>
        <v>78076026.495826736</v>
      </c>
      <c r="AC30" s="32">
        <f t="shared" si="36"/>
        <v>61102977.257603534</v>
      </c>
      <c r="AD30" s="32">
        <f t="shared" si="36"/>
        <v>54313757.56231425</v>
      </c>
      <c r="AE30" s="32">
        <f t="shared" si="36"/>
        <v>71286806.800537452</v>
      </c>
      <c r="AF30" s="32">
        <f t="shared" si="36"/>
        <v>78076026.495826736</v>
      </c>
      <c r="AG30" s="60">
        <f t="shared" si="34"/>
        <v>763787215.72004426</v>
      </c>
    </row>
    <row r="31" spans="1:35" ht="15" thickBot="1">
      <c r="B31" s="31" t="s">
        <v>55</v>
      </c>
      <c r="C31" s="32">
        <f>(C29*$G$2*$C$1)*$A29</f>
        <v>162508500</v>
      </c>
      <c r="D31" s="32">
        <f t="shared" ref="D31:N31" si="37">(D29*$G$2*$C$1)*$A29</f>
        <v>249720660</v>
      </c>
      <c r="E31" s="32">
        <f t="shared" si="37"/>
        <v>223729380</v>
      </c>
      <c r="F31" s="32">
        <f t="shared" si="37"/>
        <v>113833440</v>
      </c>
      <c r="G31" s="32">
        <f t="shared" si="37"/>
        <v>121881375.00000001</v>
      </c>
      <c r="H31" s="32">
        <f t="shared" si="37"/>
        <v>173718720</v>
      </c>
      <c r="I31" s="32">
        <f t="shared" si="37"/>
        <v>183051310.90909091</v>
      </c>
      <c r="J31" s="32">
        <f t="shared" si="37"/>
        <v>154009948.23529413</v>
      </c>
      <c r="K31" s="32">
        <f t="shared" si="37"/>
        <v>182822062.5</v>
      </c>
      <c r="L31" s="32">
        <f t="shared" si="37"/>
        <v>173718720</v>
      </c>
      <c r="M31" s="32">
        <f t="shared" si="37"/>
        <v>213559862.72727275</v>
      </c>
      <c r="N31" s="32">
        <f t="shared" si="37"/>
        <v>154009948.23529413</v>
      </c>
      <c r="O31" s="31">
        <f t="shared" si="5"/>
        <v>2106563927.606952</v>
      </c>
      <c r="S31" s="33"/>
      <c r="T31" s="31" t="s">
        <v>55</v>
      </c>
      <c r="U31" s="32">
        <f>(U29*$G$2*$C$1)*$S29</f>
        <v>205745071.44388378</v>
      </c>
      <c r="V31" s="32">
        <f t="shared" ref="V31:AF31" si="38">(V29*$G$2*$C$1)*$S29</f>
        <v>316160762.58671767</v>
      </c>
      <c r="W31" s="32">
        <f t="shared" si="38"/>
        <v>283254981.46665716</v>
      </c>
      <c r="X31" s="32">
        <f t="shared" si="38"/>
        <v>144120606.15038472</v>
      </c>
      <c r="Y31" s="32">
        <f t="shared" si="38"/>
        <v>154308803.58291283</v>
      </c>
      <c r="Z31" s="32">
        <f t="shared" si="38"/>
        <v>219938053.90953803</v>
      </c>
      <c r="AA31" s="32">
        <f t="shared" si="38"/>
        <v>231753385.17001686</v>
      </c>
      <c r="AB31" s="32">
        <f t="shared" si="38"/>
        <v>194985630.01573527</v>
      </c>
      <c r="AC31" s="32">
        <f t="shared" si="38"/>
        <v>231463205.37436929</v>
      </c>
      <c r="AD31" s="32">
        <f t="shared" si="38"/>
        <v>219938053.90953803</v>
      </c>
      <c r="AE31" s="32">
        <f t="shared" si="38"/>
        <v>270379202.57601064</v>
      </c>
      <c r="AF31" s="32">
        <f t="shared" si="38"/>
        <v>194985630.01573527</v>
      </c>
      <c r="AG31" s="60">
        <f t="shared" si="34"/>
        <v>2667033386.2014995</v>
      </c>
    </row>
    <row r="32" spans="1:35" ht="15" thickBot="1">
      <c r="B32" s="44" t="s">
        <v>57</v>
      </c>
      <c r="C32" s="385"/>
      <c r="D32" s="385"/>
      <c r="E32" s="385"/>
      <c r="F32" s="388">
        <v>1</v>
      </c>
      <c r="G32" s="389"/>
      <c r="H32" s="389"/>
      <c r="I32" s="389"/>
      <c r="J32" s="390">
        <v>1</v>
      </c>
      <c r="K32" s="389"/>
      <c r="L32" s="389"/>
      <c r="M32" s="389"/>
      <c r="N32" s="390">
        <v>1</v>
      </c>
      <c r="O32" s="31">
        <f t="shared" si="5"/>
        <v>3</v>
      </c>
      <c r="S32" s="33"/>
      <c r="T32" s="44" t="s">
        <v>57</v>
      </c>
      <c r="U32" s="386">
        <f>IF(ROUND((C32*$AA$3),)=1,1,IF($AA$3&gt;1,ROUNDUP((C32*$AA$3),),ROUNDDOWN((C32*$AA$3),)))</f>
        <v>0</v>
      </c>
      <c r="V32" s="386">
        <f t="shared" ref="V32:AF32" si="39">IF(ROUND((D32*$AA$3),)=1,1,IF($AA$3&gt;1,ROUNDUP((D32*$AA$3),),ROUNDDOWN((D32*$AA$3),)))</f>
        <v>0</v>
      </c>
      <c r="W32" s="386">
        <f t="shared" si="39"/>
        <v>0</v>
      </c>
      <c r="X32" s="386">
        <f t="shared" si="39"/>
        <v>1</v>
      </c>
      <c r="Y32" s="386">
        <f t="shared" si="39"/>
        <v>0</v>
      </c>
      <c r="Z32" s="386">
        <f t="shared" si="39"/>
        <v>0</v>
      </c>
      <c r="AA32" s="386">
        <f t="shared" si="39"/>
        <v>0</v>
      </c>
      <c r="AB32" s="386">
        <f t="shared" si="39"/>
        <v>1</v>
      </c>
      <c r="AC32" s="386">
        <f t="shared" si="39"/>
        <v>0</v>
      </c>
      <c r="AD32" s="386">
        <f t="shared" si="39"/>
        <v>0</v>
      </c>
      <c r="AE32" s="386">
        <f t="shared" si="39"/>
        <v>0</v>
      </c>
      <c r="AF32" s="386">
        <f t="shared" si="39"/>
        <v>1</v>
      </c>
      <c r="AG32" s="62">
        <f>SUM(U32:AF32)</f>
        <v>3</v>
      </c>
    </row>
    <row r="33" spans="1:33" ht="15" thickBot="1">
      <c r="C33" s="384"/>
      <c r="D33" s="384"/>
      <c r="E33" s="384"/>
      <c r="F33" s="391">
        <v>34986</v>
      </c>
      <c r="G33" s="392"/>
      <c r="H33" s="389"/>
      <c r="I33" s="389"/>
      <c r="J33" s="393">
        <v>34986</v>
      </c>
      <c r="K33" s="389"/>
      <c r="L33" s="389"/>
      <c r="M33" s="389"/>
      <c r="N33" s="393">
        <v>34986</v>
      </c>
      <c r="O33" s="31">
        <f t="shared" si="5"/>
        <v>104958</v>
      </c>
      <c r="U33" s="386">
        <f>ROUNDUP(C33*$AA$4,)</f>
        <v>0</v>
      </c>
      <c r="V33" s="386">
        <f t="shared" ref="V33:AF33" si="40">ROUNDUP(D33*$AA$4,)</f>
        <v>0</v>
      </c>
      <c r="W33" s="386">
        <f t="shared" si="40"/>
        <v>0</v>
      </c>
      <c r="X33" s="386">
        <f t="shared" si="40"/>
        <v>36736</v>
      </c>
      <c r="Y33" s="386">
        <f t="shared" si="40"/>
        <v>0</v>
      </c>
      <c r="Z33" s="386">
        <f t="shared" si="40"/>
        <v>0</v>
      </c>
      <c r="AA33" s="386">
        <f t="shared" si="40"/>
        <v>0</v>
      </c>
      <c r="AB33" s="386">
        <f t="shared" si="40"/>
        <v>36736</v>
      </c>
      <c r="AC33" s="386">
        <f t="shared" si="40"/>
        <v>0</v>
      </c>
      <c r="AD33" s="386">
        <f t="shared" si="40"/>
        <v>0</v>
      </c>
      <c r="AE33" s="386">
        <f t="shared" si="40"/>
        <v>0</v>
      </c>
      <c r="AF33" s="386">
        <f t="shared" si="40"/>
        <v>36736</v>
      </c>
      <c r="AG33" s="62">
        <f>SUM(U33:AF33)</f>
        <v>110208</v>
      </c>
    </row>
    <row r="34" spans="1:33">
      <c r="A34" s="54">
        <f>$M$1</f>
        <v>1</v>
      </c>
      <c r="B34" s="31" t="s">
        <v>52</v>
      </c>
      <c r="C34" s="32">
        <f>C32*$C$2</f>
        <v>0</v>
      </c>
      <c r="D34" s="32">
        <f t="shared" ref="D34:N35" si="41">D32*$C$2</f>
        <v>0</v>
      </c>
      <c r="E34" s="32">
        <f t="shared" si="41"/>
        <v>0</v>
      </c>
      <c r="F34" s="32">
        <f t="shared" si="41"/>
        <v>2.25</v>
      </c>
      <c r="G34" s="32">
        <f t="shared" si="41"/>
        <v>0</v>
      </c>
      <c r="H34" s="32">
        <f t="shared" si="41"/>
        <v>0</v>
      </c>
      <c r="I34" s="32">
        <f t="shared" si="41"/>
        <v>0</v>
      </c>
      <c r="J34" s="32">
        <f t="shared" si="41"/>
        <v>2.25</v>
      </c>
      <c r="K34" s="32">
        <f t="shared" si="41"/>
        <v>0</v>
      </c>
      <c r="L34" s="32">
        <f t="shared" si="41"/>
        <v>0</v>
      </c>
      <c r="M34" s="32">
        <f t="shared" si="41"/>
        <v>0</v>
      </c>
      <c r="N34" s="32">
        <f t="shared" si="41"/>
        <v>2.25</v>
      </c>
      <c r="O34" s="31">
        <f t="shared" si="5"/>
        <v>6.75</v>
      </c>
      <c r="S34" s="54">
        <f>$AE$1</f>
        <v>1.20576662365</v>
      </c>
      <c r="T34" s="31" t="s">
        <v>52</v>
      </c>
      <c r="U34" s="32">
        <f>U32*$C$2</f>
        <v>0</v>
      </c>
      <c r="V34" s="32">
        <f t="shared" ref="V34:AF35" si="42">V32*$C$2</f>
        <v>0</v>
      </c>
      <c r="W34" s="32">
        <f t="shared" si="42"/>
        <v>0</v>
      </c>
      <c r="X34" s="32">
        <f t="shared" si="42"/>
        <v>2.25</v>
      </c>
      <c r="Y34" s="32">
        <f t="shared" si="42"/>
        <v>0</v>
      </c>
      <c r="Z34" s="32">
        <f t="shared" si="42"/>
        <v>0</v>
      </c>
      <c r="AA34" s="32">
        <f t="shared" si="42"/>
        <v>0</v>
      </c>
      <c r="AB34" s="32">
        <f t="shared" si="42"/>
        <v>2.25</v>
      </c>
      <c r="AC34" s="32">
        <f t="shared" si="42"/>
        <v>0</v>
      </c>
      <c r="AD34" s="32">
        <f t="shared" si="42"/>
        <v>0</v>
      </c>
      <c r="AE34" s="32">
        <f t="shared" si="42"/>
        <v>0</v>
      </c>
      <c r="AF34" s="32">
        <f t="shared" si="42"/>
        <v>2.25</v>
      </c>
      <c r="AG34" s="60">
        <f>SUM(U34:AF34)</f>
        <v>6.75</v>
      </c>
    </row>
    <row r="35" spans="1:33">
      <c r="A35" s="54">
        <f>$M$2</f>
        <v>1</v>
      </c>
      <c r="B35" s="31" t="s">
        <v>53</v>
      </c>
      <c r="C35" s="32">
        <f>C33*$C$2</f>
        <v>0</v>
      </c>
      <c r="D35" s="32">
        <f t="shared" si="41"/>
        <v>0</v>
      </c>
      <c r="E35" s="32">
        <f t="shared" si="41"/>
        <v>0</v>
      </c>
      <c r="F35" s="32">
        <f t="shared" si="41"/>
        <v>78718.5</v>
      </c>
      <c r="G35" s="32">
        <f>G33*$C$2</f>
        <v>0</v>
      </c>
      <c r="H35" s="32">
        <f>H33*$C$2</f>
        <v>0</v>
      </c>
      <c r="I35" s="32">
        <f t="shared" si="41"/>
        <v>0</v>
      </c>
      <c r="J35" s="32">
        <f t="shared" si="41"/>
        <v>78718.5</v>
      </c>
      <c r="K35" s="32">
        <f t="shared" si="41"/>
        <v>0</v>
      </c>
      <c r="L35" s="32">
        <f t="shared" si="41"/>
        <v>0</v>
      </c>
      <c r="M35" s="32">
        <f t="shared" si="41"/>
        <v>0</v>
      </c>
      <c r="N35" s="32">
        <f t="shared" si="41"/>
        <v>78718.5</v>
      </c>
      <c r="O35" s="31">
        <f t="shared" si="5"/>
        <v>236155.5</v>
      </c>
      <c r="S35" s="54">
        <f>$AE$2</f>
        <v>1.20576662365</v>
      </c>
      <c r="T35" s="31" t="s">
        <v>53</v>
      </c>
      <c r="U35" s="32">
        <f>U33*$C$2</f>
        <v>0</v>
      </c>
      <c r="V35" s="32">
        <f t="shared" si="42"/>
        <v>0</v>
      </c>
      <c r="W35" s="32">
        <f t="shared" si="42"/>
        <v>0</v>
      </c>
      <c r="X35" s="32">
        <f t="shared" si="42"/>
        <v>82656</v>
      </c>
      <c r="Y35" s="32">
        <f t="shared" si="42"/>
        <v>0</v>
      </c>
      <c r="Z35" s="32">
        <f t="shared" si="42"/>
        <v>0</v>
      </c>
      <c r="AA35" s="32">
        <f t="shared" si="42"/>
        <v>0</v>
      </c>
      <c r="AB35" s="32">
        <f t="shared" si="42"/>
        <v>82656</v>
      </c>
      <c r="AC35" s="32">
        <f t="shared" si="42"/>
        <v>0</v>
      </c>
      <c r="AD35" s="32">
        <f t="shared" si="42"/>
        <v>0</v>
      </c>
      <c r="AE35" s="32">
        <f t="shared" si="42"/>
        <v>0</v>
      </c>
      <c r="AF35" s="32">
        <f t="shared" si="42"/>
        <v>82656</v>
      </c>
      <c r="AG35" s="60">
        <f t="shared" ref="AG35:AG37" si="43">SUM(U35:AF35)</f>
        <v>247968</v>
      </c>
    </row>
    <row r="36" spans="1:33">
      <c r="B36" s="31" t="s">
        <v>54</v>
      </c>
      <c r="C36" s="32">
        <f>(C34*$G$1*$C$1)*$A34</f>
        <v>0</v>
      </c>
      <c r="D36" s="32">
        <f>(D34*$G$1*$C$1)*$A34</f>
        <v>0</v>
      </c>
      <c r="E36" s="32">
        <f t="shared" ref="E36:N36" si="44">(E34*$G$1*$C$1)*$A34</f>
        <v>0</v>
      </c>
      <c r="F36" s="32">
        <f t="shared" si="44"/>
        <v>2815312.5</v>
      </c>
      <c r="G36" s="32">
        <f t="shared" si="44"/>
        <v>0</v>
      </c>
      <c r="H36" s="32">
        <f t="shared" si="44"/>
        <v>0</v>
      </c>
      <c r="I36" s="32">
        <f t="shared" si="44"/>
        <v>0</v>
      </c>
      <c r="J36" s="32">
        <f t="shared" si="44"/>
        <v>2815312.5</v>
      </c>
      <c r="K36" s="32">
        <f t="shared" si="44"/>
        <v>0</v>
      </c>
      <c r="L36" s="32">
        <f t="shared" si="44"/>
        <v>0</v>
      </c>
      <c r="M36" s="32">
        <f t="shared" si="44"/>
        <v>0</v>
      </c>
      <c r="N36" s="32">
        <f t="shared" si="44"/>
        <v>2815312.5</v>
      </c>
      <c r="O36" s="31">
        <f t="shared" si="5"/>
        <v>8445937.5</v>
      </c>
      <c r="S36" s="54"/>
      <c r="T36" s="31" t="s">
        <v>54</v>
      </c>
      <c r="U36" s="32">
        <f>(U34*$G$1*$C$1)*$S34</f>
        <v>0</v>
      </c>
      <c r="V36" s="32">
        <f t="shared" ref="V36:AF36" si="45">(V34*$G$1*$C$1)*$S34</f>
        <v>0</v>
      </c>
      <c r="W36" s="32">
        <f t="shared" si="45"/>
        <v>0</v>
      </c>
      <c r="X36" s="32">
        <f t="shared" si="45"/>
        <v>3394609.8476446406</v>
      </c>
      <c r="Y36" s="32">
        <f t="shared" si="45"/>
        <v>0</v>
      </c>
      <c r="Z36" s="32">
        <f t="shared" si="45"/>
        <v>0</v>
      </c>
      <c r="AA36" s="32">
        <f t="shared" si="45"/>
        <v>0</v>
      </c>
      <c r="AB36" s="32">
        <f t="shared" si="45"/>
        <v>3394609.8476446406</v>
      </c>
      <c r="AC36" s="32">
        <f t="shared" si="45"/>
        <v>0</v>
      </c>
      <c r="AD36" s="32">
        <f t="shared" si="45"/>
        <v>0</v>
      </c>
      <c r="AE36" s="32">
        <f t="shared" si="45"/>
        <v>0</v>
      </c>
      <c r="AF36" s="32">
        <f t="shared" si="45"/>
        <v>3394609.8476446406</v>
      </c>
      <c r="AG36" s="60">
        <f t="shared" si="43"/>
        <v>10183829.542933922</v>
      </c>
    </row>
    <row r="37" spans="1:33">
      <c r="B37" s="31" t="s">
        <v>55</v>
      </c>
      <c r="C37" s="32">
        <f>(C35*$G$2*$C$1)*$A35</f>
        <v>0</v>
      </c>
      <c r="D37" s="32">
        <f t="shared" ref="D37:N37" si="46">(D35*$G$2*$C$1)*$A35</f>
        <v>0</v>
      </c>
      <c r="E37" s="32">
        <f t="shared" si="46"/>
        <v>0</v>
      </c>
      <c r="F37" s="32">
        <f t="shared" si="46"/>
        <v>44082360</v>
      </c>
      <c r="G37" s="32">
        <f t="shared" si="46"/>
        <v>0</v>
      </c>
      <c r="H37" s="32">
        <f t="shared" si="46"/>
        <v>0</v>
      </c>
      <c r="I37" s="32">
        <f t="shared" si="46"/>
        <v>0</v>
      </c>
      <c r="J37" s="32">
        <f t="shared" si="46"/>
        <v>44082360</v>
      </c>
      <c r="K37" s="32">
        <f t="shared" si="46"/>
        <v>0</v>
      </c>
      <c r="L37" s="32">
        <f t="shared" si="46"/>
        <v>0</v>
      </c>
      <c r="M37" s="32">
        <f t="shared" si="46"/>
        <v>0</v>
      </c>
      <c r="N37" s="32">
        <f t="shared" si="46"/>
        <v>44082360</v>
      </c>
      <c r="O37" s="31">
        <f t="shared" si="5"/>
        <v>132247080</v>
      </c>
      <c r="S37" s="54"/>
      <c r="T37" s="31" t="s">
        <v>55</v>
      </c>
      <c r="U37" s="32">
        <f>(U35*$G$2*$C$1)*$S35</f>
        <v>0</v>
      </c>
      <c r="V37" s="32">
        <f t="shared" ref="V37:AF37" si="47">(V35*$G$2*$C$1)*$S35</f>
        <v>0</v>
      </c>
      <c r="W37" s="32">
        <f t="shared" si="47"/>
        <v>0</v>
      </c>
      <c r="X37" s="32">
        <f t="shared" si="47"/>
        <v>55811753.784872063</v>
      </c>
      <c r="Y37" s="32">
        <f t="shared" si="47"/>
        <v>0</v>
      </c>
      <c r="Z37" s="32">
        <f t="shared" si="47"/>
        <v>0</v>
      </c>
      <c r="AA37" s="32">
        <f t="shared" si="47"/>
        <v>0</v>
      </c>
      <c r="AB37" s="32">
        <f t="shared" si="47"/>
        <v>55811753.784872063</v>
      </c>
      <c r="AC37" s="32">
        <f t="shared" si="47"/>
        <v>0</v>
      </c>
      <c r="AD37" s="32">
        <f t="shared" si="47"/>
        <v>0</v>
      </c>
      <c r="AE37" s="32">
        <f t="shared" si="47"/>
        <v>0</v>
      </c>
      <c r="AF37" s="32">
        <f t="shared" si="47"/>
        <v>55811753.784872063</v>
      </c>
      <c r="AG37" s="60">
        <f t="shared" si="43"/>
        <v>167435261.35461619</v>
      </c>
    </row>
    <row r="38" spans="1:33">
      <c r="A38" s="44"/>
      <c r="B38" s="394"/>
      <c r="C38" s="394"/>
      <c r="D38" s="394"/>
      <c r="E38" s="394"/>
      <c r="F38" s="394"/>
      <c r="G38" s="394"/>
      <c r="H38" s="394"/>
      <c r="I38" s="394"/>
      <c r="J38" s="394"/>
      <c r="K38" s="394"/>
      <c r="L38" s="394"/>
      <c r="M38" s="394"/>
      <c r="N38" s="394"/>
      <c r="O38" s="394">
        <f>O13+O19+O31+O37</f>
        <v>7232516813.8344078</v>
      </c>
      <c r="P38" s="395"/>
      <c r="Q38" s="39"/>
      <c r="R38" s="78"/>
      <c r="T38" s="394"/>
      <c r="U38" s="394"/>
      <c r="V38" s="394"/>
      <c r="W38" s="394"/>
      <c r="X38" s="394"/>
      <c r="Y38" s="394"/>
      <c r="Z38" s="394"/>
      <c r="AA38" s="394"/>
      <c r="AB38" s="394"/>
      <c r="AC38" s="394"/>
      <c r="AD38" s="394"/>
      <c r="AE38" s="394"/>
      <c r="AF38" s="394"/>
      <c r="AG38" s="396"/>
    </row>
    <row r="39" spans="1:33">
      <c r="A39" s="44"/>
      <c r="B39" s="394"/>
      <c r="C39" s="394"/>
      <c r="D39" s="394"/>
      <c r="E39" s="394"/>
      <c r="F39" s="394"/>
      <c r="G39" s="394"/>
      <c r="H39" s="394"/>
      <c r="I39" s="394"/>
      <c r="J39" s="394"/>
      <c r="K39" s="394"/>
      <c r="L39" s="394"/>
      <c r="M39" s="394"/>
      <c r="N39" s="394"/>
      <c r="O39" s="44"/>
      <c r="Q39" s="19"/>
      <c r="R39" s="78"/>
      <c r="T39" s="394"/>
      <c r="U39" s="394"/>
      <c r="V39" s="394"/>
      <c r="W39" s="394"/>
      <c r="X39" s="394"/>
      <c r="Y39" s="394"/>
      <c r="Z39" s="394"/>
      <c r="AA39" s="394"/>
      <c r="AB39" s="394"/>
      <c r="AC39" s="394"/>
      <c r="AD39" s="394"/>
      <c r="AE39" s="394"/>
      <c r="AF39" s="394"/>
      <c r="AG39" s="396"/>
    </row>
    <row r="40" spans="1:33">
      <c r="B40" s="28" t="s">
        <v>195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44</v>
      </c>
      <c r="J40" t="s">
        <v>45</v>
      </c>
      <c r="K40" t="s">
        <v>46</v>
      </c>
      <c r="L40" t="s">
        <v>47</v>
      </c>
      <c r="M40" t="s">
        <v>48</v>
      </c>
      <c r="N40" t="s">
        <v>49</v>
      </c>
      <c r="Q40" s="19"/>
      <c r="R40" s="78"/>
      <c r="T40" s="28" t="s">
        <v>195</v>
      </c>
      <c r="U40" t="s">
        <v>38</v>
      </c>
      <c r="V40" t="s">
        <v>39</v>
      </c>
      <c r="W40" t="s">
        <v>40</v>
      </c>
      <c r="X40" t="s">
        <v>41</v>
      </c>
      <c r="Y40" t="s">
        <v>42</v>
      </c>
      <c r="Z40" t="s">
        <v>43</v>
      </c>
      <c r="AA40" t="s">
        <v>44</v>
      </c>
      <c r="AB40" t="s">
        <v>45</v>
      </c>
      <c r="AC40" t="s">
        <v>46</v>
      </c>
      <c r="AD40" t="s">
        <v>47</v>
      </c>
      <c r="AE40" t="s">
        <v>48</v>
      </c>
      <c r="AF40" t="s">
        <v>49</v>
      </c>
      <c r="AG40" s="396"/>
    </row>
    <row r="41" spans="1:33">
      <c r="B41" s="44" t="s">
        <v>51</v>
      </c>
      <c r="C41" s="397"/>
      <c r="D41" s="397"/>
      <c r="E41" s="397"/>
      <c r="F41" s="397">
        <v>1</v>
      </c>
      <c r="G41" s="397"/>
      <c r="H41" s="385"/>
      <c r="I41" s="30"/>
      <c r="J41" s="30">
        <v>1</v>
      </c>
      <c r="K41" s="30"/>
      <c r="L41" s="30"/>
      <c r="M41" s="30"/>
      <c r="N41" s="30">
        <v>1</v>
      </c>
      <c r="O41" s="31">
        <f>SUM(C41:N41)</f>
        <v>3</v>
      </c>
      <c r="Q41" s="107"/>
      <c r="T41" s="44" t="s">
        <v>51</v>
      </c>
      <c r="U41" s="386">
        <f>IF(ROUND((C41*$AA$3),)=1,1,IF($AA$3&gt;1,ROUNDUP((C41*$AA$3),),ROUNDDOWN((C41*$AA$3),)))</f>
        <v>0</v>
      </c>
      <c r="V41" s="386">
        <f t="shared" ref="V41:AF41" si="48">IF(ROUND((D41*$AA$3),)=1,1,IF($AA$3&gt;1,ROUNDUP((D41*$AA$3),),ROUNDDOWN((D41*$AA$3),)))</f>
        <v>0</v>
      </c>
      <c r="W41" s="386">
        <f t="shared" si="48"/>
        <v>0</v>
      </c>
      <c r="X41" s="386">
        <f t="shared" si="48"/>
        <v>1</v>
      </c>
      <c r="Y41" s="386">
        <f t="shared" si="48"/>
        <v>0</v>
      </c>
      <c r="Z41" s="386">
        <f t="shared" si="48"/>
        <v>0</v>
      </c>
      <c r="AA41" s="386">
        <f t="shared" si="48"/>
        <v>0</v>
      </c>
      <c r="AB41" s="386">
        <f t="shared" si="48"/>
        <v>1</v>
      </c>
      <c r="AC41" s="386">
        <f t="shared" si="48"/>
        <v>0</v>
      </c>
      <c r="AD41" s="386">
        <f t="shared" si="48"/>
        <v>0</v>
      </c>
      <c r="AE41" s="386">
        <f t="shared" si="48"/>
        <v>0</v>
      </c>
      <c r="AF41" s="386">
        <f t="shared" si="48"/>
        <v>1</v>
      </c>
      <c r="AG41" s="62">
        <f>SUM(U41:AF41)</f>
        <v>3</v>
      </c>
    </row>
    <row r="42" spans="1:33">
      <c r="C42" s="397"/>
      <c r="D42" s="397"/>
      <c r="E42" s="397"/>
      <c r="F42" s="397">
        <v>39737</v>
      </c>
      <c r="G42" s="397"/>
      <c r="H42" s="385"/>
      <c r="I42" s="30"/>
      <c r="J42" s="30">
        <v>39737</v>
      </c>
      <c r="K42" s="30"/>
      <c r="L42" s="30"/>
      <c r="M42" s="30"/>
      <c r="N42" s="30">
        <v>39737</v>
      </c>
      <c r="O42" s="31">
        <f>SUM(C42:N42)</f>
        <v>119211</v>
      </c>
      <c r="Q42" s="107"/>
      <c r="S42" s="54"/>
      <c r="U42" s="386">
        <f>ROUNDUP(C42*$AA$4,)</f>
        <v>0</v>
      </c>
      <c r="V42" s="386">
        <f t="shared" ref="V42:AF42" si="49">ROUNDUP(D42*$AA$4,)</f>
        <v>0</v>
      </c>
      <c r="W42" s="386">
        <f t="shared" si="49"/>
        <v>0</v>
      </c>
      <c r="X42" s="386">
        <f t="shared" si="49"/>
        <v>41724</v>
      </c>
      <c r="Y42" s="386">
        <f t="shared" si="49"/>
        <v>0</v>
      </c>
      <c r="Z42" s="386">
        <f t="shared" si="49"/>
        <v>0</v>
      </c>
      <c r="AA42" s="386">
        <f t="shared" si="49"/>
        <v>0</v>
      </c>
      <c r="AB42" s="386">
        <f t="shared" si="49"/>
        <v>41724</v>
      </c>
      <c r="AC42" s="386">
        <f t="shared" si="49"/>
        <v>0</v>
      </c>
      <c r="AD42" s="386">
        <f t="shared" si="49"/>
        <v>0</v>
      </c>
      <c r="AE42" s="386">
        <f t="shared" si="49"/>
        <v>0</v>
      </c>
      <c r="AF42" s="386">
        <f t="shared" si="49"/>
        <v>41724</v>
      </c>
      <c r="AG42" s="387">
        <f>SUM(U42:AF42)</f>
        <v>125172</v>
      </c>
    </row>
    <row r="43" spans="1:33">
      <c r="A43" s="54">
        <f>$M$1</f>
        <v>1</v>
      </c>
      <c r="B43" s="31" t="s">
        <v>52</v>
      </c>
      <c r="C43" s="32">
        <f>C41*$C$2</f>
        <v>0</v>
      </c>
      <c r="D43" s="32">
        <f t="shared" ref="D43:N44" si="50">D41*$C$2</f>
        <v>0</v>
      </c>
      <c r="E43" s="32">
        <f t="shared" si="50"/>
        <v>0</v>
      </c>
      <c r="F43" s="32">
        <f t="shared" si="50"/>
        <v>2.25</v>
      </c>
      <c r="G43" s="32">
        <f t="shared" si="50"/>
        <v>0</v>
      </c>
      <c r="H43" s="32">
        <f t="shared" si="50"/>
        <v>0</v>
      </c>
      <c r="I43" s="32">
        <f t="shared" si="50"/>
        <v>0</v>
      </c>
      <c r="J43" s="32">
        <f t="shared" si="50"/>
        <v>2.25</v>
      </c>
      <c r="K43" s="32">
        <f t="shared" si="50"/>
        <v>0</v>
      </c>
      <c r="L43" s="32">
        <f t="shared" si="50"/>
        <v>0</v>
      </c>
      <c r="M43" s="32">
        <f t="shared" si="50"/>
        <v>0</v>
      </c>
      <c r="N43" s="32">
        <f t="shared" si="50"/>
        <v>2.25</v>
      </c>
      <c r="O43" s="31">
        <f>SUM(C43:N43)</f>
        <v>6.75</v>
      </c>
      <c r="S43" s="54">
        <f>$AE$1</f>
        <v>1.20576662365</v>
      </c>
      <c r="T43" s="31" t="s">
        <v>52</v>
      </c>
      <c r="U43" s="32">
        <f>U41*$C$2</f>
        <v>0</v>
      </c>
      <c r="V43" s="32">
        <f t="shared" ref="V43:AF44" si="51">V41*$C$2</f>
        <v>0</v>
      </c>
      <c r="W43" s="32">
        <f t="shared" si="51"/>
        <v>0</v>
      </c>
      <c r="X43" s="32">
        <f t="shared" si="51"/>
        <v>2.25</v>
      </c>
      <c r="Y43" s="32">
        <f t="shared" si="51"/>
        <v>0</v>
      </c>
      <c r="Z43" s="32">
        <f t="shared" si="51"/>
        <v>0</v>
      </c>
      <c r="AA43" s="32">
        <f t="shared" si="51"/>
        <v>0</v>
      </c>
      <c r="AB43" s="32">
        <f t="shared" si="51"/>
        <v>2.25</v>
      </c>
      <c r="AC43" s="32">
        <f t="shared" si="51"/>
        <v>0</v>
      </c>
      <c r="AD43" s="32">
        <f t="shared" si="51"/>
        <v>0</v>
      </c>
      <c r="AE43" s="32">
        <f t="shared" si="51"/>
        <v>0</v>
      </c>
      <c r="AF43" s="32">
        <f t="shared" si="51"/>
        <v>2.25</v>
      </c>
      <c r="AG43" s="60">
        <f>SUM(U43:AF43)</f>
        <v>6.75</v>
      </c>
    </row>
    <row r="44" spans="1:33">
      <c r="A44" s="54">
        <f>$M$2</f>
        <v>1</v>
      </c>
      <c r="B44" s="31" t="s">
        <v>53</v>
      </c>
      <c r="C44" s="32">
        <f>C42*$C$2</f>
        <v>0</v>
      </c>
      <c r="D44" s="32">
        <f t="shared" si="50"/>
        <v>0</v>
      </c>
      <c r="E44" s="32">
        <f t="shared" si="50"/>
        <v>0</v>
      </c>
      <c r="F44" s="32">
        <f t="shared" si="50"/>
        <v>89408.25</v>
      </c>
      <c r="G44" s="32">
        <f t="shared" si="50"/>
        <v>0</v>
      </c>
      <c r="H44" s="32">
        <f t="shared" si="50"/>
        <v>0</v>
      </c>
      <c r="I44" s="32">
        <f t="shared" si="50"/>
        <v>0</v>
      </c>
      <c r="J44" s="32">
        <f t="shared" si="50"/>
        <v>89408.25</v>
      </c>
      <c r="K44" s="32">
        <f t="shared" si="50"/>
        <v>0</v>
      </c>
      <c r="L44" s="32">
        <f t="shared" si="50"/>
        <v>0</v>
      </c>
      <c r="M44" s="32">
        <f t="shared" si="50"/>
        <v>0</v>
      </c>
      <c r="N44" s="32">
        <f t="shared" si="50"/>
        <v>89408.25</v>
      </c>
      <c r="O44" s="31">
        <f t="shared" ref="O44:O88" si="52">SUM(C44:N44)</f>
        <v>268224.75</v>
      </c>
      <c r="S44" s="54">
        <f>$AE$2</f>
        <v>1.20576662365</v>
      </c>
      <c r="T44" s="31" t="s">
        <v>53</v>
      </c>
      <c r="U44" s="32">
        <f>U42*$C$2</f>
        <v>0</v>
      </c>
      <c r="V44" s="32">
        <f t="shared" si="51"/>
        <v>0</v>
      </c>
      <c r="W44" s="32">
        <f t="shared" si="51"/>
        <v>0</v>
      </c>
      <c r="X44" s="32">
        <f t="shared" si="51"/>
        <v>93879</v>
      </c>
      <c r="Y44" s="32">
        <f t="shared" si="51"/>
        <v>0</v>
      </c>
      <c r="Z44" s="32">
        <f t="shared" si="51"/>
        <v>0</v>
      </c>
      <c r="AA44" s="32">
        <f t="shared" si="51"/>
        <v>0</v>
      </c>
      <c r="AB44" s="32">
        <f t="shared" si="51"/>
        <v>93879</v>
      </c>
      <c r="AC44" s="32">
        <f t="shared" si="51"/>
        <v>0</v>
      </c>
      <c r="AD44" s="32">
        <f t="shared" si="51"/>
        <v>0</v>
      </c>
      <c r="AE44" s="32">
        <f t="shared" si="51"/>
        <v>0</v>
      </c>
      <c r="AF44" s="32">
        <f t="shared" si="51"/>
        <v>93879</v>
      </c>
      <c r="AG44" s="60">
        <f t="shared" ref="AG44:AG46" si="53">SUM(U44:AF44)</f>
        <v>281637</v>
      </c>
    </row>
    <row r="45" spans="1:33">
      <c r="B45" s="31" t="s">
        <v>54</v>
      </c>
      <c r="C45" s="36">
        <f>C43*$J$1</f>
        <v>0</v>
      </c>
      <c r="D45" s="36">
        <f t="shared" ref="D45:N45" si="54">D43*$J$1</f>
        <v>0</v>
      </c>
      <c r="E45" s="36">
        <f t="shared" si="54"/>
        <v>0</v>
      </c>
      <c r="F45" s="36">
        <f t="shared" si="54"/>
        <v>1421730</v>
      </c>
      <c r="G45" s="36">
        <f t="shared" si="54"/>
        <v>0</v>
      </c>
      <c r="H45" s="36">
        <f t="shared" si="54"/>
        <v>0</v>
      </c>
      <c r="I45" s="36">
        <f t="shared" si="54"/>
        <v>0</v>
      </c>
      <c r="J45" s="36">
        <f t="shared" si="54"/>
        <v>1421730</v>
      </c>
      <c r="K45" s="36">
        <f t="shared" si="54"/>
        <v>0</v>
      </c>
      <c r="L45" s="36">
        <f t="shared" si="54"/>
        <v>0</v>
      </c>
      <c r="M45" s="36">
        <f t="shared" si="54"/>
        <v>0</v>
      </c>
      <c r="N45" s="36">
        <f t="shared" si="54"/>
        <v>1421730</v>
      </c>
      <c r="O45" s="31">
        <f t="shared" si="52"/>
        <v>4265190</v>
      </c>
      <c r="T45" s="31" t="s">
        <v>54</v>
      </c>
      <c r="U45" s="36">
        <f>(U43*$J$1)*$S43</f>
        <v>0</v>
      </c>
      <c r="V45" s="36">
        <f t="shared" ref="V45:AF45" si="55">(V43*$J$1)*$S43</f>
        <v>0</v>
      </c>
      <c r="W45" s="36">
        <f t="shared" si="55"/>
        <v>0</v>
      </c>
      <c r="X45" s="36">
        <f t="shared" si="55"/>
        <v>1714274.5818419144</v>
      </c>
      <c r="Y45" s="36">
        <f t="shared" si="55"/>
        <v>0</v>
      </c>
      <c r="Z45" s="36">
        <f t="shared" si="55"/>
        <v>0</v>
      </c>
      <c r="AA45" s="36">
        <f t="shared" si="55"/>
        <v>0</v>
      </c>
      <c r="AB45" s="36">
        <f t="shared" si="55"/>
        <v>1714274.5818419144</v>
      </c>
      <c r="AC45" s="36">
        <f t="shared" si="55"/>
        <v>0</v>
      </c>
      <c r="AD45" s="36">
        <f t="shared" si="55"/>
        <v>0</v>
      </c>
      <c r="AE45" s="36">
        <f t="shared" si="55"/>
        <v>0</v>
      </c>
      <c r="AF45" s="36">
        <f t="shared" si="55"/>
        <v>1714274.5818419144</v>
      </c>
      <c r="AG45" s="60">
        <f t="shared" si="53"/>
        <v>5142823.7455257438</v>
      </c>
    </row>
    <row r="46" spans="1:33">
      <c r="B46" s="31" t="s">
        <v>55</v>
      </c>
      <c r="C46" s="36">
        <f>C44*$J$2</f>
        <v>0</v>
      </c>
      <c r="D46" s="36">
        <f t="shared" ref="D46:N46" si="56">D44*$J$2</f>
        <v>0</v>
      </c>
      <c r="E46" s="36">
        <f t="shared" si="56"/>
        <v>0</v>
      </c>
      <c r="F46" s="36">
        <f t="shared" si="56"/>
        <v>16182893.25</v>
      </c>
      <c r="G46" s="36">
        <f t="shared" si="56"/>
        <v>0</v>
      </c>
      <c r="H46" s="36">
        <f t="shared" si="56"/>
        <v>0</v>
      </c>
      <c r="I46" s="36">
        <f t="shared" si="56"/>
        <v>0</v>
      </c>
      <c r="J46" s="36">
        <f t="shared" si="56"/>
        <v>16182893.25</v>
      </c>
      <c r="K46" s="36">
        <f t="shared" si="56"/>
        <v>0</v>
      </c>
      <c r="L46" s="36">
        <f t="shared" si="56"/>
        <v>0</v>
      </c>
      <c r="M46" s="36">
        <f t="shared" si="56"/>
        <v>0</v>
      </c>
      <c r="N46" s="36">
        <f t="shared" si="56"/>
        <v>16182893.25</v>
      </c>
      <c r="O46" s="31">
        <f t="shared" si="52"/>
        <v>48548679.75</v>
      </c>
      <c r="T46" s="31" t="s">
        <v>55</v>
      </c>
      <c r="U46" s="36">
        <f>(U44*$J$2)*$S44</f>
        <v>0</v>
      </c>
      <c r="V46" s="36">
        <f t="shared" ref="V46:AF46" si="57">(V44*$J$2)*$S44</f>
        <v>0</v>
      </c>
      <c r="W46" s="36">
        <f t="shared" si="57"/>
        <v>0</v>
      </c>
      <c r="X46" s="36">
        <f t="shared" si="57"/>
        <v>20488505.839956541</v>
      </c>
      <c r="Y46" s="36">
        <f t="shared" si="57"/>
        <v>0</v>
      </c>
      <c r="Z46" s="36">
        <f t="shared" si="57"/>
        <v>0</v>
      </c>
      <c r="AA46" s="36">
        <f t="shared" si="57"/>
        <v>0</v>
      </c>
      <c r="AB46" s="36">
        <f t="shared" si="57"/>
        <v>20488505.839956541</v>
      </c>
      <c r="AC46" s="36">
        <f t="shared" si="57"/>
        <v>0</v>
      </c>
      <c r="AD46" s="36">
        <f t="shared" si="57"/>
        <v>0</v>
      </c>
      <c r="AE46" s="36">
        <f t="shared" si="57"/>
        <v>0</v>
      </c>
      <c r="AF46" s="36">
        <f t="shared" si="57"/>
        <v>20488505.839956541</v>
      </c>
      <c r="AG46" s="60">
        <f t="shared" si="53"/>
        <v>61465517.519869626</v>
      </c>
    </row>
    <row r="47" spans="1:33">
      <c r="B47" s="44" t="s">
        <v>213</v>
      </c>
      <c r="C47" s="397">
        <v>55</v>
      </c>
      <c r="D47" s="397">
        <v>42</v>
      </c>
      <c r="E47" s="397">
        <v>57</v>
      </c>
      <c r="F47" s="397">
        <v>61</v>
      </c>
      <c r="G47" s="397">
        <v>50</v>
      </c>
      <c r="H47" s="385">
        <v>48</v>
      </c>
      <c r="I47" s="30">
        <v>50</v>
      </c>
      <c r="J47" s="30">
        <v>52</v>
      </c>
      <c r="K47" s="30">
        <v>52</v>
      </c>
      <c r="L47" s="30">
        <v>48</v>
      </c>
      <c r="M47" s="30">
        <v>51</v>
      </c>
      <c r="N47" s="30">
        <v>73</v>
      </c>
      <c r="O47" s="31">
        <f t="shared" si="52"/>
        <v>639</v>
      </c>
      <c r="T47" s="44" t="s">
        <v>213</v>
      </c>
      <c r="U47" s="386">
        <f>IF(ROUND((C47*$AA$3),)=1,1,IF($AA$3&gt;1,ROUNDUP((C47*$AA$3),),ROUNDDOWN((C47*$AA$3),)))</f>
        <v>55</v>
      </c>
      <c r="V47" s="386">
        <f t="shared" ref="V47:AF47" si="58">IF(ROUND((D47*$AA$3),)=1,1,IF($AA$3&gt;1,ROUNDUP((D47*$AA$3),),ROUNDDOWN((D47*$AA$3),)))</f>
        <v>42</v>
      </c>
      <c r="W47" s="386">
        <f t="shared" si="58"/>
        <v>57</v>
      </c>
      <c r="X47" s="386">
        <f t="shared" si="58"/>
        <v>61</v>
      </c>
      <c r="Y47" s="386">
        <f t="shared" si="58"/>
        <v>50</v>
      </c>
      <c r="Z47" s="386">
        <f t="shared" si="58"/>
        <v>48</v>
      </c>
      <c r="AA47" s="386">
        <f t="shared" si="58"/>
        <v>50</v>
      </c>
      <c r="AB47" s="386">
        <f t="shared" si="58"/>
        <v>52</v>
      </c>
      <c r="AC47" s="386">
        <f t="shared" si="58"/>
        <v>52</v>
      </c>
      <c r="AD47" s="386">
        <f t="shared" si="58"/>
        <v>48</v>
      </c>
      <c r="AE47" s="386">
        <f t="shared" si="58"/>
        <v>51</v>
      </c>
      <c r="AF47" s="386">
        <f t="shared" si="58"/>
        <v>73</v>
      </c>
      <c r="AG47" s="62">
        <f>SUM(U47:AF47)</f>
        <v>639</v>
      </c>
    </row>
    <row r="48" spans="1:33">
      <c r="C48" s="397">
        <v>443900</v>
      </c>
      <c r="D48" s="397">
        <v>316905</v>
      </c>
      <c r="E48" s="397">
        <v>483500</v>
      </c>
      <c r="F48" s="397">
        <v>479884</v>
      </c>
      <c r="G48" s="397">
        <v>403545.45454545453</v>
      </c>
      <c r="H48" s="385">
        <v>362177.14285714284</v>
      </c>
      <c r="I48" s="30">
        <v>424122.80701754388</v>
      </c>
      <c r="J48" s="30">
        <v>409081.44262295082</v>
      </c>
      <c r="K48" s="30">
        <v>419687.27272727271</v>
      </c>
      <c r="L48" s="30">
        <v>362177.14285714284</v>
      </c>
      <c r="M48" s="30">
        <v>432605.26315789478</v>
      </c>
      <c r="N48" s="30">
        <v>574287.40983606561</v>
      </c>
      <c r="O48" s="31">
        <f t="shared" si="52"/>
        <v>5111872.9356214684</v>
      </c>
      <c r="Q48" s="398"/>
      <c r="S48" s="54"/>
      <c r="U48" s="386">
        <f>ROUNDUP(C48*$AA$4,)</f>
        <v>466095</v>
      </c>
      <c r="V48" s="386">
        <f t="shared" ref="V48:AF48" si="59">ROUNDUP(D48*$AA$4,)</f>
        <v>332751</v>
      </c>
      <c r="W48" s="386">
        <f t="shared" si="59"/>
        <v>507675</v>
      </c>
      <c r="X48" s="386">
        <f t="shared" si="59"/>
        <v>503879</v>
      </c>
      <c r="Y48" s="386">
        <f t="shared" si="59"/>
        <v>423723</v>
      </c>
      <c r="Z48" s="386">
        <f t="shared" si="59"/>
        <v>380286</v>
      </c>
      <c r="AA48" s="386">
        <f t="shared" si="59"/>
        <v>445329</v>
      </c>
      <c r="AB48" s="386">
        <f t="shared" si="59"/>
        <v>429536</v>
      </c>
      <c r="AC48" s="386">
        <f t="shared" si="59"/>
        <v>440672</v>
      </c>
      <c r="AD48" s="386">
        <f t="shared" si="59"/>
        <v>380286</v>
      </c>
      <c r="AE48" s="386">
        <f t="shared" si="59"/>
        <v>454236</v>
      </c>
      <c r="AF48" s="386">
        <f t="shared" si="59"/>
        <v>603002</v>
      </c>
      <c r="AG48" s="387">
        <f>SUM(U48:AF48)</f>
        <v>5367470</v>
      </c>
    </row>
    <row r="49" spans="1:35">
      <c r="A49" s="54">
        <f>$M$1</f>
        <v>1</v>
      </c>
      <c r="B49" s="31" t="s">
        <v>52</v>
      </c>
      <c r="C49" s="32">
        <f t="shared" ref="C49:N50" si="60">C47*$C$2</f>
        <v>123.75</v>
      </c>
      <c r="D49" s="32">
        <f t="shared" si="60"/>
        <v>94.5</v>
      </c>
      <c r="E49" s="32">
        <f t="shared" si="60"/>
        <v>128.25</v>
      </c>
      <c r="F49" s="32">
        <f t="shared" si="60"/>
        <v>137.25</v>
      </c>
      <c r="G49" s="32">
        <f t="shared" si="60"/>
        <v>112.5</v>
      </c>
      <c r="H49" s="32">
        <f t="shared" si="60"/>
        <v>108</v>
      </c>
      <c r="I49" s="32">
        <f t="shared" si="60"/>
        <v>112.5</v>
      </c>
      <c r="J49" s="32">
        <f t="shared" si="60"/>
        <v>117</v>
      </c>
      <c r="K49" s="32">
        <f t="shared" si="60"/>
        <v>117</v>
      </c>
      <c r="L49" s="32">
        <f t="shared" si="60"/>
        <v>108</v>
      </c>
      <c r="M49" s="32">
        <f t="shared" si="60"/>
        <v>114.75</v>
      </c>
      <c r="N49" s="32">
        <f t="shared" si="60"/>
        <v>164.25</v>
      </c>
      <c r="O49" s="31">
        <f t="shared" si="52"/>
        <v>1437.75</v>
      </c>
      <c r="S49" s="54">
        <f>$AE$1</f>
        <v>1.20576662365</v>
      </c>
      <c r="T49" s="31" t="s">
        <v>52</v>
      </c>
      <c r="U49" s="32">
        <f t="shared" ref="U49:AF50" si="61">U47*$C$2</f>
        <v>123.75</v>
      </c>
      <c r="V49" s="32">
        <f t="shared" si="61"/>
        <v>94.5</v>
      </c>
      <c r="W49" s="32">
        <f t="shared" si="61"/>
        <v>128.25</v>
      </c>
      <c r="X49" s="32">
        <f t="shared" si="61"/>
        <v>137.25</v>
      </c>
      <c r="Y49" s="32">
        <f t="shared" si="61"/>
        <v>112.5</v>
      </c>
      <c r="Z49" s="32">
        <f t="shared" si="61"/>
        <v>108</v>
      </c>
      <c r="AA49" s="32">
        <f t="shared" si="61"/>
        <v>112.5</v>
      </c>
      <c r="AB49" s="32">
        <f t="shared" si="61"/>
        <v>117</v>
      </c>
      <c r="AC49" s="32">
        <f t="shared" si="61"/>
        <v>117</v>
      </c>
      <c r="AD49" s="32">
        <f t="shared" si="61"/>
        <v>108</v>
      </c>
      <c r="AE49" s="32">
        <f t="shared" si="61"/>
        <v>114.75</v>
      </c>
      <c r="AF49" s="32">
        <f t="shared" si="61"/>
        <v>164.25</v>
      </c>
      <c r="AG49" s="60">
        <f>SUM(U49:AF49)</f>
        <v>1437.75</v>
      </c>
    </row>
    <row r="50" spans="1:35">
      <c r="A50" s="54">
        <f>$M$2</f>
        <v>1</v>
      </c>
      <c r="B50" s="31" t="s">
        <v>53</v>
      </c>
      <c r="C50" s="32">
        <f>C48*$C$2</f>
        <v>998775</v>
      </c>
      <c r="D50" s="32">
        <f>D48*$C$2</f>
        <v>713036.25</v>
      </c>
      <c r="E50" s="32">
        <f>E48*$C$2</f>
        <v>1087875</v>
      </c>
      <c r="F50" s="32">
        <f>F48*$C$2</f>
        <v>1079739</v>
      </c>
      <c r="G50" s="32">
        <f>G48*$C$2</f>
        <v>907977.27272727271</v>
      </c>
      <c r="H50" s="32">
        <f t="shared" si="60"/>
        <v>814898.57142857136</v>
      </c>
      <c r="I50" s="32">
        <f t="shared" si="60"/>
        <v>954276.31578947371</v>
      </c>
      <c r="J50" s="32">
        <f t="shared" si="60"/>
        <v>920433.24590163934</v>
      </c>
      <c r="K50" s="32">
        <f t="shared" si="60"/>
        <v>944296.36363636353</v>
      </c>
      <c r="L50" s="32">
        <f t="shared" si="60"/>
        <v>814898.57142857136</v>
      </c>
      <c r="M50" s="32">
        <f t="shared" si="60"/>
        <v>973361.84210526326</v>
      </c>
      <c r="N50" s="32">
        <f t="shared" si="60"/>
        <v>1292146.6721311477</v>
      </c>
      <c r="O50" s="31">
        <f t="shared" si="52"/>
        <v>11501714.105148304</v>
      </c>
      <c r="S50" s="54">
        <f>$AE$2</f>
        <v>1.20576662365</v>
      </c>
      <c r="T50" s="31" t="s">
        <v>53</v>
      </c>
      <c r="U50" s="32">
        <f>U48*$C$2</f>
        <v>1048713.75</v>
      </c>
      <c r="V50" s="32">
        <f t="shared" si="61"/>
        <v>748689.75</v>
      </c>
      <c r="W50" s="32">
        <f t="shared" si="61"/>
        <v>1142268.75</v>
      </c>
      <c r="X50" s="32">
        <f t="shared" si="61"/>
        <v>1133727.75</v>
      </c>
      <c r="Y50" s="32">
        <f t="shared" si="61"/>
        <v>953376.75</v>
      </c>
      <c r="Z50" s="32">
        <f t="shared" si="61"/>
        <v>855643.5</v>
      </c>
      <c r="AA50" s="32">
        <f t="shared" si="61"/>
        <v>1001990.25</v>
      </c>
      <c r="AB50" s="32">
        <f t="shared" si="61"/>
        <v>966456</v>
      </c>
      <c r="AC50" s="32">
        <f t="shared" si="61"/>
        <v>991512</v>
      </c>
      <c r="AD50" s="32">
        <f t="shared" si="61"/>
        <v>855643.5</v>
      </c>
      <c r="AE50" s="32">
        <f t="shared" si="61"/>
        <v>1022031</v>
      </c>
      <c r="AF50" s="32">
        <f t="shared" si="61"/>
        <v>1356754.5</v>
      </c>
      <c r="AG50" s="60">
        <f t="shared" ref="AG50:AG52" si="62">SUM(U50:AF50)</f>
        <v>12076807.5</v>
      </c>
    </row>
    <row r="51" spans="1:35">
      <c r="B51" s="31" t="s">
        <v>54</v>
      </c>
      <c r="C51" s="36">
        <f>C49*$J$1*$G$3</f>
        <v>156390300</v>
      </c>
      <c r="D51" s="36">
        <f t="shared" ref="D51:H51" si="63">D49*$J$1*$G$3</f>
        <v>119425320</v>
      </c>
      <c r="E51" s="36">
        <f t="shared" si="63"/>
        <v>162077220</v>
      </c>
      <c r="F51" s="36">
        <f t="shared" si="63"/>
        <v>173451060</v>
      </c>
      <c r="G51" s="36">
        <f t="shared" si="63"/>
        <v>142173000</v>
      </c>
      <c r="H51" s="36">
        <f t="shared" si="63"/>
        <v>136486080</v>
      </c>
      <c r="I51" s="36">
        <f t="shared" ref="I51:N51" si="64">I49*$J$1</f>
        <v>71086500</v>
      </c>
      <c r="J51" s="36">
        <f t="shared" si="64"/>
        <v>73929960</v>
      </c>
      <c r="K51" s="36">
        <f t="shared" si="64"/>
        <v>73929960</v>
      </c>
      <c r="L51" s="36">
        <f t="shared" si="64"/>
        <v>68243040</v>
      </c>
      <c r="M51" s="36">
        <f t="shared" si="64"/>
        <v>72508230</v>
      </c>
      <c r="N51" s="36">
        <f t="shared" si="64"/>
        <v>103786290</v>
      </c>
      <c r="O51" s="31">
        <f t="shared" si="52"/>
        <v>1353486960</v>
      </c>
      <c r="T51" s="31" t="s">
        <v>54</v>
      </c>
      <c r="U51" s="36">
        <f>(U49*$J$1)*$S49</f>
        <v>94285102.001305297</v>
      </c>
      <c r="V51" s="36">
        <f t="shared" ref="V51:AF51" si="65">(V49*$J$1)*$S49</f>
        <v>71999532.437360406</v>
      </c>
      <c r="W51" s="36">
        <f t="shared" si="65"/>
        <v>97713651.164989129</v>
      </c>
      <c r="X51" s="36">
        <f t="shared" si="65"/>
        <v>104570749.49235678</v>
      </c>
      <c r="Y51" s="36">
        <f t="shared" si="65"/>
        <v>85713729.092095718</v>
      </c>
      <c r="Z51" s="36">
        <f t="shared" si="65"/>
        <v>82285179.928411901</v>
      </c>
      <c r="AA51" s="36">
        <f t="shared" si="65"/>
        <v>85713729.092095718</v>
      </c>
      <c r="AB51" s="36">
        <f t="shared" si="65"/>
        <v>89142278.255779549</v>
      </c>
      <c r="AC51" s="36">
        <f t="shared" si="65"/>
        <v>89142278.255779549</v>
      </c>
      <c r="AD51" s="36">
        <f t="shared" si="65"/>
        <v>82285179.928411901</v>
      </c>
      <c r="AE51" s="36">
        <f t="shared" si="65"/>
        <v>87428003.673937634</v>
      </c>
      <c r="AF51" s="36">
        <f t="shared" si="65"/>
        <v>125142044.47445975</v>
      </c>
      <c r="AG51" s="60">
        <f t="shared" si="62"/>
        <v>1095421457.7969832</v>
      </c>
      <c r="AI51">
        <v>101</v>
      </c>
    </row>
    <row r="52" spans="1:35">
      <c r="B52" s="31" t="s">
        <v>55</v>
      </c>
      <c r="C52" s="36">
        <f>C50*$J$2*$G$3</f>
        <v>361556550</v>
      </c>
      <c r="D52" s="36">
        <f t="shared" ref="D52:H52" si="66">D50*$J$2*$G$3</f>
        <v>258119122.5</v>
      </c>
      <c r="E52" s="36">
        <f t="shared" si="66"/>
        <v>393810750</v>
      </c>
      <c r="F52" s="36">
        <f t="shared" si="66"/>
        <v>390865518</v>
      </c>
      <c r="G52" s="36">
        <f t="shared" si="66"/>
        <v>328687772.72727275</v>
      </c>
      <c r="H52" s="36">
        <f t="shared" si="66"/>
        <v>294993282.85714281</v>
      </c>
      <c r="I52" s="36">
        <f t="shared" ref="I52:N52" si="67">I50*$J$2</f>
        <v>172724013.15789473</v>
      </c>
      <c r="J52" s="36">
        <f t="shared" si="67"/>
        <v>166598417.50819671</v>
      </c>
      <c r="K52" s="36">
        <f t="shared" si="67"/>
        <v>170917641.81818181</v>
      </c>
      <c r="L52" s="36">
        <f t="shared" si="67"/>
        <v>147496641.4285714</v>
      </c>
      <c r="M52" s="36">
        <f t="shared" si="67"/>
        <v>176178493.42105266</v>
      </c>
      <c r="N52" s="36">
        <f t="shared" si="67"/>
        <v>233878547.65573773</v>
      </c>
      <c r="O52" s="31">
        <f t="shared" si="52"/>
        <v>3095826751.0740504</v>
      </c>
      <c r="T52" s="31" t="s">
        <v>55</v>
      </c>
      <c r="U52" s="36">
        <f>(U50*$J$2)*$S50</f>
        <v>228875230.78982225</v>
      </c>
      <c r="V52" s="36">
        <f t="shared" ref="V52:AF52" si="68">(V50*$J$2)*$S50</f>
        <v>163396865.27541414</v>
      </c>
      <c r="W52" s="36">
        <f t="shared" si="68"/>
        <v>249293025.65190148</v>
      </c>
      <c r="X52" s="36">
        <f t="shared" si="68"/>
        <v>247429005.70730183</v>
      </c>
      <c r="Y52" s="36">
        <f t="shared" si="68"/>
        <v>208068525.54941773</v>
      </c>
      <c r="Z52" s="36">
        <f t="shared" si="68"/>
        <v>186738853.70179546</v>
      </c>
      <c r="AA52" s="36">
        <f t="shared" si="68"/>
        <v>218678118.52176222</v>
      </c>
      <c r="AB52" s="36">
        <f t="shared" si="68"/>
        <v>210922990.23275748</v>
      </c>
      <c r="AC52" s="36">
        <f t="shared" si="68"/>
        <v>216391305.85527104</v>
      </c>
      <c r="AD52" s="36">
        <f t="shared" si="68"/>
        <v>186738853.70179546</v>
      </c>
      <c r="AE52" s="36">
        <f t="shared" si="68"/>
        <v>223051887.13254958</v>
      </c>
      <c r="AF52" s="36">
        <f t="shared" si="68"/>
        <v>296103201.95823687</v>
      </c>
      <c r="AG52" s="60">
        <f t="shared" si="62"/>
        <v>2635687864.0780258</v>
      </c>
      <c r="AI52">
        <v>603079</v>
      </c>
    </row>
    <row r="53" spans="1:35">
      <c r="B53" s="44" t="s">
        <v>214</v>
      </c>
      <c r="C53" s="397">
        <v>46</v>
      </c>
      <c r="D53" s="397">
        <v>53</v>
      </c>
      <c r="E53" s="397">
        <v>56</v>
      </c>
      <c r="F53" s="397">
        <v>47</v>
      </c>
      <c r="G53" s="397">
        <v>46</v>
      </c>
      <c r="H53" s="385">
        <v>57</v>
      </c>
      <c r="I53" s="30">
        <v>58</v>
      </c>
      <c r="J53" s="30">
        <v>70</v>
      </c>
      <c r="K53" s="30">
        <v>69</v>
      </c>
      <c r="L53" s="30">
        <v>74</v>
      </c>
      <c r="M53" s="30">
        <v>58</v>
      </c>
      <c r="N53" s="30">
        <v>72</v>
      </c>
      <c r="O53" s="31">
        <f t="shared" ref="O53:O58" si="69">SUM(C53:N53)</f>
        <v>706</v>
      </c>
      <c r="T53" s="44" t="s">
        <v>214</v>
      </c>
      <c r="U53" s="386">
        <f>IF(ROUND((C53*$AA$3),)=1,1,IF($AA$3&gt;1,ROUNDUP((C53*$AA$3),),ROUNDDOWN((C53*$AA$3),)))</f>
        <v>46</v>
      </c>
      <c r="V53" s="386">
        <f t="shared" ref="V53:AF53" si="70">IF(ROUND((D53*$AA$3),)=1,1,IF($AA$3&gt;1,ROUNDUP((D53*$AA$3),),ROUNDDOWN((D53*$AA$3),)))</f>
        <v>53</v>
      </c>
      <c r="W53" s="386">
        <f t="shared" si="70"/>
        <v>56</v>
      </c>
      <c r="X53" s="386">
        <f t="shared" si="70"/>
        <v>47</v>
      </c>
      <c r="Y53" s="386">
        <f t="shared" si="70"/>
        <v>46</v>
      </c>
      <c r="Z53" s="386">
        <f t="shared" si="70"/>
        <v>57</v>
      </c>
      <c r="AA53" s="386">
        <f t="shared" si="70"/>
        <v>58</v>
      </c>
      <c r="AB53" s="386">
        <f t="shared" si="70"/>
        <v>70</v>
      </c>
      <c r="AC53" s="386">
        <f t="shared" si="70"/>
        <v>69</v>
      </c>
      <c r="AD53" s="386">
        <f t="shared" si="70"/>
        <v>74</v>
      </c>
      <c r="AE53" s="386">
        <f t="shared" si="70"/>
        <v>58</v>
      </c>
      <c r="AF53" s="386">
        <f t="shared" si="70"/>
        <v>72</v>
      </c>
      <c r="AG53" s="62">
        <f>SUM(U53:AF53)</f>
        <v>706</v>
      </c>
    </row>
    <row r="54" spans="1:35">
      <c r="C54" s="397">
        <v>313486</v>
      </c>
      <c r="D54" s="397">
        <v>392102</v>
      </c>
      <c r="E54" s="397">
        <v>433192</v>
      </c>
      <c r="F54" s="397">
        <v>336031</v>
      </c>
      <c r="G54" s="397">
        <v>313486</v>
      </c>
      <c r="H54" s="385">
        <v>421694.60377358488</v>
      </c>
      <c r="I54" s="30">
        <v>448663.14285714284</v>
      </c>
      <c r="J54" s="30">
        <v>500471.70212765952</v>
      </c>
      <c r="K54" s="30">
        <v>470229</v>
      </c>
      <c r="L54" s="30">
        <v>547463.16981132072</v>
      </c>
      <c r="M54" s="30">
        <v>448663.14285714284</v>
      </c>
      <c r="N54" s="30">
        <v>514770.89361702127</v>
      </c>
      <c r="O54" s="31">
        <f t="shared" si="69"/>
        <v>5140252.6550438721</v>
      </c>
      <c r="Q54" s="398"/>
      <c r="S54" s="54"/>
      <c r="U54" s="386">
        <f>ROUNDUP(C54*$AA$4,)</f>
        <v>329161</v>
      </c>
      <c r="V54" s="386">
        <f t="shared" ref="V54:AF54" si="71">ROUNDUP(D54*$AA$4,)</f>
        <v>411708</v>
      </c>
      <c r="W54" s="386">
        <f t="shared" si="71"/>
        <v>454852</v>
      </c>
      <c r="X54" s="386">
        <f t="shared" si="71"/>
        <v>352833</v>
      </c>
      <c r="Y54" s="386">
        <f t="shared" si="71"/>
        <v>329161</v>
      </c>
      <c r="Z54" s="386">
        <f t="shared" si="71"/>
        <v>442780</v>
      </c>
      <c r="AA54" s="386">
        <f t="shared" si="71"/>
        <v>471097</v>
      </c>
      <c r="AB54" s="386">
        <f t="shared" si="71"/>
        <v>525496</v>
      </c>
      <c r="AC54" s="386">
        <f t="shared" si="71"/>
        <v>493741</v>
      </c>
      <c r="AD54" s="386">
        <f t="shared" si="71"/>
        <v>574837</v>
      </c>
      <c r="AE54" s="386">
        <f t="shared" si="71"/>
        <v>471097</v>
      </c>
      <c r="AF54" s="386">
        <f t="shared" si="71"/>
        <v>540510</v>
      </c>
      <c r="AG54" s="387">
        <f>SUM(U54:AF54)</f>
        <v>5397273</v>
      </c>
      <c r="AI54">
        <f>AI52/36</f>
        <v>16752.194444444445</v>
      </c>
    </row>
    <row r="55" spans="1:35">
      <c r="A55" s="54">
        <f>$M$1</f>
        <v>1</v>
      </c>
      <c r="B55" s="31" t="s">
        <v>52</v>
      </c>
      <c r="C55" s="32">
        <f>C53*$C$2</f>
        <v>103.5</v>
      </c>
      <c r="D55" s="32">
        <f t="shared" ref="D55:N56" si="72">D53*$C$2</f>
        <v>119.25</v>
      </c>
      <c r="E55" s="32">
        <f t="shared" si="72"/>
        <v>126</v>
      </c>
      <c r="F55" s="32">
        <f t="shared" si="72"/>
        <v>105.75</v>
      </c>
      <c r="G55" s="32">
        <f t="shared" si="72"/>
        <v>103.5</v>
      </c>
      <c r="H55" s="32">
        <f t="shared" si="72"/>
        <v>128.25</v>
      </c>
      <c r="I55" s="32">
        <f t="shared" si="72"/>
        <v>130.5</v>
      </c>
      <c r="J55" s="32">
        <f t="shared" si="72"/>
        <v>157.5</v>
      </c>
      <c r="K55" s="32">
        <f t="shared" si="72"/>
        <v>155.25</v>
      </c>
      <c r="L55" s="32">
        <f t="shared" si="72"/>
        <v>166.5</v>
      </c>
      <c r="M55" s="32">
        <f t="shared" si="72"/>
        <v>130.5</v>
      </c>
      <c r="N55" s="32">
        <f t="shared" si="72"/>
        <v>162</v>
      </c>
      <c r="O55" s="31">
        <f t="shared" si="69"/>
        <v>1588.5</v>
      </c>
      <c r="S55" s="54">
        <f>$AE$1</f>
        <v>1.20576662365</v>
      </c>
      <c r="T55" s="31" t="s">
        <v>52</v>
      </c>
      <c r="U55" s="32">
        <f>U53*$C$2</f>
        <v>103.5</v>
      </c>
      <c r="V55" s="32">
        <f t="shared" ref="V55:AF56" si="73">V53*$C$2</f>
        <v>119.25</v>
      </c>
      <c r="W55" s="32">
        <f t="shared" si="73"/>
        <v>126</v>
      </c>
      <c r="X55" s="32">
        <f t="shared" si="73"/>
        <v>105.75</v>
      </c>
      <c r="Y55" s="32">
        <f t="shared" si="73"/>
        <v>103.5</v>
      </c>
      <c r="Z55" s="32">
        <f t="shared" si="73"/>
        <v>128.25</v>
      </c>
      <c r="AA55" s="32">
        <f t="shared" si="73"/>
        <v>130.5</v>
      </c>
      <c r="AB55" s="32">
        <f t="shared" si="73"/>
        <v>157.5</v>
      </c>
      <c r="AC55" s="32">
        <f t="shared" si="73"/>
        <v>155.25</v>
      </c>
      <c r="AD55" s="32">
        <f t="shared" si="73"/>
        <v>166.5</v>
      </c>
      <c r="AE55" s="32">
        <f t="shared" si="73"/>
        <v>130.5</v>
      </c>
      <c r="AF55" s="32">
        <f t="shared" si="73"/>
        <v>162</v>
      </c>
      <c r="AG55" s="60">
        <f>SUM(U55:AF55)</f>
        <v>1588.5</v>
      </c>
    </row>
    <row r="56" spans="1:35">
      <c r="A56" s="54">
        <f>$M$2</f>
        <v>1</v>
      </c>
      <c r="B56" s="31" t="s">
        <v>53</v>
      </c>
      <c r="C56" s="32">
        <f>C54*$C$2</f>
        <v>705343.5</v>
      </c>
      <c r="D56" s="32">
        <f t="shared" si="72"/>
        <v>882229.5</v>
      </c>
      <c r="E56" s="32">
        <f t="shared" si="72"/>
        <v>974682</v>
      </c>
      <c r="F56" s="32">
        <f t="shared" si="72"/>
        <v>756069.75</v>
      </c>
      <c r="G56" s="32">
        <f>G54*$C$2</f>
        <v>705343.5</v>
      </c>
      <c r="H56" s="32">
        <f t="shared" si="72"/>
        <v>948812.85849056602</v>
      </c>
      <c r="I56" s="32">
        <f t="shared" si="72"/>
        <v>1009492.0714285714</v>
      </c>
      <c r="J56" s="32">
        <f t="shared" si="72"/>
        <v>1126061.3297872338</v>
      </c>
      <c r="K56" s="32">
        <f t="shared" si="72"/>
        <v>1058015.25</v>
      </c>
      <c r="L56" s="32">
        <f t="shared" si="72"/>
        <v>1231792.1320754716</v>
      </c>
      <c r="M56" s="32">
        <f t="shared" si="72"/>
        <v>1009492.0714285714</v>
      </c>
      <c r="N56" s="32">
        <f t="shared" si="72"/>
        <v>1158234.5106382978</v>
      </c>
      <c r="O56" s="31">
        <f t="shared" si="69"/>
        <v>11565568.473848712</v>
      </c>
      <c r="S56" s="54">
        <f>$AE$2</f>
        <v>1.20576662365</v>
      </c>
      <c r="T56" s="31" t="s">
        <v>53</v>
      </c>
      <c r="U56" s="32">
        <f>U54*$C$2</f>
        <v>740612.25</v>
      </c>
      <c r="V56" s="32">
        <f t="shared" si="73"/>
        <v>926343</v>
      </c>
      <c r="W56" s="32">
        <f t="shared" si="73"/>
        <v>1023417</v>
      </c>
      <c r="X56" s="32">
        <f t="shared" si="73"/>
        <v>793874.25</v>
      </c>
      <c r="Y56" s="32">
        <f t="shared" si="73"/>
        <v>740612.25</v>
      </c>
      <c r="Z56" s="32">
        <f t="shared" si="73"/>
        <v>996255</v>
      </c>
      <c r="AA56" s="32">
        <f t="shared" si="73"/>
        <v>1059968.25</v>
      </c>
      <c r="AB56" s="32">
        <f t="shared" si="73"/>
        <v>1182366</v>
      </c>
      <c r="AC56" s="32">
        <f t="shared" si="73"/>
        <v>1110917.25</v>
      </c>
      <c r="AD56" s="32">
        <f t="shared" si="73"/>
        <v>1293383.25</v>
      </c>
      <c r="AE56" s="32">
        <f t="shared" si="73"/>
        <v>1059968.25</v>
      </c>
      <c r="AF56" s="32">
        <f t="shared" si="73"/>
        <v>1216147.5</v>
      </c>
      <c r="AG56" s="60">
        <f t="shared" ref="AG56:AG58" si="74">SUM(U56:AF56)</f>
        <v>12143864.25</v>
      </c>
      <c r="AI56">
        <f>AI51/12</f>
        <v>8.4166666666666661</v>
      </c>
    </row>
    <row r="57" spans="1:35">
      <c r="B57" s="31" t="s">
        <v>54</v>
      </c>
      <c r="C57" s="36">
        <f>C55*$J$1*$G$3</f>
        <v>130799160</v>
      </c>
      <c r="D57" s="36">
        <f t="shared" ref="D57:H57" si="75">D55*$J$1*$G$3</f>
        <v>150703380</v>
      </c>
      <c r="E57" s="36">
        <f t="shared" si="75"/>
        <v>159233760</v>
      </c>
      <c r="F57" s="36">
        <f t="shared" si="75"/>
        <v>133642620</v>
      </c>
      <c r="G57" s="36">
        <f t="shared" si="75"/>
        <v>130799160</v>
      </c>
      <c r="H57" s="36">
        <f t="shared" si="75"/>
        <v>162077220</v>
      </c>
      <c r="I57" s="36">
        <f t="shared" ref="I57:N57" si="76">I55*$J$1</f>
        <v>82460340</v>
      </c>
      <c r="J57" s="36">
        <f t="shared" si="76"/>
        <v>99521100</v>
      </c>
      <c r="K57" s="36">
        <f t="shared" si="76"/>
        <v>98099370</v>
      </c>
      <c r="L57" s="36">
        <f t="shared" si="76"/>
        <v>105208020</v>
      </c>
      <c r="M57" s="36">
        <f t="shared" si="76"/>
        <v>82460340</v>
      </c>
      <c r="N57" s="36">
        <f t="shared" si="76"/>
        <v>102364560</v>
      </c>
      <c r="O57" s="31">
        <f t="shared" si="69"/>
        <v>1437369030</v>
      </c>
      <c r="T57" s="31" t="s">
        <v>54</v>
      </c>
      <c r="U57" s="36">
        <f>(U55*$J$1)*$S55</f>
        <v>78856630.764728069</v>
      </c>
      <c r="V57" s="36">
        <f t="shared" ref="V57:AF57" si="77">(V55*$J$1)*$S55</f>
        <v>90856552.837621465</v>
      </c>
      <c r="W57" s="36">
        <f t="shared" si="77"/>
        <v>95999376.583147213</v>
      </c>
      <c r="X57" s="36">
        <f t="shared" si="77"/>
        <v>80570905.346569985</v>
      </c>
      <c r="Y57" s="36">
        <f t="shared" si="77"/>
        <v>78856630.764728069</v>
      </c>
      <c r="Z57" s="36">
        <f t="shared" si="77"/>
        <v>97713651.164989129</v>
      </c>
      <c r="AA57" s="36">
        <f t="shared" si="77"/>
        <v>99427925.746831045</v>
      </c>
      <c r="AB57" s="36">
        <f t="shared" si="77"/>
        <v>119999220.72893402</v>
      </c>
      <c r="AC57" s="36">
        <f t="shared" si="77"/>
        <v>118284946.1470921</v>
      </c>
      <c r="AD57" s="36">
        <f t="shared" si="77"/>
        <v>126856319.05630167</v>
      </c>
      <c r="AE57" s="36">
        <f t="shared" si="77"/>
        <v>99427925.746831045</v>
      </c>
      <c r="AF57" s="36">
        <f t="shared" si="77"/>
        <v>123427769.89261784</v>
      </c>
      <c r="AG57" s="60">
        <f t="shared" si="74"/>
        <v>1210277854.7803917</v>
      </c>
    </row>
    <row r="58" spans="1:35">
      <c r="B58" s="31" t="s">
        <v>55</v>
      </c>
      <c r="C58" s="36">
        <f>C56*$J$2*$G$3</f>
        <v>255334347</v>
      </c>
      <c r="D58" s="36">
        <f t="shared" ref="D58:H58" si="78">D56*$J$2*$G$3</f>
        <v>319367079</v>
      </c>
      <c r="E58" s="36">
        <f t="shared" si="78"/>
        <v>352834884</v>
      </c>
      <c r="F58" s="36">
        <f t="shared" si="78"/>
        <v>273697249.5</v>
      </c>
      <c r="G58" s="36">
        <f t="shared" si="78"/>
        <v>255334347</v>
      </c>
      <c r="H58" s="36">
        <f t="shared" si="78"/>
        <v>343470254.7735849</v>
      </c>
      <c r="I58" s="36">
        <f t="shared" ref="I58:N58" si="79">I56*$J$2</f>
        <v>182718064.9285714</v>
      </c>
      <c r="J58" s="36">
        <f t="shared" si="79"/>
        <v>203817100.69148934</v>
      </c>
      <c r="K58" s="36">
        <f t="shared" si="79"/>
        <v>191500760.25</v>
      </c>
      <c r="L58" s="36">
        <f t="shared" si="79"/>
        <v>222954375.90566036</v>
      </c>
      <c r="M58" s="36">
        <f t="shared" si="79"/>
        <v>182718064.9285714</v>
      </c>
      <c r="N58" s="36">
        <f t="shared" si="79"/>
        <v>209640446.42553189</v>
      </c>
      <c r="O58" s="31">
        <f t="shared" si="69"/>
        <v>2993386974.403409</v>
      </c>
      <c r="T58" s="31" t="s">
        <v>55</v>
      </c>
      <c r="U58" s="36">
        <f>(U56*$J$2)*$S56</f>
        <v>161634001.31305566</v>
      </c>
      <c r="V58" s="36">
        <f t="shared" ref="V58:AF58" si="80">(V56*$J$2)*$S56</f>
        <v>202168578.33277795</v>
      </c>
      <c r="W58" s="36">
        <f t="shared" si="80"/>
        <v>223354372.98235819</v>
      </c>
      <c r="X58" s="36">
        <f t="shared" si="80"/>
        <v>173258100.39855686</v>
      </c>
      <c r="Y58" s="36">
        <f t="shared" si="80"/>
        <v>161634001.31305566</v>
      </c>
      <c r="Z58" s="36">
        <f t="shared" si="80"/>
        <v>217426436.00364196</v>
      </c>
      <c r="AA58" s="36">
        <f t="shared" si="80"/>
        <v>231331455.17414454</v>
      </c>
      <c r="AB58" s="36">
        <f t="shared" si="80"/>
        <v>258044000.21267861</v>
      </c>
      <c r="AC58" s="36">
        <f t="shared" si="80"/>
        <v>242450756.44535476</v>
      </c>
      <c r="AD58" s="36">
        <f t="shared" si="80"/>
        <v>282272822.15327144</v>
      </c>
      <c r="AE58" s="36">
        <f t="shared" si="80"/>
        <v>231331455.17414454</v>
      </c>
      <c r="AF58" s="36">
        <f t="shared" si="80"/>
        <v>265416601.75330529</v>
      </c>
      <c r="AG58" s="60">
        <f t="shared" si="74"/>
        <v>2650322581.2563457</v>
      </c>
    </row>
    <row r="59" spans="1:35">
      <c r="B59" s="44" t="s">
        <v>215</v>
      </c>
      <c r="C59" s="397">
        <v>13</v>
      </c>
      <c r="D59" s="397">
        <v>11</v>
      </c>
      <c r="E59" s="397">
        <v>13</v>
      </c>
      <c r="F59" s="397">
        <v>13</v>
      </c>
      <c r="G59" s="397">
        <v>15</v>
      </c>
      <c r="H59" s="385">
        <v>12</v>
      </c>
      <c r="I59" s="30">
        <v>8</v>
      </c>
      <c r="J59" s="30">
        <v>12</v>
      </c>
      <c r="K59" s="30">
        <v>10</v>
      </c>
      <c r="L59" s="30">
        <v>9</v>
      </c>
      <c r="M59" s="30">
        <v>8</v>
      </c>
      <c r="N59" s="30">
        <v>20</v>
      </c>
      <c r="O59" s="31">
        <f t="shared" si="52"/>
        <v>144</v>
      </c>
      <c r="T59" s="44" t="s">
        <v>215</v>
      </c>
      <c r="U59" s="386">
        <f>IF(ROUND((C59*$AA$3),)=1,1,IF($AA$3&gt;1,ROUNDUP((C59*$AA$3),),ROUNDDOWN((C59*$AA$3),)))</f>
        <v>13</v>
      </c>
      <c r="V59" s="386">
        <f t="shared" ref="V59:AF59" si="81">IF(ROUND((D59*$AA$3),)=1,1,IF($AA$3&gt;1,ROUNDUP((D59*$AA$3),),ROUNDDOWN((D59*$AA$3),)))</f>
        <v>11</v>
      </c>
      <c r="W59" s="386">
        <f t="shared" si="81"/>
        <v>13</v>
      </c>
      <c r="X59" s="386">
        <f t="shared" si="81"/>
        <v>13</v>
      </c>
      <c r="Y59" s="386">
        <f t="shared" si="81"/>
        <v>15</v>
      </c>
      <c r="Z59" s="386">
        <f t="shared" si="81"/>
        <v>12</v>
      </c>
      <c r="AA59" s="386">
        <f t="shared" si="81"/>
        <v>8</v>
      </c>
      <c r="AB59" s="386">
        <f t="shared" si="81"/>
        <v>12</v>
      </c>
      <c r="AC59" s="386">
        <f t="shared" si="81"/>
        <v>10</v>
      </c>
      <c r="AD59" s="386">
        <f t="shared" si="81"/>
        <v>9</v>
      </c>
      <c r="AE59" s="386">
        <f t="shared" si="81"/>
        <v>8</v>
      </c>
      <c r="AF59" s="386">
        <f t="shared" si="81"/>
        <v>20</v>
      </c>
      <c r="AG59" s="62">
        <f>SUM(U59:AF59)</f>
        <v>144</v>
      </c>
    </row>
    <row r="60" spans="1:35">
      <c r="C60" s="397">
        <v>56800</v>
      </c>
      <c r="D60" s="397">
        <v>50700</v>
      </c>
      <c r="E60" s="397">
        <v>56700</v>
      </c>
      <c r="F60" s="397">
        <v>53092</v>
      </c>
      <c r="G60" s="397">
        <v>65538.461538461546</v>
      </c>
      <c r="H60" s="385">
        <v>55309.090909090912</v>
      </c>
      <c r="I60" s="30">
        <v>34892.307692307695</v>
      </c>
      <c r="J60" s="30">
        <v>49008</v>
      </c>
      <c r="K60" s="30">
        <v>43692.307692307695</v>
      </c>
      <c r="L60" s="30">
        <v>41481.818181818184</v>
      </c>
      <c r="M60" s="30">
        <v>34892.307692307695</v>
      </c>
      <c r="N60" s="30">
        <v>81680</v>
      </c>
      <c r="O60" s="31">
        <f t="shared" si="52"/>
        <v>623786.29370629368</v>
      </c>
      <c r="S60" s="54"/>
      <c r="U60" s="386">
        <f>ROUNDUP(C60*$AA$4,)</f>
        <v>59640</v>
      </c>
      <c r="V60" s="386">
        <f t="shared" ref="V60:AF60" si="82">ROUNDUP(D60*$AA$4,)</f>
        <v>53235</v>
      </c>
      <c r="W60" s="386">
        <f t="shared" si="82"/>
        <v>59535</v>
      </c>
      <c r="X60" s="386">
        <f t="shared" si="82"/>
        <v>55747</v>
      </c>
      <c r="Y60" s="386">
        <f t="shared" si="82"/>
        <v>68816</v>
      </c>
      <c r="Z60" s="386">
        <f t="shared" si="82"/>
        <v>58075</v>
      </c>
      <c r="AA60" s="386">
        <f t="shared" si="82"/>
        <v>36637</v>
      </c>
      <c r="AB60" s="386">
        <f t="shared" si="82"/>
        <v>51459</v>
      </c>
      <c r="AC60" s="386">
        <f t="shared" si="82"/>
        <v>45877</v>
      </c>
      <c r="AD60" s="386">
        <f t="shared" si="82"/>
        <v>43556</v>
      </c>
      <c r="AE60" s="386">
        <f t="shared" si="82"/>
        <v>36637</v>
      </c>
      <c r="AF60" s="386">
        <f t="shared" si="82"/>
        <v>85764</v>
      </c>
      <c r="AG60" s="387">
        <f>SUM(U60:AF60)</f>
        <v>654978</v>
      </c>
    </row>
    <row r="61" spans="1:35">
      <c r="A61" s="54">
        <f>$M$1</f>
        <v>1</v>
      </c>
      <c r="B61" s="31" t="s">
        <v>52</v>
      </c>
      <c r="C61" s="32">
        <f>C59*$C$2</f>
        <v>29.25</v>
      </c>
      <c r="D61" s="32">
        <f t="shared" ref="D61:N62" si="83">D59*$C$2</f>
        <v>24.75</v>
      </c>
      <c r="E61" s="32">
        <f t="shared" si="83"/>
        <v>29.25</v>
      </c>
      <c r="F61" s="32">
        <f t="shared" si="83"/>
        <v>29.25</v>
      </c>
      <c r="G61" s="32">
        <f t="shared" si="83"/>
        <v>33.75</v>
      </c>
      <c r="H61" s="32">
        <f t="shared" si="83"/>
        <v>27</v>
      </c>
      <c r="I61" s="32">
        <f t="shared" si="83"/>
        <v>18</v>
      </c>
      <c r="J61" s="32">
        <f t="shared" si="83"/>
        <v>27</v>
      </c>
      <c r="K61" s="32">
        <f t="shared" si="83"/>
        <v>22.5</v>
      </c>
      <c r="L61" s="32">
        <f t="shared" si="83"/>
        <v>20.25</v>
      </c>
      <c r="M61" s="32">
        <f t="shared" si="83"/>
        <v>18</v>
      </c>
      <c r="N61" s="32">
        <f t="shared" si="83"/>
        <v>45</v>
      </c>
      <c r="O61" s="31">
        <f t="shared" si="52"/>
        <v>324</v>
      </c>
      <c r="S61" s="54">
        <f>$AE$1</f>
        <v>1.20576662365</v>
      </c>
      <c r="T61" s="31" t="s">
        <v>52</v>
      </c>
      <c r="U61" s="32">
        <f>U59*$C$2</f>
        <v>29.25</v>
      </c>
      <c r="V61" s="32">
        <f t="shared" ref="V61:AF62" si="84">V59*$C$2</f>
        <v>24.75</v>
      </c>
      <c r="W61" s="32">
        <f t="shared" si="84"/>
        <v>29.25</v>
      </c>
      <c r="X61" s="32">
        <f t="shared" si="84"/>
        <v>29.25</v>
      </c>
      <c r="Y61" s="32">
        <f t="shared" si="84"/>
        <v>33.75</v>
      </c>
      <c r="Z61" s="32">
        <f t="shared" si="84"/>
        <v>27</v>
      </c>
      <c r="AA61" s="32">
        <f t="shared" si="84"/>
        <v>18</v>
      </c>
      <c r="AB61" s="32">
        <f t="shared" si="84"/>
        <v>27</v>
      </c>
      <c r="AC61" s="32">
        <f t="shared" si="84"/>
        <v>22.5</v>
      </c>
      <c r="AD61" s="32">
        <f t="shared" si="84"/>
        <v>20.25</v>
      </c>
      <c r="AE61" s="32">
        <f t="shared" si="84"/>
        <v>18</v>
      </c>
      <c r="AF61" s="32">
        <f t="shared" si="84"/>
        <v>45</v>
      </c>
      <c r="AG61" s="60">
        <f>SUM(U61:AF61)</f>
        <v>324</v>
      </c>
    </row>
    <row r="62" spans="1:35">
      <c r="A62" s="54">
        <f>$M$2</f>
        <v>1</v>
      </c>
      <c r="B62" s="31" t="s">
        <v>53</v>
      </c>
      <c r="C62" s="32">
        <f>C60*$C$2</f>
        <v>127800</v>
      </c>
      <c r="D62" s="32">
        <f t="shared" si="83"/>
        <v>114075</v>
      </c>
      <c r="E62" s="32">
        <f t="shared" si="83"/>
        <v>127575</v>
      </c>
      <c r="F62" s="32">
        <f t="shared" si="83"/>
        <v>119457</v>
      </c>
      <c r="G62" s="32">
        <f>G60*$C$2</f>
        <v>147461.53846153847</v>
      </c>
      <c r="H62" s="32">
        <f t="shared" si="83"/>
        <v>124445.45454545456</v>
      </c>
      <c r="I62" s="32">
        <f t="shared" si="83"/>
        <v>78507.692307692312</v>
      </c>
      <c r="J62" s="32">
        <f t="shared" si="83"/>
        <v>110268</v>
      </c>
      <c r="K62" s="32">
        <f t="shared" si="83"/>
        <v>98307.692307692312</v>
      </c>
      <c r="L62" s="32">
        <f t="shared" si="83"/>
        <v>93334.090909090912</v>
      </c>
      <c r="M62" s="32">
        <f t="shared" si="83"/>
        <v>78507.692307692312</v>
      </c>
      <c r="N62" s="32">
        <f t="shared" si="83"/>
        <v>183780</v>
      </c>
      <c r="O62" s="31">
        <f t="shared" si="52"/>
        <v>1403519.1608391607</v>
      </c>
      <c r="S62" s="54">
        <f>$AE$2</f>
        <v>1.20576662365</v>
      </c>
      <c r="T62" s="31" t="s">
        <v>53</v>
      </c>
      <c r="U62" s="32">
        <f>U60*$C$2</f>
        <v>134190</v>
      </c>
      <c r="V62" s="32">
        <f t="shared" si="84"/>
        <v>119778.75</v>
      </c>
      <c r="W62" s="32">
        <f t="shared" si="84"/>
        <v>133953.75</v>
      </c>
      <c r="X62" s="32">
        <f t="shared" si="84"/>
        <v>125430.75</v>
      </c>
      <c r="Y62" s="32">
        <f t="shared" si="84"/>
        <v>154836</v>
      </c>
      <c r="Z62" s="32">
        <f t="shared" si="84"/>
        <v>130668.75</v>
      </c>
      <c r="AA62" s="32">
        <f t="shared" si="84"/>
        <v>82433.25</v>
      </c>
      <c r="AB62" s="32">
        <f t="shared" si="84"/>
        <v>115782.75</v>
      </c>
      <c r="AC62" s="32">
        <f t="shared" si="84"/>
        <v>103223.25</v>
      </c>
      <c r="AD62" s="32">
        <f t="shared" si="84"/>
        <v>98001</v>
      </c>
      <c r="AE62" s="32">
        <f t="shared" si="84"/>
        <v>82433.25</v>
      </c>
      <c r="AF62" s="32">
        <f t="shared" si="84"/>
        <v>192969</v>
      </c>
      <c r="AG62" s="60">
        <f t="shared" ref="AG62:AG64" si="85">SUM(U62:AF62)</f>
        <v>1473700.5</v>
      </c>
    </row>
    <row r="63" spans="1:35">
      <c r="B63" s="31" t="s">
        <v>54</v>
      </c>
      <c r="C63" s="36">
        <f>C61*$J$1</f>
        <v>18482490</v>
      </c>
      <c r="D63" s="36">
        <f t="shared" ref="D63:N63" si="86">D61*$J$1</f>
        <v>15639030</v>
      </c>
      <c r="E63" s="36">
        <f t="shared" si="86"/>
        <v>18482490</v>
      </c>
      <c r="F63" s="36">
        <f t="shared" si="86"/>
        <v>18482490</v>
      </c>
      <c r="G63" s="36">
        <f t="shared" si="86"/>
        <v>21325950</v>
      </c>
      <c r="H63" s="36">
        <f t="shared" si="86"/>
        <v>17060760</v>
      </c>
      <c r="I63" s="36">
        <f t="shared" si="86"/>
        <v>11373840</v>
      </c>
      <c r="J63" s="36">
        <f t="shared" si="86"/>
        <v>17060760</v>
      </c>
      <c r="K63" s="36">
        <f t="shared" si="86"/>
        <v>14217300</v>
      </c>
      <c r="L63" s="36">
        <f t="shared" si="86"/>
        <v>12795570</v>
      </c>
      <c r="M63" s="36">
        <f t="shared" si="86"/>
        <v>11373840</v>
      </c>
      <c r="N63" s="36">
        <f t="shared" si="86"/>
        <v>28434600</v>
      </c>
      <c r="O63" s="31">
        <f t="shared" si="52"/>
        <v>204729120</v>
      </c>
      <c r="T63" s="31" t="s">
        <v>54</v>
      </c>
      <c r="U63" s="36">
        <f>(U61*$J$1)*$S61</f>
        <v>22285569.563944887</v>
      </c>
      <c r="V63" s="36">
        <f t="shared" ref="V63:AF63" si="87">(V61*$J$1)*$S61</f>
        <v>18857020.400261059</v>
      </c>
      <c r="W63" s="36">
        <f t="shared" si="87"/>
        <v>22285569.563944887</v>
      </c>
      <c r="X63" s="36">
        <f t="shared" si="87"/>
        <v>22285569.563944887</v>
      </c>
      <c r="Y63" s="36">
        <f t="shared" si="87"/>
        <v>25714118.727628715</v>
      </c>
      <c r="Z63" s="36">
        <f t="shared" si="87"/>
        <v>20571294.982102975</v>
      </c>
      <c r="AA63" s="36">
        <f t="shared" si="87"/>
        <v>13714196.654735316</v>
      </c>
      <c r="AB63" s="36">
        <f t="shared" si="87"/>
        <v>20571294.982102975</v>
      </c>
      <c r="AC63" s="36">
        <f t="shared" si="87"/>
        <v>17142745.818419144</v>
      </c>
      <c r="AD63" s="36">
        <f t="shared" si="87"/>
        <v>15428471.23657723</v>
      </c>
      <c r="AE63" s="36">
        <f t="shared" si="87"/>
        <v>13714196.654735316</v>
      </c>
      <c r="AF63" s="36">
        <f t="shared" si="87"/>
        <v>34285491.636838287</v>
      </c>
      <c r="AG63" s="60">
        <f t="shared" si="85"/>
        <v>246855539.7852357</v>
      </c>
    </row>
    <row r="64" spans="1:35">
      <c r="B64" s="31" t="s">
        <v>55</v>
      </c>
      <c r="C64" s="36">
        <f>C62*$J$2</f>
        <v>23131800</v>
      </c>
      <c r="D64" s="36">
        <f t="shared" ref="D64:N64" si="88">D62*$J$2</f>
        <v>20647575</v>
      </c>
      <c r="E64" s="36">
        <f t="shared" si="88"/>
        <v>23091075</v>
      </c>
      <c r="F64" s="36">
        <f t="shared" si="88"/>
        <v>21621717</v>
      </c>
      <c r="G64" s="36">
        <f t="shared" si="88"/>
        <v>26690538.461538464</v>
      </c>
      <c r="H64" s="36">
        <f t="shared" si="88"/>
        <v>22524627.272727273</v>
      </c>
      <c r="I64" s="36">
        <f t="shared" si="88"/>
        <v>14209892.307692308</v>
      </c>
      <c r="J64" s="36">
        <f t="shared" si="88"/>
        <v>19958508</v>
      </c>
      <c r="K64" s="36">
        <f t="shared" si="88"/>
        <v>17793692.307692308</v>
      </c>
      <c r="L64" s="36">
        <f t="shared" si="88"/>
        <v>16893470.454545453</v>
      </c>
      <c r="M64" s="36">
        <f t="shared" si="88"/>
        <v>14209892.307692308</v>
      </c>
      <c r="N64" s="36">
        <f t="shared" si="88"/>
        <v>33264180</v>
      </c>
      <c r="O64" s="31">
        <f t="shared" si="52"/>
        <v>254036968.11188814</v>
      </c>
      <c r="T64" s="31" t="s">
        <v>55</v>
      </c>
      <c r="U64" s="36">
        <f>(U62*$J$2)*$S62</f>
        <v>29286130.004194424</v>
      </c>
      <c r="V64" s="36">
        <f t="shared" ref="V64:AF64" si="89">(V62*$J$2)*$S62</f>
        <v>26140964.634025656</v>
      </c>
      <c r="W64" s="36">
        <f t="shared" si="89"/>
        <v>29234569.91615887</v>
      </c>
      <c r="X64" s="36">
        <f t="shared" si="89"/>
        <v>27374478.359219089</v>
      </c>
      <c r="Y64" s="36">
        <f t="shared" si="89"/>
        <v>33791990.650044322</v>
      </c>
      <c r="Z64" s="36">
        <f t="shared" si="89"/>
        <v>28517639.168235935</v>
      </c>
      <c r="AA64" s="36">
        <f t="shared" si="89"/>
        <v>17990542.336748343</v>
      </c>
      <c r="AB64" s="36">
        <f t="shared" si="89"/>
        <v>25268862.573538579</v>
      </c>
      <c r="AC64" s="36">
        <f t="shared" si="89"/>
        <v>22527830.083877053</v>
      </c>
      <c r="AD64" s="36">
        <f t="shared" si="89"/>
        <v>21388106.614062581</v>
      </c>
      <c r="AE64" s="36">
        <f t="shared" si="89"/>
        <v>17990542.336748343</v>
      </c>
      <c r="AF64" s="36">
        <f t="shared" si="89"/>
        <v>42114279.907440148</v>
      </c>
      <c r="AG64" s="60">
        <f t="shared" si="85"/>
        <v>321625936.58429331</v>
      </c>
    </row>
    <row r="65" spans="1:33">
      <c r="B65" s="44" t="s">
        <v>57</v>
      </c>
      <c r="C65" s="397">
        <v>33</v>
      </c>
      <c r="D65" s="397">
        <v>34</v>
      </c>
      <c r="E65" s="397">
        <v>26</v>
      </c>
      <c r="F65" s="397">
        <v>27</v>
      </c>
      <c r="G65" s="397">
        <v>32</v>
      </c>
      <c r="H65" s="385">
        <v>34</v>
      </c>
      <c r="I65" s="30">
        <v>33</v>
      </c>
      <c r="J65" s="30">
        <v>30</v>
      </c>
      <c r="K65" s="30">
        <v>29</v>
      </c>
      <c r="L65" s="30">
        <v>28</v>
      </c>
      <c r="M65" s="30">
        <v>25</v>
      </c>
      <c r="N65" s="30">
        <v>16</v>
      </c>
      <c r="O65" s="31">
        <f t="shared" si="52"/>
        <v>347</v>
      </c>
      <c r="T65" s="44" t="s">
        <v>57</v>
      </c>
      <c r="U65" s="386">
        <f>IF(ROUND((C65*$AA$3),)=1,1,IF($AA$3&gt;1,ROUNDUP((C65*$AA$3),),ROUNDDOWN((C65*$AA$3),)))</f>
        <v>33</v>
      </c>
      <c r="V65" s="386">
        <f t="shared" ref="V65:AF65" si="90">IF(ROUND((D65*$AA$3),)=1,1,IF($AA$3&gt;1,ROUNDUP((D65*$AA$3),),ROUNDDOWN((D65*$AA$3),)))</f>
        <v>34</v>
      </c>
      <c r="W65" s="386">
        <f t="shared" si="90"/>
        <v>26</v>
      </c>
      <c r="X65" s="386">
        <f t="shared" si="90"/>
        <v>27</v>
      </c>
      <c r="Y65" s="386">
        <f t="shared" si="90"/>
        <v>32</v>
      </c>
      <c r="Z65" s="386">
        <f t="shared" si="90"/>
        <v>34</v>
      </c>
      <c r="AA65" s="386">
        <f t="shared" si="90"/>
        <v>33</v>
      </c>
      <c r="AB65" s="386">
        <f t="shared" si="90"/>
        <v>30</v>
      </c>
      <c r="AC65" s="386">
        <f t="shared" si="90"/>
        <v>29</v>
      </c>
      <c r="AD65" s="386">
        <f t="shared" si="90"/>
        <v>28</v>
      </c>
      <c r="AE65" s="386">
        <f t="shared" si="90"/>
        <v>25</v>
      </c>
      <c r="AF65" s="386">
        <f t="shared" si="90"/>
        <v>16</v>
      </c>
      <c r="AG65" s="62">
        <f>SUM(U65:AF65)</f>
        <v>347</v>
      </c>
    </row>
    <row r="66" spans="1:33">
      <c r="C66" s="397">
        <v>1934606</v>
      </c>
      <c r="D66" s="397">
        <v>911059</v>
      </c>
      <c r="E66" s="397">
        <v>564855</v>
      </c>
      <c r="F66" s="397">
        <v>673395</v>
      </c>
      <c r="G66" s="397">
        <v>1875981.5757575757</v>
      </c>
      <c r="H66" s="385">
        <v>911059</v>
      </c>
      <c r="I66" s="30">
        <v>716931.34615384613</v>
      </c>
      <c r="J66" s="30">
        <v>748216.66666666663</v>
      </c>
      <c r="K66" s="30">
        <v>1700108.303030303</v>
      </c>
      <c r="L66" s="30">
        <v>750283.8823529412</v>
      </c>
      <c r="M66" s="30">
        <v>543129.80769230775</v>
      </c>
      <c r="N66" s="30">
        <v>399048.88888888888</v>
      </c>
      <c r="O66" s="31">
        <f t="shared" si="52"/>
        <v>11728674.47054253</v>
      </c>
      <c r="S66" s="54"/>
      <c r="U66" s="386">
        <f>ROUNDUP(C66*$AA$4,)</f>
        <v>2031337</v>
      </c>
      <c r="V66" s="386">
        <f t="shared" ref="V66:AF66" si="91">ROUNDUP(D66*$AA$4,)</f>
        <v>956612</v>
      </c>
      <c r="W66" s="386">
        <f t="shared" si="91"/>
        <v>593098</v>
      </c>
      <c r="X66" s="386">
        <f t="shared" si="91"/>
        <v>707065</v>
      </c>
      <c r="Y66" s="386">
        <f t="shared" si="91"/>
        <v>1969781</v>
      </c>
      <c r="Z66" s="386">
        <f t="shared" si="91"/>
        <v>956612</v>
      </c>
      <c r="AA66" s="386">
        <f t="shared" si="91"/>
        <v>752778</v>
      </c>
      <c r="AB66" s="386">
        <f t="shared" si="91"/>
        <v>785628</v>
      </c>
      <c r="AC66" s="386">
        <f t="shared" si="91"/>
        <v>1785114</v>
      </c>
      <c r="AD66" s="386">
        <f t="shared" si="91"/>
        <v>787799</v>
      </c>
      <c r="AE66" s="386">
        <f t="shared" si="91"/>
        <v>570287</v>
      </c>
      <c r="AF66" s="386">
        <f t="shared" si="91"/>
        <v>419002</v>
      </c>
      <c r="AG66" s="387">
        <f>SUM(U66:AF66)</f>
        <v>12315113</v>
      </c>
    </row>
    <row r="67" spans="1:33">
      <c r="A67" s="54">
        <f>$M$1</f>
        <v>1</v>
      </c>
      <c r="B67" s="31" t="s">
        <v>52</v>
      </c>
      <c r="C67" s="32">
        <f>C65*$C$2</f>
        <v>74.25</v>
      </c>
      <c r="D67" s="32">
        <f t="shared" ref="D67:N68" si="92">D65*$C$2</f>
        <v>76.5</v>
      </c>
      <c r="E67" s="32">
        <f t="shared" si="92"/>
        <v>58.5</v>
      </c>
      <c r="F67" s="32">
        <f t="shared" si="92"/>
        <v>60.75</v>
      </c>
      <c r="G67" s="32">
        <f t="shared" si="92"/>
        <v>72</v>
      </c>
      <c r="H67" s="32">
        <f t="shared" si="92"/>
        <v>76.5</v>
      </c>
      <c r="I67" s="32">
        <f t="shared" si="92"/>
        <v>74.25</v>
      </c>
      <c r="J67" s="32">
        <f t="shared" si="92"/>
        <v>67.5</v>
      </c>
      <c r="K67" s="32">
        <f t="shared" si="92"/>
        <v>65.25</v>
      </c>
      <c r="L67" s="32">
        <f t="shared" si="92"/>
        <v>63</v>
      </c>
      <c r="M67" s="32">
        <f t="shared" si="92"/>
        <v>56.25</v>
      </c>
      <c r="N67" s="32">
        <f t="shared" si="92"/>
        <v>36</v>
      </c>
      <c r="O67" s="31">
        <f t="shared" si="52"/>
        <v>780.75</v>
      </c>
      <c r="S67" s="54">
        <f>$AE$1</f>
        <v>1.20576662365</v>
      </c>
      <c r="T67" s="31" t="s">
        <v>52</v>
      </c>
      <c r="U67" s="32">
        <f>U65*$C$2</f>
        <v>74.25</v>
      </c>
      <c r="V67" s="32">
        <f t="shared" ref="V67:AF68" si="93">V65*$C$2</f>
        <v>76.5</v>
      </c>
      <c r="W67" s="32">
        <f t="shared" si="93"/>
        <v>58.5</v>
      </c>
      <c r="X67" s="32">
        <f t="shared" si="93"/>
        <v>60.75</v>
      </c>
      <c r="Y67" s="32">
        <f t="shared" si="93"/>
        <v>72</v>
      </c>
      <c r="Z67" s="32">
        <f t="shared" si="93"/>
        <v>76.5</v>
      </c>
      <c r="AA67" s="32">
        <f t="shared" si="93"/>
        <v>74.25</v>
      </c>
      <c r="AB67" s="32">
        <f t="shared" si="93"/>
        <v>67.5</v>
      </c>
      <c r="AC67" s="32">
        <f t="shared" si="93"/>
        <v>65.25</v>
      </c>
      <c r="AD67" s="32">
        <f t="shared" si="93"/>
        <v>63</v>
      </c>
      <c r="AE67" s="32">
        <f t="shared" si="93"/>
        <v>56.25</v>
      </c>
      <c r="AF67" s="32">
        <f t="shared" si="93"/>
        <v>36</v>
      </c>
      <c r="AG67" s="60">
        <f>SUM(U67:AF67)</f>
        <v>780.75</v>
      </c>
    </row>
    <row r="68" spans="1:33">
      <c r="A68" s="54">
        <f>$M$2</f>
        <v>1</v>
      </c>
      <c r="B68" s="31" t="s">
        <v>53</v>
      </c>
      <c r="C68" s="32">
        <f>C66*$C$2</f>
        <v>4352863.5</v>
      </c>
      <c r="D68" s="32">
        <f t="shared" si="92"/>
        <v>2049882.75</v>
      </c>
      <c r="E68" s="32">
        <f t="shared" si="92"/>
        <v>1270923.75</v>
      </c>
      <c r="F68" s="32">
        <f t="shared" si="92"/>
        <v>1515138.75</v>
      </c>
      <c r="G68" s="32">
        <f>G66*$C$2</f>
        <v>4220958.5454545449</v>
      </c>
      <c r="H68" s="32">
        <f t="shared" si="92"/>
        <v>2049882.75</v>
      </c>
      <c r="I68" s="32">
        <f t="shared" si="92"/>
        <v>1613095.5288461538</v>
      </c>
      <c r="J68" s="32">
        <f t="shared" si="92"/>
        <v>1683487.5</v>
      </c>
      <c r="K68" s="32">
        <f t="shared" si="92"/>
        <v>3825243.6818181816</v>
      </c>
      <c r="L68" s="32">
        <f t="shared" si="92"/>
        <v>1688138.7352941176</v>
      </c>
      <c r="M68" s="32">
        <f t="shared" si="92"/>
        <v>1222042.0673076925</v>
      </c>
      <c r="N68" s="32">
        <f t="shared" si="92"/>
        <v>897860</v>
      </c>
      <c r="O68" s="31">
        <f t="shared" si="52"/>
        <v>26389517.558720689</v>
      </c>
      <c r="S68" s="54">
        <f>$AE$2</f>
        <v>1.20576662365</v>
      </c>
      <c r="T68" s="31" t="s">
        <v>53</v>
      </c>
      <c r="U68" s="32">
        <f>U66*$C$2</f>
        <v>4570508.25</v>
      </c>
      <c r="V68" s="32">
        <f t="shared" si="93"/>
        <v>2152377</v>
      </c>
      <c r="W68" s="32">
        <f t="shared" si="93"/>
        <v>1334470.5</v>
      </c>
      <c r="X68" s="32">
        <f t="shared" si="93"/>
        <v>1590896.25</v>
      </c>
      <c r="Y68" s="32">
        <f t="shared" si="93"/>
        <v>4432007.25</v>
      </c>
      <c r="Z68" s="32">
        <f t="shared" si="93"/>
        <v>2152377</v>
      </c>
      <c r="AA68" s="32">
        <f t="shared" si="93"/>
        <v>1693750.5</v>
      </c>
      <c r="AB68" s="32">
        <f t="shared" si="93"/>
        <v>1767663</v>
      </c>
      <c r="AC68" s="32">
        <f t="shared" si="93"/>
        <v>4016506.5</v>
      </c>
      <c r="AD68" s="32">
        <f t="shared" si="93"/>
        <v>1772547.75</v>
      </c>
      <c r="AE68" s="32">
        <f t="shared" si="93"/>
        <v>1283145.75</v>
      </c>
      <c r="AF68" s="32">
        <f t="shared" si="93"/>
        <v>942754.5</v>
      </c>
      <c r="AG68" s="60">
        <f t="shared" ref="AG68:AG70" si="94">SUM(U68:AF68)</f>
        <v>27709004.25</v>
      </c>
    </row>
    <row r="69" spans="1:33">
      <c r="B69" s="31" t="s">
        <v>54</v>
      </c>
      <c r="C69" s="36">
        <f>C67*$J$1</f>
        <v>46917090</v>
      </c>
      <c r="D69" s="36">
        <f t="shared" ref="D69:N69" si="95">D67*$J$1</f>
        <v>48338820</v>
      </c>
      <c r="E69" s="36">
        <f t="shared" si="95"/>
        <v>36964980</v>
      </c>
      <c r="F69" s="36">
        <f t="shared" si="95"/>
        <v>38386710</v>
      </c>
      <c r="G69" s="36">
        <f t="shared" si="95"/>
        <v>45495360</v>
      </c>
      <c r="H69" s="36">
        <f t="shared" si="95"/>
        <v>48338820</v>
      </c>
      <c r="I69" s="36">
        <f t="shared" si="95"/>
        <v>46917090</v>
      </c>
      <c r="J69" s="36">
        <f t="shared" si="95"/>
        <v>42651900</v>
      </c>
      <c r="K69" s="36">
        <f t="shared" si="95"/>
        <v>41230170</v>
      </c>
      <c r="L69" s="36">
        <f t="shared" si="95"/>
        <v>39808440</v>
      </c>
      <c r="M69" s="36">
        <f t="shared" si="95"/>
        <v>35543250</v>
      </c>
      <c r="N69" s="36">
        <f t="shared" si="95"/>
        <v>22747680</v>
      </c>
      <c r="O69" s="31">
        <f t="shared" si="52"/>
        <v>493340310</v>
      </c>
      <c r="T69" s="31" t="s">
        <v>54</v>
      </c>
      <c r="U69" s="36">
        <f>(U67*$J$1)*$S67</f>
        <v>56571061.200783178</v>
      </c>
      <c r="V69" s="36">
        <f t="shared" ref="V69:AF69" si="96">(V67*$J$1)*$S67</f>
        <v>58285335.782625094</v>
      </c>
      <c r="W69" s="36">
        <f t="shared" si="96"/>
        <v>44571139.127889775</v>
      </c>
      <c r="X69" s="36">
        <f t="shared" si="96"/>
        <v>46285413.709731691</v>
      </c>
      <c r="Y69" s="36">
        <f t="shared" si="96"/>
        <v>54856786.618941262</v>
      </c>
      <c r="Z69" s="36">
        <f t="shared" si="96"/>
        <v>58285335.782625094</v>
      </c>
      <c r="AA69" s="36">
        <f t="shared" si="96"/>
        <v>56571061.200783178</v>
      </c>
      <c r="AB69" s="36">
        <f t="shared" si="96"/>
        <v>51428237.455257431</v>
      </c>
      <c r="AC69" s="36">
        <f t="shared" si="96"/>
        <v>49713962.873415522</v>
      </c>
      <c r="AD69" s="36">
        <f t="shared" si="96"/>
        <v>47999688.291573606</v>
      </c>
      <c r="AE69" s="36">
        <f t="shared" si="96"/>
        <v>42856864.546047859</v>
      </c>
      <c r="AF69" s="36">
        <f t="shared" si="96"/>
        <v>27428393.309470631</v>
      </c>
      <c r="AG69" s="60">
        <f t="shared" si="94"/>
        <v>594853279.89914429</v>
      </c>
    </row>
    <row r="70" spans="1:33">
      <c r="B70" s="31" t="s">
        <v>55</v>
      </c>
      <c r="C70" s="36">
        <f>C68*$J$2</f>
        <v>787868293.5</v>
      </c>
      <c r="D70" s="36">
        <f t="shared" ref="D70:N70" si="97">D68*$J$2</f>
        <v>371028777.75</v>
      </c>
      <c r="E70" s="36">
        <f t="shared" si="97"/>
        <v>230037198.75</v>
      </c>
      <c r="F70" s="36">
        <f t="shared" si="97"/>
        <v>274240113.75</v>
      </c>
      <c r="G70" s="36">
        <f t="shared" si="97"/>
        <v>763993496.72727263</v>
      </c>
      <c r="H70" s="36">
        <f t="shared" si="97"/>
        <v>371028777.75</v>
      </c>
      <c r="I70" s="36">
        <f t="shared" si="97"/>
        <v>291970290.72115386</v>
      </c>
      <c r="J70" s="36">
        <f t="shared" si="97"/>
        <v>304711237.5</v>
      </c>
      <c r="K70" s="36">
        <f t="shared" si="97"/>
        <v>692369106.40909088</v>
      </c>
      <c r="L70" s="36">
        <f t="shared" si="97"/>
        <v>305553111.08823526</v>
      </c>
      <c r="M70" s="36">
        <f t="shared" si="97"/>
        <v>221189614.18269235</v>
      </c>
      <c r="N70" s="36">
        <f t="shared" si="97"/>
        <v>162512660</v>
      </c>
      <c r="O70" s="31">
        <f t="shared" si="52"/>
        <v>4776502678.1284447</v>
      </c>
      <c r="T70" s="31" t="s">
        <v>55</v>
      </c>
      <c r="U70" s="36">
        <f>(U68*$J$2)*$S68</f>
        <v>997484900.4750216</v>
      </c>
      <c r="V70" s="36">
        <f t="shared" ref="V70:AF70" si="98">(V68*$J$2)*$S68</f>
        <v>469742847.00825679</v>
      </c>
      <c r="W70" s="36">
        <f t="shared" si="98"/>
        <v>291239858.03534043</v>
      </c>
      <c r="X70" s="36">
        <f t="shared" si="98"/>
        <v>347203177.58913028</v>
      </c>
      <c r="Y70" s="36">
        <f t="shared" si="98"/>
        <v>967257921.62629271</v>
      </c>
      <c r="Z70" s="36">
        <f t="shared" si="98"/>
        <v>469742847.00825679</v>
      </c>
      <c r="AA70" s="36">
        <f t="shared" si="98"/>
        <v>369650475.7259804</v>
      </c>
      <c r="AB70" s="36">
        <f t="shared" si="98"/>
        <v>385781417.55424643</v>
      </c>
      <c r="AC70" s="36">
        <f t="shared" si="98"/>
        <v>876577476.1285634</v>
      </c>
      <c r="AD70" s="36">
        <f t="shared" si="98"/>
        <v>386847483.75543869</v>
      </c>
      <c r="AE70" s="36">
        <f t="shared" si="98"/>
        <v>280038551.67173082</v>
      </c>
      <c r="AF70" s="36">
        <f t="shared" si="98"/>
        <v>205750285.78164774</v>
      </c>
      <c r="AG70" s="60">
        <f t="shared" si="94"/>
        <v>6047317242.3599062</v>
      </c>
    </row>
    <row r="71" spans="1:33">
      <c r="B71" s="44" t="s">
        <v>59</v>
      </c>
      <c r="C71" s="37">
        <v>0</v>
      </c>
      <c r="D71" s="37">
        <v>0</v>
      </c>
      <c r="E71" s="399">
        <v>0</v>
      </c>
      <c r="F71" s="37">
        <v>0</v>
      </c>
      <c r="G71" s="37">
        <v>0</v>
      </c>
      <c r="H71" s="37">
        <v>0</v>
      </c>
      <c r="I71" s="30">
        <f>IF(ROUND((C71*$I$3),)=1,1,IF($I$3&gt;1,ROUNDUP((C71*$I$3),),ROUNDDOWN((C71*$I$3),)))</f>
        <v>0</v>
      </c>
      <c r="J71" s="30">
        <f t="shared" ref="J71:N71" si="99">IF(ROUND((D71*$I$3),)=1,1,IF($I$3&gt;1,ROUNDUP((D71*$I$3),),ROUNDDOWN((D71*$I$3),)))</f>
        <v>0</v>
      </c>
      <c r="K71" s="30">
        <f t="shared" si="99"/>
        <v>0</v>
      </c>
      <c r="L71" s="30">
        <f t="shared" si="99"/>
        <v>0</v>
      </c>
      <c r="M71" s="30">
        <f t="shared" si="99"/>
        <v>0</v>
      </c>
      <c r="N71" s="30">
        <f t="shared" si="99"/>
        <v>0</v>
      </c>
      <c r="O71" s="31">
        <f t="shared" si="52"/>
        <v>0</v>
      </c>
      <c r="T71" s="44" t="s">
        <v>59</v>
      </c>
      <c r="U71" s="386">
        <f>IF(ROUND((C71*$AA$3),)=1,1,IF($AA$3&gt;1,ROUNDUP((C71*$AA$3),),ROUNDDOWN((C71*$AA$3),)))</f>
        <v>0</v>
      </c>
      <c r="V71" s="386">
        <f t="shared" ref="V71:AF71" si="100">IF(ROUND((D71*$AA$3),)=1,1,IF($AA$3&gt;1,ROUNDUP((D71*$AA$3),),ROUNDDOWN((D71*$AA$3),)))</f>
        <v>0</v>
      </c>
      <c r="W71" s="386">
        <f t="shared" si="100"/>
        <v>0</v>
      </c>
      <c r="X71" s="386">
        <f t="shared" si="100"/>
        <v>0</v>
      </c>
      <c r="Y71" s="386">
        <f t="shared" si="100"/>
        <v>0</v>
      </c>
      <c r="Z71" s="386">
        <f t="shared" si="100"/>
        <v>0</v>
      </c>
      <c r="AA71" s="386">
        <f t="shared" si="100"/>
        <v>0</v>
      </c>
      <c r="AB71" s="386">
        <f t="shared" si="100"/>
        <v>0</v>
      </c>
      <c r="AC71" s="386">
        <f t="shared" si="100"/>
        <v>0</v>
      </c>
      <c r="AD71" s="386">
        <f t="shared" si="100"/>
        <v>0</v>
      </c>
      <c r="AE71" s="386">
        <f t="shared" si="100"/>
        <v>0</v>
      </c>
      <c r="AF71" s="386">
        <f t="shared" si="100"/>
        <v>0</v>
      </c>
      <c r="AG71" s="62">
        <f>SUM(U71:AF71)</f>
        <v>0</v>
      </c>
    </row>
    <row r="72" spans="1:33">
      <c r="C72" s="37">
        <v>0</v>
      </c>
      <c r="D72" s="37">
        <v>0</v>
      </c>
      <c r="E72" s="399">
        <v>0</v>
      </c>
      <c r="F72" s="37">
        <v>0</v>
      </c>
      <c r="G72" s="37">
        <v>0</v>
      </c>
      <c r="H72" s="37">
        <v>0</v>
      </c>
      <c r="I72" s="30">
        <f>IF(I71=1,C72,IF(C71&gt;1,ROUNDUP((C72*$I$4),),ROUNDDOWN((C72*$I$4),)))</f>
        <v>0</v>
      </c>
      <c r="J72" s="30">
        <f t="shared" ref="J72:N72" si="101">IF(J71=1,D72,IF(D71&gt;1,ROUNDUP((D72*$I$4),),ROUNDDOWN((D72*$I$4),)))</f>
        <v>0</v>
      </c>
      <c r="K72" s="30">
        <f t="shared" si="101"/>
        <v>0</v>
      </c>
      <c r="L72" s="30">
        <f t="shared" si="101"/>
        <v>0</v>
      </c>
      <c r="M72" s="30">
        <f t="shared" si="101"/>
        <v>0</v>
      </c>
      <c r="N72" s="30">
        <f t="shared" si="101"/>
        <v>0</v>
      </c>
      <c r="O72" s="31">
        <f t="shared" si="52"/>
        <v>0</v>
      </c>
      <c r="U72" s="386">
        <f>ROUNDUP(C72*$AA$4,)</f>
        <v>0</v>
      </c>
      <c r="V72" s="386">
        <f t="shared" ref="V72:AF72" si="102">ROUNDUP(D72*$AA$4,)</f>
        <v>0</v>
      </c>
      <c r="W72" s="386">
        <f t="shared" si="102"/>
        <v>0</v>
      </c>
      <c r="X72" s="386">
        <f t="shared" si="102"/>
        <v>0</v>
      </c>
      <c r="Y72" s="386">
        <f t="shared" si="102"/>
        <v>0</v>
      </c>
      <c r="Z72" s="386">
        <f t="shared" si="102"/>
        <v>0</v>
      </c>
      <c r="AA72" s="386">
        <f t="shared" si="102"/>
        <v>0</v>
      </c>
      <c r="AB72" s="386">
        <f t="shared" si="102"/>
        <v>0</v>
      </c>
      <c r="AC72" s="386">
        <f t="shared" si="102"/>
        <v>0</v>
      </c>
      <c r="AD72" s="386">
        <f t="shared" si="102"/>
        <v>0</v>
      </c>
      <c r="AE72" s="386">
        <f t="shared" si="102"/>
        <v>0</v>
      </c>
      <c r="AF72" s="386">
        <f t="shared" si="102"/>
        <v>0</v>
      </c>
      <c r="AG72" s="62">
        <f>SUM(U72:AF72)</f>
        <v>0</v>
      </c>
    </row>
    <row r="73" spans="1:33">
      <c r="A73" s="54">
        <f>$M$1</f>
        <v>1</v>
      </c>
      <c r="B73" s="31" t="s">
        <v>52</v>
      </c>
      <c r="C73" s="32">
        <f>C71*$C$2</f>
        <v>0</v>
      </c>
      <c r="D73" s="32">
        <f t="shared" ref="D73:N74" si="103">D71*$C$2</f>
        <v>0</v>
      </c>
      <c r="E73" s="32">
        <f t="shared" si="103"/>
        <v>0</v>
      </c>
      <c r="F73" s="32">
        <f t="shared" si="103"/>
        <v>0</v>
      </c>
      <c r="G73" s="32">
        <f t="shared" si="103"/>
        <v>0</v>
      </c>
      <c r="H73" s="32">
        <f t="shared" si="103"/>
        <v>0</v>
      </c>
      <c r="I73" s="32">
        <f t="shared" si="103"/>
        <v>0</v>
      </c>
      <c r="J73" s="32">
        <f t="shared" si="103"/>
        <v>0</v>
      </c>
      <c r="K73" s="32">
        <f t="shared" si="103"/>
        <v>0</v>
      </c>
      <c r="L73" s="32">
        <f t="shared" si="103"/>
        <v>0</v>
      </c>
      <c r="M73" s="32">
        <f t="shared" si="103"/>
        <v>0</v>
      </c>
      <c r="N73" s="32">
        <f t="shared" si="103"/>
        <v>0</v>
      </c>
      <c r="O73" s="31">
        <f t="shared" si="52"/>
        <v>0</v>
      </c>
      <c r="S73" s="54">
        <f>$AE$1</f>
        <v>1.20576662365</v>
      </c>
      <c r="T73" s="31" t="s">
        <v>52</v>
      </c>
      <c r="U73" s="32">
        <f>U71*$C$2</f>
        <v>0</v>
      </c>
      <c r="V73" s="32">
        <f t="shared" ref="V73:AF73" si="104">V71*$C$2</f>
        <v>0</v>
      </c>
      <c r="W73" s="32">
        <f t="shared" si="104"/>
        <v>0</v>
      </c>
      <c r="X73" s="32"/>
      <c r="Y73" s="32">
        <f t="shared" si="104"/>
        <v>0</v>
      </c>
      <c r="Z73" s="32">
        <f t="shared" si="104"/>
        <v>0</v>
      </c>
      <c r="AA73" s="32">
        <f t="shared" si="104"/>
        <v>0</v>
      </c>
      <c r="AB73" s="32">
        <f t="shared" si="104"/>
        <v>0</v>
      </c>
      <c r="AC73" s="32">
        <f t="shared" si="104"/>
        <v>0</v>
      </c>
      <c r="AD73" s="32">
        <f t="shared" si="104"/>
        <v>0</v>
      </c>
      <c r="AE73" s="32">
        <f t="shared" si="104"/>
        <v>0</v>
      </c>
      <c r="AF73" s="32">
        <f t="shared" si="104"/>
        <v>0</v>
      </c>
      <c r="AG73" s="60">
        <f>SUM(U73:AF73)</f>
        <v>0</v>
      </c>
    </row>
    <row r="74" spans="1:33">
      <c r="A74" s="54">
        <f>$M$2</f>
        <v>1</v>
      </c>
      <c r="B74" s="31" t="s">
        <v>53</v>
      </c>
      <c r="C74" s="32">
        <f>C72*$C$2</f>
        <v>0</v>
      </c>
      <c r="D74" s="32">
        <f t="shared" si="103"/>
        <v>0</v>
      </c>
      <c r="E74" s="32">
        <f t="shared" si="103"/>
        <v>0</v>
      </c>
      <c r="F74" s="32">
        <f t="shared" si="103"/>
        <v>0</v>
      </c>
      <c r="G74" s="32">
        <f>G72*$C$2</f>
        <v>0</v>
      </c>
      <c r="H74" s="32">
        <f t="shared" si="103"/>
        <v>0</v>
      </c>
      <c r="I74" s="32">
        <f t="shared" si="103"/>
        <v>0</v>
      </c>
      <c r="J74" s="32">
        <f t="shared" si="103"/>
        <v>0</v>
      </c>
      <c r="K74" s="32">
        <f t="shared" si="103"/>
        <v>0</v>
      </c>
      <c r="L74" s="32">
        <f t="shared" si="103"/>
        <v>0</v>
      </c>
      <c r="M74" s="32">
        <f t="shared" si="103"/>
        <v>0</v>
      </c>
      <c r="N74" s="32">
        <f t="shared" si="103"/>
        <v>0</v>
      </c>
      <c r="O74" s="31">
        <f t="shared" si="52"/>
        <v>0</v>
      </c>
      <c r="S74" s="54">
        <f>$AE$2</f>
        <v>1.20576662365</v>
      </c>
      <c r="T74" s="31" t="s">
        <v>53</v>
      </c>
      <c r="U74" s="32">
        <f>U72*$C$2*$AG$1</f>
        <v>0</v>
      </c>
      <c r="V74" s="32">
        <f t="shared" ref="V74:AF74" si="105">V72*$C$2*$AG$1</f>
        <v>0</v>
      </c>
      <c r="W74" s="32">
        <f t="shared" si="105"/>
        <v>0</v>
      </c>
      <c r="X74" s="32">
        <f t="shared" si="105"/>
        <v>0</v>
      </c>
      <c r="Y74" s="32">
        <f t="shared" si="105"/>
        <v>0</v>
      </c>
      <c r="Z74" s="32">
        <f t="shared" si="105"/>
        <v>0</v>
      </c>
      <c r="AA74" s="32">
        <f t="shared" si="105"/>
        <v>0</v>
      </c>
      <c r="AB74" s="32">
        <f t="shared" si="105"/>
        <v>0</v>
      </c>
      <c r="AC74" s="32">
        <f t="shared" si="105"/>
        <v>0</v>
      </c>
      <c r="AD74" s="32">
        <f t="shared" si="105"/>
        <v>0</v>
      </c>
      <c r="AE74" s="32">
        <f t="shared" si="105"/>
        <v>0</v>
      </c>
      <c r="AF74" s="32">
        <f t="shared" si="105"/>
        <v>0</v>
      </c>
      <c r="AG74" s="60">
        <f>SUM(U74:AF74)</f>
        <v>0</v>
      </c>
    </row>
    <row r="75" spans="1:33">
      <c r="B75" s="31" t="s">
        <v>54</v>
      </c>
      <c r="C75" s="36">
        <f>C73*$J$1</f>
        <v>0</v>
      </c>
      <c r="D75" s="36">
        <f t="shared" ref="D75:N75" si="106">D73*$J$1</f>
        <v>0</v>
      </c>
      <c r="E75" s="36">
        <f t="shared" si="106"/>
        <v>0</v>
      </c>
      <c r="F75" s="36">
        <f t="shared" si="106"/>
        <v>0</v>
      </c>
      <c r="G75" s="36">
        <f t="shared" si="106"/>
        <v>0</v>
      </c>
      <c r="H75" s="36">
        <f t="shared" si="106"/>
        <v>0</v>
      </c>
      <c r="I75" s="36">
        <f t="shared" si="106"/>
        <v>0</v>
      </c>
      <c r="J75" s="36">
        <f t="shared" si="106"/>
        <v>0</v>
      </c>
      <c r="K75" s="36">
        <f t="shared" si="106"/>
        <v>0</v>
      </c>
      <c r="L75" s="36">
        <f t="shared" si="106"/>
        <v>0</v>
      </c>
      <c r="M75" s="36">
        <f t="shared" si="106"/>
        <v>0</v>
      </c>
      <c r="N75" s="36">
        <f t="shared" si="106"/>
        <v>0</v>
      </c>
      <c r="O75" s="31">
        <f t="shared" si="52"/>
        <v>0</v>
      </c>
      <c r="T75" s="31" t="s">
        <v>54</v>
      </c>
      <c r="U75" s="36">
        <f>(U73*$J$1)*$S73</f>
        <v>0</v>
      </c>
      <c r="V75" s="36">
        <f t="shared" ref="V75:AF75" si="107">(V73*$J$1)*$S73</f>
        <v>0</v>
      </c>
      <c r="W75" s="36">
        <f t="shared" si="107"/>
        <v>0</v>
      </c>
      <c r="X75" s="36">
        <f t="shared" si="107"/>
        <v>0</v>
      </c>
      <c r="Y75" s="36">
        <f t="shared" si="107"/>
        <v>0</v>
      </c>
      <c r="Z75" s="36">
        <f t="shared" si="107"/>
        <v>0</v>
      </c>
      <c r="AA75" s="36">
        <f t="shared" si="107"/>
        <v>0</v>
      </c>
      <c r="AB75" s="36">
        <f t="shared" si="107"/>
        <v>0</v>
      </c>
      <c r="AC75" s="36">
        <f t="shared" si="107"/>
        <v>0</v>
      </c>
      <c r="AD75" s="36">
        <f t="shared" si="107"/>
        <v>0</v>
      </c>
      <c r="AE75" s="36">
        <f t="shared" si="107"/>
        <v>0</v>
      </c>
      <c r="AF75" s="36">
        <f t="shared" si="107"/>
        <v>0</v>
      </c>
      <c r="AG75" s="400"/>
    </row>
    <row r="76" spans="1:33">
      <c r="B76" s="31" t="s">
        <v>55</v>
      </c>
      <c r="C76" s="36">
        <f>C74*$J$2</f>
        <v>0</v>
      </c>
      <c r="D76" s="36">
        <f t="shared" ref="D76:N76" si="108">D74*$J$2</f>
        <v>0</v>
      </c>
      <c r="E76" s="36">
        <f t="shared" si="108"/>
        <v>0</v>
      </c>
      <c r="F76" s="36">
        <f t="shared" si="108"/>
        <v>0</v>
      </c>
      <c r="G76" s="36">
        <f t="shared" si="108"/>
        <v>0</v>
      </c>
      <c r="H76" s="36">
        <f t="shared" si="108"/>
        <v>0</v>
      </c>
      <c r="I76" s="36">
        <f t="shared" si="108"/>
        <v>0</v>
      </c>
      <c r="J76" s="36">
        <f t="shared" si="108"/>
        <v>0</v>
      </c>
      <c r="K76" s="36">
        <f t="shared" si="108"/>
        <v>0</v>
      </c>
      <c r="L76" s="36">
        <f t="shared" si="108"/>
        <v>0</v>
      </c>
      <c r="M76" s="36">
        <f t="shared" si="108"/>
        <v>0</v>
      </c>
      <c r="N76" s="36">
        <f t="shared" si="108"/>
        <v>0</v>
      </c>
      <c r="O76" s="31">
        <f t="shared" si="52"/>
        <v>0</v>
      </c>
      <c r="T76" s="31" t="s">
        <v>55</v>
      </c>
      <c r="U76" s="36">
        <f>(U74*$J$2)*$S74</f>
        <v>0</v>
      </c>
      <c r="V76" s="36">
        <f t="shared" ref="V76:AF76" si="109">(V74*$J$2)*$S74</f>
        <v>0</v>
      </c>
      <c r="W76" s="36">
        <f t="shared" si="109"/>
        <v>0</v>
      </c>
      <c r="X76" s="36">
        <f t="shared" si="109"/>
        <v>0</v>
      </c>
      <c r="Y76" s="36">
        <f t="shared" si="109"/>
        <v>0</v>
      </c>
      <c r="Z76" s="36">
        <f t="shared" si="109"/>
        <v>0</v>
      </c>
      <c r="AA76" s="36">
        <f t="shared" si="109"/>
        <v>0</v>
      </c>
      <c r="AB76" s="36">
        <f t="shared" si="109"/>
        <v>0</v>
      </c>
      <c r="AC76" s="36">
        <f t="shared" si="109"/>
        <v>0</v>
      </c>
      <c r="AD76" s="36">
        <f t="shared" si="109"/>
        <v>0</v>
      </c>
      <c r="AE76" s="36">
        <f t="shared" si="109"/>
        <v>0</v>
      </c>
      <c r="AF76" s="36">
        <f t="shared" si="109"/>
        <v>0</v>
      </c>
      <c r="AG76" s="400"/>
    </row>
    <row r="77" spans="1:33">
      <c r="B77" s="44" t="s">
        <v>216</v>
      </c>
      <c r="C77" s="397"/>
      <c r="D77" s="397"/>
      <c r="E77" s="397"/>
      <c r="F77" s="397"/>
      <c r="G77" s="397"/>
      <c r="H77" s="385"/>
      <c r="I77" s="30"/>
      <c r="J77" s="30"/>
      <c r="K77" s="30"/>
      <c r="L77" s="30"/>
      <c r="M77" s="30"/>
      <c r="N77" s="30"/>
      <c r="O77" s="31">
        <f t="shared" si="52"/>
        <v>0</v>
      </c>
      <c r="T77" s="44" t="s">
        <v>216</v>
      </c>
      <c r="U77" s="386">
        <f>IF(ROUND((C77*$AA$3),)=1,1,IF($AA$3&gt;1,ROUNDUP((C77*$AA$3),),ROUNDDOWN((C77*$AA$3),)))</f>
        <v>0</v>
      </c>
      <c r="V77" s="386">
        <f t="shared" ref="V77:AF77" si="110">IF(ROUND((D77*$AA$3),)=1,1,IF($AA$3&gt;1,ROUNDUP((D77*$AA$3),),ROUNDDOWN((D77*$AA$3),)))</f>
        <v>0</v>
      </c>
      <c r="W77" s="386">
        <f t="shared" si="110"/>
        <v>0</v>
      </c>
      <c r="X77" s="386">
        <f t="shared" si="110"/>
        <v>0</v>
      </c>
      <c r="Y77" s="386">
        <f t="shared" si="110"/>
        <v>0</v>
      </c>
      <c r="Z77" s="386">
        <f t="shared" si="110"/>
        <v>0</v>
      </c>
      <c r="AA77" s="386">
        <f t="shared" si="110"/>
        <v>0</v>
      </c>
      <c r="AB77" s="386">
        <f t="shared" si="110"/>
        <v>0</v>
      </c>
      <c r="AC77" s="386">
        <f t="shared" si="110"/>
        <v>0</v>
      </c>
      <c r="AD77" s="386">
        <f t="shared" si="110"/>
        <v>0</v>
      </c>
      <c r="AE77" s="386">
        <f t="shared" si="110"/>
        <v>0</v>
      </c>
      <c r="AF77" s="386">
        <f t="shared" si="110"/>
        <v>0</v>
      </c>
      <c r="AG77" s="62">
        <f>SUM(U77:AF77)</f>
        <v>0</v>
      </c>
    </row>
    <row r="78" spans="1:33">
      <c r="C78" s="397"/>
      <c r="D78" s="397"/>
      <c r="E78" s="397"/>
      <c r="F78" s="397"/>
      <c r="G78" s="397"/>
      <c r="H78" s="385"/>
      <c r="I78" s="30"/>
      <c r="J78" s="30"/>
      <c r="K78" s="30"/>
      <c r="L78" s="30"/>
      <c r="M78" s="30"/>
      <c r="N78" s="30"/>
      <c r="O78" s="31">
        <f t="shared" si="52"/>
        <v>0</v>
      </c>
      <c r="U78" s="386">
        <f>ROUNDUP(C78*$AA$4,)</f>
        <v>0</v>
      </c>
      <c r="V78" s="386">
        <f t="shared" ref="V78:AF78" si="111">ROUNDUP(D78*$AA$4,)</f>
        <v>0</v>
      </c>
      <c r="W78" s="386">
        <f t="shared" si="111"/>
        <v>0</v>
      </c>
      <c r="X78" s="386">
        <f t="shared" si="111"/>
        <v>0</v>
      </c>
      <c r="Y78" s="386">
        <f t="shared" si="111"/>
        <v>0</v>
      </c>
      <c r="Z78" s="386">
        <f t="shared" si="111"/>
        <v>0</v>
      </c>
      <c r="AA78" s="386">
        <f t="shared" si="111"/>
        <v>0</v>
      </c>
      <c r="AB78" s="386">
        <f t="shared" si="111"/>
        <v>0</v>
      </c>
      <c r="AC78" s="386">
        <f t="shared" si="111"/>
        <v>0</v>
      </c>
      <c r="AD78" s="386">
        <f t="shared" si="111"/>
        <v>0</v>
      </c>
      <c r="AE78" s="386">
        <f t="shared" si="111"/>
        <v>0</v>
      </c>
      <c r="AF78" s="386">
        <f t="shared" si="111"/>
        <v>0</v>
      </c>
      <c r="AG78" s="387">
        <f>SUM(U78:AF78)</f>
        <v>0</v>
      </c>
    </row>
    <row r="79" spans="1:33">
      <c r="A79" s="54">
        <f>$M$1</f>
        <v>1</v>
      </c>
      <c r="B79" s="31" t="s">
        <v>52</v>
      </c>
      <c r="C79" s="32">
        <f>C77*$C$2</f>
        <v>0</v>
      </c>
      <c r="D79" s="32">
        <f t="shared" ref="D79:N80" si="112">D77*$C$2</f>
        <v>0</v>
      </c>
      <c r="E79" s="32">
        <f t="shared" si="112"/>
        <v>0</v>
      </c>
      <c r="F79" s="32">
        <f t="shared" si="112"/>
        <v>0</v>
      </c>
      <c r="G79" s="32">
        <f t="shared" si="112"/>
        <v>0</v>
      </c>
      <c r="H79" s="32">
        <f t="shared" si="112"/>
        <v>0</v>
      </c>
      <c r="I79" s="32">
        <f t="shared" si="112"/>
        <v>0</v>
      </c>
      <c r="J79" s="32">
        <f t="shared" si="112"/>
        <v>0</v>
      </c>
      <c r="K79" s="32">
        <f t="shared" si="112"/>
        <v>0</v>
      </c>
      <c r="L79" s="32">
        <f t="shared" si="112"/>
        <v>0</v>
      </c>
      <c r="M79" s="32">
        <f t="shared" si="112"/>
        <v>0</v>
      </c>
      <c r="N79" s="32">
        <f t="shared" si="112"/>
        <v>0</v>
      </c>
      <c r="O79" s="31">
        <f t="shared" si="52"/>
        <v>0</v>
      </c>
      <c r="S79" s="54">
        <f>$AE$1</f>
        <v>1.20576662365</v>
      </c>
      <c r="T79" s="31" t="s">
        <v>52</v>
      </c>
      <c r="U79" s="32">
        <f>U77*$C$2</f>
        <v>0</v>
      </c>
      <c r="V79" s="32">
        <f t="shared" ref="V79:AF80" si="113">V77*$C$2</f>
        <v>0</v>
      </c>
      <c r="W79" s="32">
        <f t="shared" si="113"/>
        <v>0</v>
      </c>
      <c r="X79" s="32">
        <f t="shared" si="113"/>
        <v>0</v>
      </c>
      <c r="Y79" s="32">
        <f t="shared" si="113"/>
        <v>0</v>
      </c>
      <c r="Z79" s="32">
        <f t="shared" si="113"/>
        <v>0</v>
      </c>
      <c r="AA79" s="32">
        <f t="shared" si="113"/>
        <v>0</v>
      </c>
      <c r="AB79" s="32">
        <f t="shared" si="113"/>
        <v>0</v>
      </c>
      <c r="AC79" s="32">
        <f t="shared" si="113"/>
        <v>0</v>
      </c>
      <c r="AD79" s="32">
        <f t="shared" si="113"/>
        <v>0</v>
      </c>
      <c r="AE79" s="32">
        <f t="shared" si="113"/>
        <v>0</v>
      </c>
      <c r="AF79" s="32">
        <f t="shared" si="113"/>
        <v>0</v>
      </c>
      <c r="AG79" s="60">
        <f>SUM(U79:AF79)</f>
        <v>0</v>
      </c>
    </row>
    <row r="80" spans="1:33">
      <c r="A80" s="54">
        <f>$M$2</f>
        <v>1</v>
      </c>
      <c r="B80" s="31" t="s">
        <v>53</v>
      </c>
      <c r="C80" s="32">
        <f>C78*$C$2</f>
        <v>0</v>
      </c>
      <c r="D80" s="32">
        <f t="shared" si="112"/>
        <v>0</v>
      </c>
      <c r="E80" s="32">
        <f t="shared" si="112"/>
        <v>0</v>
      </c>
      <c r="F80" s="32">
        <f t="shared" si="112"/>
        <v>0</v>
      </c>
      <c r="G80" s="32">
        <f>G78*$C$2</f>
        <v>0</v>
      </c>
      <c r="H80" s="32">
        <f t="shared" si="112"/>
        <v>0</v>
      </c>
      <c r="I80" s="32">
        <f t="shared" si="112"/>
        <v>0</v>
      </c>
      <c r="J80" s="32">
        <f t="shared" si="112"/>
        <v>0</v>
      </c>
      <c r="K80" s="32">
        <f t="shared" si="112"/>
        <v>0</v>
      </c>
      <c r="L80" s="32">
        <f t="shared" si="112"/>
        <v>0</v>
      </c>
      <c r="M80" s="32">
        <f t="shared" si="112"/>
        <v>0</v>
      </c>
      <c r="N80" s="32">
        <f t="shared" si="112"/>
        <v>0</v>
      </c>
      <c r="O80" s="31">
        <f t="shared" si="52"/>
        <v>0</v>
      </c>
      <c r="S80" s="54">
        <f>$AE$2</f>
        <v>1.20576662365</v>
      </c>
      <c r="T80" s="31" t="s">
        <v>53</v>
      </c>
      <c r="U80" s="32">
        <f>U78*$C$2</f>
        <v>0</v>
      </c>
      <c r="V80" s="32">
        <f t="shared" si="113"/>
        <v>0</v>
      </c>
      <c r="W80" s="32">
        <f t="shared" si="113"/>
        <v>0</v>
      </c>
      <c r="X80" s="32">
        <f t="shared" si="113"/>
        <v>0</v>
      </c>
      <c r="Y80" s="32">
        <f t="shared" si="113"/>
        <v>0</v>
      </c>
      <c r="Z80" s="32">
        <f t="shared" si="113"/>
        <v>0</v>
      </c>
      <c r="AA80" s="32">
        <f t="shared" si="113"/>
        <v>0</v>
      </c>
      <c r="AB80" s="32">
        <f t="shared" si="113"/>
        <v>0</v>
      </c>
      <c r="AC80" s="32">
        <f t="shared" si="113"/>
        <v>0</v>
      </c>
      <c r="AD80" s="32">
        <f t="shared" si="113"/>
        <v>0</v>
      </c>
      <c r="AE80" s="32">
        <f t="shared" si="113"/>
        <v>0</v>
      </c>
      <c r="AF80" s="32">
        <f t="shared" si="113"/>
        <v>0</v>
      </c>
      <c r="AG80" s="60">
        <f t="shared" ref="AG80:AG82" si="114">SUM(U80:AF80)</f>
        <v>0</v>
      </c>
    </row>
    <row r="81" spans="1:33">
      <c r="B81" s="31" t="s">
        <v>54</v>
      </c>
      <c r="C81" s="36">
        <f>C79*$J$1</f>
        <v>0</v>
      </c>
      <c r="D81" s="36">
        <f t="shared" ref="D81:N81" si="115">D79*$J$1</f>
        <v>0</v>
      </c>
      <c r="E81" s="36">
        <f t="shared" si="115"/>
        <v>0</v>
      </c>
      <c r="F81" s="36">
        <f t="shared" si="115"/>
        <v>0</v>
      </c>
      <c r="G81" s="36">
        <f t="shared" si="115"/>
        <v>0</v>
      </c>
      <c r="H81" s="36">
        <f t="shared" si="115"/>
        <v>0</v>
      </c>
      <c r="I81" s="36">
        <f t="shared" si="115"/>
        <v>0</v>
      </c>
      <c r="J81" s="36">
        <f t="shared" si="115"/>
        <v>0</v>
      </c>
      <c r="K81" s="36">
        <f t="shared" si="115"/>
        <v>0</v>
      </c>
      <c r="L81" s="36">
        <f t="shared" si="115"/>
        <v>0</v>
      </c>
      <c r="M81" s="36">
        <f t="shared" si="115"/>
        <v>0</v>
      </c>
      <c r="N81" s="36">
        <f t="shared" si="115"/>
        <v>0</v>
      </c>
      <c r="O81" s="31">
        <f t="shared" si="52"/>
        <v>0</v>
      </c>
      <c r="T81" s="31" t="s">
        <v>54</v>
      </c>
      <c r="U81" s="36">
        <f>(U79*$J$1)*$S79</f>
        <v>0</v>
      </c>
      <c r="V81" s="36">
        <f t="shared" ref="V81:AF81" si="116">(V79*$J$1)*$S79</f>
        <v>0</v>
      </c>
      <c r="W81" s="36">
        <f t="shared" si="116"/>
        <v>0</v>
      </c>
      <c r="X81" s="36">
        <f t="shared" si="116"/>
        <v>0</v>
      </c>
      <c r="Y81" s="36">
        <f t="shared" si="116"/>
        <v>0</v>
      </c>
      <c r="Z81" s="36">
        <f t="shared" si="116"/>
        <v>0</v>
      </c>
      <c r="AA81" s="36">
        <f t="shared" si="116"/>
        <v>0</v>
      </c>
      <c r="AB81" s="36">
        <f t="shared" si="116"/>
        <v>0</v>
      </c>
      <c r="AC81" s="36">
        <f t="shared" si="116"/>
        <v>0</v>
      </c>
      <c r="AD81" s="36">
        <f t="shared" si="116"/>
        <v>0</v>
      </c>
      <c r="AE81" s="36">
        <f t="shared" si="116"/>
        <v>0</v>
      </c>
      <c r="AF81" s="36">
        <f t="shared" si="116"/>
        <v>0</v>
      </c>
      <c r="AG81" s="60">
        <f t="shared" si="114"/>
        <v>0</v>
      </c>
    </row>
    <row r="82" spans="1:33">
      <c r="B82" s="31" t="s">
        <v>55</v>
      </c>
      <c r="C82" s="36">
        <f>C80*$J$2</f>
        <v>0</v>
      </c>
      <c r="D82" s="36">
        <f t="shared" ref="D82:N82" si="117">D80*$J$2</f>
        <v>0</v>
      </c>
      <c r="E82" s="36">
        <f t="shared" si="117"/>
        <v>0</v>
      </c>
      <c r="F82" s="36">
        <f t="shared" si="117"/>
        <v>0</v>
      </c>
      <c r="G82" s="36">
        <f t="shared" si="117"/>
        <v>0</v>
      </c>
      <c r="H82" s="36">
        <f t="shared" si="117"/>
        <v>0</v>
      </c>
      <c r="I82" s="36">
        <f t="shared" si="117"/>
        <v>0</v>
      </c>
      <c r="J82" s="36">
        <f t="shared" si="117"/>
        <v>0</v>
      </c>
      <c r="K82" s="36">
        <f t="shared" si="117"/>
        <v>0</v>
      </c>
      <c r="L82" s="36">
        <f t="shared" si="117"/>
        <v>0</v>
      </c>
      <c r="M82" s="36">
        <f t="shared" si="117"/>
        <v>0</v>
      </c>
      <c r="N82" s="36">
        <f t="shared" si="117"/>
        <v>0</v>
      </c>
      <c r="O82" s="31">
        <f t="shared" si="52"/>
        <v>0</v>
      </c>
      <c r="T82" s="31" t="s">
        <v>55</v>
      </c>
      <c r="U82" s="36">
        <f>(U80*$J$2)*$S80</f>
        <v>0</v>
      </c>
      <c r="V82" s="36">
        <f t="shared" ref="V82:AF82" si="118">(V80*$J$2)*$S80</f>
        <v>0</v>
      </c>
      <c r="W82" s="36">
        <f t="shared" si="118"/>
        <v>0</v>
      </c>
      <c r="X82" s="36">
        <f t="shared" si="118"/>
        <v>0</v>
      </c>
      <c r="Y82" s="36">
        <f t="shared" si="118"/>
        <v>0</v>
      </c>
      <c r="Z82" s="36">
        <f t="shared" si="118"/>
        <v>0</v>
      </c>
      <c r="AA82" s="36">
        <f t="shared" si="118"/>
        <v>0</v>
      </c>
      <c r="AB82" s="36">
        <f t="shared" si="118"/>
        <v>0</v>
      </c>
      <c r="AC82" s="36">
        <f t="shared" si="118"/>
        <v>0</v>
      </c>
      <c r="AD82" s="36">
        <f t="shared" si="118"/>
        <v>0</v>
      </c>
      <c r="AE82" s="36">
        <f t="shared" si="118"/>
        <v>0</v>
      </c>
      <c r="AF82" s="36">
        <f t="shared" si="118"/>
        <v>0</v>
      </c>
      <c r="AG82" s="60">
        <f t="shared" si="114"/>
        <v>0</v>
      </c>
    </row>
    <row r="83" spans="1:33">
      <c r="B83" s="44" t="s">
        <v>217</v>
      </c>
      <c r="C83" s="397">
        <v>67</v>
      </c>
      <c r="D83" s="397">
        <v>72</v>
      </c>
      <c r="E83" s="397">
        <v>80</v>
      </c>
      <c r="F83" s="397">
        <v>84</v>
      </c>
      <c r="G83" s="397">
        <v>84</v>
      </c>
      <c r="H83" s="384">
        <v>80</v>
      </c>
      <c r="I83" s="30">
        <v>74</v>
      </c>
      <c r="J83" s="30">
        <v>72</v>
      </c>
      <c r="K83" s="30">
        <v>84</v>
      </c>
      <c r="L83" s="30">
        <v>68</v>
      </c>
      <c r="M83" s="30">
        <v>70</v>
      </c>
      <c r="N83" s="30">
        <v>74</v>
      </c>
      <c r="O83" s="31">
        <f t="shared" si="52"/>
        <v>909</v>
      </c>
      <c r="T83" s="44" t="s">
        <v>217</v>
      </c>
      <c r="U83" s="386">
        <f>IF(ROUND((C83*$AA$3),)=1,1,IF($AA$3&gt;1,ROUNDUP((C83*$AA$3),),ROUNDDOWN((C83*$AA$3),)))</f>
        <v>67</v>
      </c>
      <c r="V83" s="386">
        <f t="shared" ref="V83:AF83" si="119">IF(ROUND((D83*$AA$3),)=1,1,IF($AA$3&gt;1,ROUNDUP((D83*$AA$3),),ROUNDDOWN((D83*$AA$3),)))</f>
        <v>72</v>
      </c>
      <c r="W83" s="386">
        <f t="shared" si="119"/>
        <v>80</v>
      </c>
      <c r="X83" s="386">
        <f t="shared" si="119"/>
        <v>84</v>
      </c>
      <c r="Y83" s="386">
        <f t="shared" si="119"/>
        <v>84</v>
      </c>
      <c r="Z83" s="386">
        <f t="shared" si="119"/>
        <v>80</v>
      </c>
      <c r="AA83" s="386">
        <f t="shared" si="119"/>
        <v>74</v>
      </c>
      <c r="AB83" s="386">
        <f t="shared" si="119"/>
        <v>72</v>
      </c>
      <c r="AC83" s="386">
        <f t="shared" si="119"/>
        <v>84</v>
      </c>
      <c r="AD83" s="386">
        <f t="shared" si="119"/>
        <v>68</v>
      </c>
      <c r="AE83" s="386">
        <f t="shared" si="119"/>
        <v>70</v>
      </c>
      <c r="AF83" s="386">
        <f t="shared" si="119"/>
        <v>74</v>
      </c>
      <c r="AG83" s="62">
        <f t="shared" ref="AG83:AG94" si="120">SUM(U83:AF83)</f>
        <v>909</v>
      </c>
    </row>
    <row r="84" spans="1:33">
      <c r="C84" s="397">
        <v>170669</v>
      </c>
      <c r="D84" s="397">
        <v>138361</v>
      </c>
      <c r="E84" s="397">
        <v>168021</v>
      </c>
      <c r="F84" s="397">
        <v>148690</v>
      </c>
      <c r="G84" s="397">
        <v>213973.07462686568</v>
      </c>
      <c r="H84" s="385">
        <v>153734.44444444444</v>
      </c>
      <c r="I84" s="30">
        <v>155419.42499999999</v>
      </c>
      <c r="J84" s="30">
        <v>127448.57142857143</v>
      </c>
      <c r="K84" s="30">
        <v>213973.07462686568</v>
      </c>
      <c r="L84" s="30">
        <v>130674.27777777778</v>
      </c>
      <c r="M84" s="30">
        <v>147018.375</v>
      </c>
      <c r="N84" s="30">
        <v>130988.80952380953</v>
      </c>
      <c r="O84" s="31">
        <f t="shared" si="52"/>
        <v>1898971.0524283345</v>
      </c>
      <c r="U84" s="386">
        <f>ROUNDUP(C84*$AA$4,)</f>
        <v>179203</v>
      </c>
      <c r="V84" s="386">
        <f t="shared" ref="V84:AF84" si="121">ROUNDUP(D84*$AA$4,)</f>
        <v>145280</v>
      </c>
      <c r="W84" s="386">
        <f t="shared" si="121"/>
        <v>176423</v>
      </c>
      <c r="X84" s="386">
        <f t="shared" si="121"/>
        <v>156125</v>
      </c>
      <c r="Y84" s="386">
        <f t="shared" si="121"/>
        <v>224672</v>
      </c>
      <c r="Z84" s="386">
        <f t="shared" si="121"/>
        <v>161422</v>
      </c>
      <c r="AA84" s="386">
        <f t="shared" si="121"/>
        <v>163191</v>
      </c>
      <c r="AB84" s="386">
        <f t="shared" si="121"/>
        <v>133821</v>
      </c>
      <c r="AC84" s="386">
        <f t="shared" si="121"/>
        <v>224672</v>
      </c>
      <c r="AD84" s="386">
        <f t="shared" si="121"/>
        <v>137208</v>
      </c>
      <c r="AE84" s="386">
        <f t="shared" si="121"/>
        <v>154370</v>
      </c>
      <c r="AF84" s="386">
        <f t="shared" si="121"/>
        <v>137539</v>
      </c>
      <c r="AG84" s="387">
        <f t="shared" si="120"/>
        <v>1993926</v>
      </c>
    </row>
    <row r="85" spans="1:33">
      <c r="A85" s="54">
        <f>$M$1</f>
        <v>1</v>
      </c>
      <c r="B85" s="31" t="s">
        <v>52</v>
      </c>
      <c r="C85" s="32">
        <f>C83*$C$2</f>
        <v>150.75</v>
      </c>
      <c r="D85" s="32">
        <f t="shared" ref="D85:N86" si="122">D83*$C$2</f>
        <v>162</v>
      </c>
      <c r="E85" s="32">
        <f t="shared" si="122"/>
        <v>180</v>
      </c>
      <c r="F85" s="32">
        <f t="shared" si="122"/>
        <v>189</v>
      </c>
      <c r="G85" s="32">
        <f t="shared" si="122"/>
        <v>189</v>
      </c>
      <c r="H85" s="32">
        <f t="shared" si="122"/>
        <v>180</v>
      </c>
      <c r="I85" s="32">
        <f>I83*$C$2</f>
        <v>166.5</v>
      </c>
      <c r="J85" s="32">
        <f t="shared" ref="J85:N85" si="123">J83*$C$2</f>
        <v>162</v>
      </c>
      <c r="K85" s="32">
        <f t="shared" si="123"/>
        <v>189</v>
      </c>
      <c r="L85" s="32">
        <f t="shared" si="123"/>
        <v>153</v>
      </c>
      <c r="M85" s="32">
        <f t="shared" si="123"/>
        <v>157.5</v>
      </c>
      <c r="N85" s="32">
        <f t="shared" si="123"/>
        <v>166.5</v>
      </c>
      <c r="O85" s="31">
        <f t="shared" si="52"/>
        <v>2045.25</v>
      </c>
      <c r="S85" s="54">
        <f>$AE$1</f>
        <v>1.20576662365</v>
      </c>
      <c r="T85" s="31" t="s">
        <v>52</v>
      </c>
      <c r="U85" s="32">
        <f>U83*$C$2</f>
        <v>150.75</v>
      </c>
      <c r="V85" s="32">
        <f t="shared" ref="V85:AF86" si="124">V83*$C$2</f>
        <v>162</v>
      </c>
      <c r="W85" s="32">
        <f t="shared" si="124"/>
        <v>180</v>
      </c>
      <c r="X85" s="32">
        <f t="shared" si="124"/>
        <v>189</v>
      </c>
      <c r="Y85" s="32">
        <f t="shared" si="124"/>
        <v>189</v>
      </c>
      <c r="Z85" s="32">
        <f t="shared" si="124"/>
        <v>180</v>
      </c>
      <c r="AA85" s="32">
        <f t="shared" si="124"/>
        <v>166.5</v>
      </c>
      <c r="AB85" s="32">
        <f t="shared" si="124"/>
        <v>162</v>
      </c>
      <c r="AC85" s="32">
        <f t="shared" si="124"/>
        <v>189</v>
      </c>
      <c r="AD85" s="32">
        <f t="shared" si="124"/>
        <v>153</v>
      </c>
      <c r="AE85" s="32">
        <f t="shared" si="124"/>
        <v>157.5</v>
      </c>
      <c r="AF85" s="32">
        <f t="shared" si="124"/>
        <v>166.5</v>
      </c>
      <c r="AG85" s="60">
        <f t="shared" si="120"/>
        <v>2045.25</v>
      </c>
    </row>
    <row r="86" spans="1:33">
      <c r="A86" s="54">
        <f>$M$2</f>
        <v>1</v>
      </c>
      <c r="B86" s="31" t="s">
        <v>53</v>
      </c>
      <c r="C86" s="32">
        <f>C84*$C$2</f>
        <v>384005.25</v>
      </c>
      <c r="D86" s="32">
        <f t="shared" si="122"/>
        <v>311312.25</v>
      </c>
      <c r="E86" s="32">
        <f t="shared" si="122"/>
        <v>378047.25</v>
      </c>
      <c r="F86" s="32">
        <f t="shared" si="122"/>
        <v>334552.5</v>
      </c>
      <c r="G86" s="32">
        <f>G84*$C$2</f>
        <v>481439.41791044781</v>
      </c>
      <c r="H86" s="32">
        <f t="shared" si="122"/>
        <v>345902.5</v>
      </c>
      <c r="I86" s="32">
        <f t="shared" si="122"/>
        <v>349693.70624999999</v>
      </c>
      <c r="J86" s="32">
        <f t="shared" si="122"/>
        <v>286759.28571428574</v>
      </c>
      <c r="K86" s="32">
        <f t="shared" si="122"/>
        <v>481439.41791044781</v>
      </c>
      <c r="L86" s="32">
        <f t="shared" si="122"/>
        <v>294017.125</v>
      </c>
      <c r="M86" s="32">
        <f t="shared" si="122"/>
        <v>330791.34375</v>
      </c>
      <c r="N86" s="32">
        <f t="shared" si="122"/>
        <v>294724.82142857142</v>
      </c>
      <c r="O86" s="31">
        <f t="shared" si="52"/>
        <v>4272684.8679637527</v>
      </c>
      <c r="S86" s="54">
        <f>$AE$2</f>
        <v>1.20576662365</v>
      </c>
      <c r="T86" s="31" t="s">
        <v>53</v>
      </c>
      <c r="U86" s="32">
        <f>U84*$C$2</f>
        <v>403206.75</v>
      </c>
      <c r="V86" s="32">
        <f t="shared" si="124"/>
        <v>326880</v>
      </c>
      <c r="W86" s="32">
        <f t="shared" si="124"/>
        <v>396951.75</v>
      </c>
      <c r="X86" s="32">
        <f t="shared" si="124"/>
        <v>351281.25</v>
      </c>
      <c r="Y86" s="32">
        <f t="shared" si="124"/>
        <v>505512</v>
      </c>
      <c r="Z86" s="32">
        <f t="shared" si="124"/>
        <v>363199.5</v>
      </c>
      <c r="AA86" s="32">
        <f t="shared" si="124"/>
        <v>367179.75</v>
      </c>
      <c r="AB86" s="32">
        <f t="shared" si="124"/>
        <v>301097.25</v>
      </c>
      <c r="AC86" s="32">
        <f t="shared" si="124"/>
        <v>505512</v>
      </c>
      <c r="AD86" s="32">
        <f t="shared" si="124"/>
        <v>308718</v>
      </c>
      <c r="AE86" s="32">
        <f t="shared" si="124"/>
        <v>347332.5</v>
      </c>
      <c r="AF86" s="32">
        <f t="shared" si="124"/>
        <v>309462.75</v>
      </c>
      <c r="AG86" s="60">
        <f t="shared" si="120"/>
        <v>4486333.5</v>
      </c>
    </row>
    <row r="87" spans="1:33">
      <c r="B87" s="31" t="s">
        <v>54</v>
      </c>
      <c r="C87" s="36">
        <f>C85*$J$1</f>
        <v>95255910</v>
      </c>
      <c r="D87" s="36">
        <f t="shared" ref="D87:N87" si="125">D85*$J$1</f>
        <v>102364560</v>
      </c>
      <c r="E87" s="36">
        <f t="shared" si="125"/>
        <v>113738400</v>
      </c>
      <c r="F87" s="36">
        <f t="shared" si="125"/>
        <v>119425320</v>
      </c>
      <c r="G87" s="36">
        <f t="shared" si="125"/>
        <v>119425320</v>
      </c>
      <c r="H87" s="36">
        <f t="shared" si="125"/>
        <v>113738400</v>
      </c>
      <c r="I87" s="36">
        <f t="shared" si="125"/>
        <v>105208020</v>
      </c>
      <c r="J87" s="36">
        <f t="shared" si="125"/>
        <v>102364560</v>
      </c>
      <c r="K87" s="36">
        <f t="shared" si="125"/>
        <v>119425320</v>
      </c>
      <c r="L87" s="36">
        <f t="shared" si="125"/>
        <v>96677640</v>
      </c>
      <c r="M87" s="36">
        <f t="shared" si="125"/>
        <v>99521100</v>
      </c>
      <c r="N87" s="36">
        <f t="shared" si="125"/>
        <v>105208020</v>
      </c>
      <c r="O87" s="31">
        <f t="shared" si="52"/>
        <v>1292352570</v>
      </c>
      <c r="T87" s="31" t="s">
        <v>54</v>
      </c>
      <c r="U87" s="36">
        <f>(U85*$J$1)*$S85</f>
        <v>114856396.98340827</v>
      </c>
      <c r="V87" s="36">
        <f t="shared" ref="V87:AF87" si="126">(V85*$J$1)*$S85</f>
        <v>123427769.89261784</v>
      </c>
      <c r="W87" s="36">
        <f t="shared" si="126"/>
        <v>137141966.54735315</v>
      </c>
      <c r="X87" s="36">
        <f t="shared" si="126"/>
        <v>143999064.87472081</v>
      </c>
      <c r="Y87" s="36">
        <f t="shared" si="126"/>
        <v>143999064.87472081</v>
      </c>
      <c r="Z87" s="36">
        <f t="shared" si="126"/>
        <v>137141966.54735315</v>
      </c>
      <c r="AA87" s="36">
        <f t="shared" si="126"/>
        <v>126856319.05630167</v>
      </c>
      <c r="AB87" s="36">
        <f t="shared" si="126"/>
        <v>123427769.89261784</v>
      </c>
      <c r="AC87" s="36">
        <f t="shared" si="126"/>
        <v>143999064.87472081</v>
      </c>
      <c r="AD87" s="36">
        <f t="shared" si="126"/>
        <v>116570671.56525019</v>
      </c>
      <c r="AE87" s="36">
        <f t="shared" si="126"/>
        <v>119999220.72893402</v>
      </c>
      <c r="AF87" s="36">
        <f t="shared" si="126"/>
        <v>126856319.05630167</v>
      </c>
      <c r="AG87" s="60">
        <f t="shared" si="120"/>
        <v>1558275594.8943</v>
      </c>
    </row>
    <row r="88" spans="1:33">
      <c r="B88" s="31" t="s">
        <v>55</v>
      </c>
      <c r="C88" s="36">
        <f>C86*$J$2</f>
        <v>69504950.25</v>
      </c>
      <c r="D88" s="36">
        <f t="shared" ref="D88:N88" si="127">D86*$J$2</f>
        <v>56347517.25</v>
      </c>
      <c r="E88" s="36">
        <f t="shared" si="127"/>
        <v>68426552.25</v>
      </c>
      <c r="F88" s="36">
        <f t="shared" si="127"/>
        <v>60554002.5</v>
      </c>
      <c r="G88" s="36">
        <f t="shared" si="127"/>
        <v>87140534.641791061</v>
      </c>
      <c r="H88" s="36">
        <f t="shared" si="127"/>
        <v>62608352.5</v>
      </c>
      <c r="I88" s="36">
        <f t="shared" si="127"/>
        <v>63294560.831249997</v>
      </c>
      <c r="J88" s="36">
        <f t="shared" si="127"/>
        <v>51903430.714285716</v>
      </c>
      <c r="K88" s="36">
        <f t="shared" si="127"/>
        <v>87140534.641791061</v>
      </c>
      <c r="L88" s="36">
        <f t="shared" si="127"/>
        <v>53217099.625</v>
      </c>
      <c r="M88" s="36">
        <f t="shared" si="127"/>
        <v>59873233.21875</v>
      </c>
      <c r="N88" s="36">
        <f t="shared" si="127"/>
        <v>53345192.678571425</v>
      </c>
      <c r="O88" s="31">
        <f t="shared" si="52"/>
        <v>773355961.10143936</v>
      </c>
      <c r="T88" s="31" t="s">
        <v>55</v>
      </c>
      <c r="U88" s="36">
        <f>(U86*$J$2)*$S86</f>
        <v>87997356.726050526</v>
      </c>
      <c r="V88" s="36">
        <f t="shared" ref="V88:AF88" si="128">(V86*$J$2)*$S86</f>
        <v>71339519.902906865</v>
      </c>
      <c r="W88" s="36">
        <f t="shared" si="128"/>
        <v>86632242.014252052</v>
      </c>
      <c r="X88" s="36">
        <f t="shared" si="128"/>
        <v>76664940.424293324</v>
      </c>
      <c r="Y88" s="36">
        <f t="shared" si="128"/>
        <v>110324839.03927514</v>
      </c>
      <c r="Z88" s="36">
        <f t="shared" si="128"/>
        <v>79266024.103572637</v>
      </c>
      <c r="AA88" s="36">
        <f t="shared" si="128"/>
        <v>80134688.824857339</v>
      </c>
      <c r="AB88" s="36">
        <f t="shared" si="128"/>
        <v>65712595.628626794</v>
      </c>
      <c r="AC88" s="36">
        <f t="shared" si="128"/>
        <v>110324839.03927514</v>
      </c>
      <c r="AD88" s="36">
        <f t="shared" si="128"/>
        <v>67375776.754116505</v>
      </c>
      <c r="AE88" s="36">
        <f t="shared" si="128"/>
        <v>75803150.38141337</v>
      </c>
      <c r="AF88" s="36">
        <f t="shared" si="128"/>
        <v>67538313.793542877</v>
      </c>
      <c r="AG88" s="60">
        <f t="shared" si="120"/>
        <v>979114286.6321826</v>
      </c>
    </row>
    <row r="89" spans="1:33">
      <c r="B89" s="44" t="s">
        <v>218</v>
      </c>
      <c r="C89" s="397"/>
      <c r="D89" s="397"/>
      <c r="E89" s="397"/>
      <c r="F89" s="397"/>
      <c r="G89" s="397"/>
      <c r="H89" s="384"/>
      <c r="I89" s="30"/>
      <c r="J89" s="30"/>
      <c r="K89" s="30"/>
      <c r="L89" s="30"/>
      <c r="M89" s="30"/>
      <c r="N89" s="30"/>
      <c r="O89" s="62">
        <f t="shared" ref="O89:O94" si="129">SUM(C89:N89)</f>
        <v>0</v>
      </c>
      <c r="T89" s="44" t="s">
        <v>219</v>
      </c>
      <c r="U89" s="386">
        <f>IF(ROUND((C89*$AA$3),)=1,1,IF($AA$3&gt;1,ROUNDUP((C89*$AA$3),),ROUNDDOWN((C89*$AA$3),)))</f>
        <v>0</v>
      </c>
      <c r="V89" s="386">
        <f t="shared" ref="V89:AF89" si="130">IF(ROUND((D89*$AA$3),)=1,1,IF($AA$3&gt;1,ROUNDUP((D89*$AA$3),),ROUNDDOWN((D89*$AA$3),)))</f>
        <v>0</v>
      </c>
      <c r="W89" s="386">
        <f t="shared" si="130"/>
        <v>0</v>
      </c>
      <c r="X89" s="386">
        <f t="shared" si="130"/>
        <v>0</v>
      </c>
      <c r="Y89" s="386">
        <f t="shared" si="130"/>
        <v>0</v>
      </c>
      <c r="Z89" s="386">
        <f t="shared" si="130"/>
        <v>0</v>
      </c>
      <c r="AA89" s="386">
        <f t="shared" si="130"/>
        <v>0</v>
      </c>
      <c r="AB89" s="386">
        <f t="shared" si="130"/>
        <v>0</v>
      </c>
      <c r="AC89" s="386">
        <f t="shared" si="130"/>
        <v>0</v>
      </c>
      <c r="AD89" s="386">
        <f t="shared" si="130"/>
        <v>0</v>
      </c>
      <c r="AE89" s="386">
        <f t="shared" si="130"/>
        <v>0</v>
      </c>
      <c r="AF89" s="386">
        <f t="shared" si="130"/>
        <v>0</v>
      </c>
      <c r="AG89" s="62">
        <f t="shared" si="120"/>
        <v>0</v>
      </c>
    </row>
    <row r="90" spans="1:33">
      <c r="C90" s="397"/>
      <c r="D90" s="397"/>
      <c r="E90" s="397"/>
      <c r="F90" s="397"/>
      <c r="G90" s="397"/>
      <c r="H90" s="384"/>
      <c r="I90" s="30"/>
      <c r="J90" s="30"/>
      <c r="K90" s="30"/>
      <c r="L90" s="30"/>
      <c r="M90" s="30"/>
      <c r="N90" s="30"/>
      <c r="O90" s="62">
        <f t="shared" si="129"/>
        <v>0</v>
      </c>
      <c r="U90" s="386">
        <f>ROUNDUP(C90*$AA$4,)</f>
        <v>0</v>
      </c>
      <c r="V90" s="386">
        <f t="shared" ref="V90:AF90" si="131">ROUNDUP(D90*$AA$4,)</f>
        <v>0</v>
      </c>
      <c r="W90" s="386">
        <f t="shared" si="131"/>
        <v>0</v>
      </c>
      <c r="X90" s="386">
        <f t="shared" si="131"/>
        <v>0</v>
      </c>
      <c r="Y90" s="386">
        <f t="shared" si="131"/>
        <v>0</v>
      </c>
      <c r="Z90" s="386">
        <f t="shared" si="131"/>
        <v>0</v>
      </c>
      <c r="AA90" s="386">
        <f t="shared" si="131"/>
        <v>0</v>
      </c>
      <c r="AB90" s="386">
        <f t="shared" si="131"/>
        <v>0</v>
      </c>
      <c r="AC90" s="386">
        <f t="shared" si="131"/>
        <v>0</v>
      </c>
      <c r="AD90" s="386">
        <f t="shared" si="131"/>
        <v>0</v>
      </c>
      <c r="AE90" s="386">
        <f t="shared" si="131"/>
        <v>0</v>
      </c>
      <c r="AF90" s="386">
        <f t="shared" si="131"/>
        <v>0</v>
      </c>
      <c r="AG90" s="62">
        <f t="shared" si="120"/>
        <v>0</v>
      </c>
    </row>
    <row r="91" spans="1:33">
      <c r="A91" s="54">
        <f>$M$1</f>
        <v>1</v>
      </c>
      <c r="B91" s="31" t="s">
        <v>52</v>
      </c>
      <c r="C91" s="32">
        <f>C89*$C$2</f>
        <v>0</v>
      </c>
      <c r="D91" s="32">
        <f t="shared" ref="D91:N92" si="132">D89*$C$2</f>
        <v>0</v>
      </c>
      <c r="E91" s="32">
        <f t="shared" si="132"/>
        <v>0</v>
      </c>
      <c r="F91" s="32">
        <f t="shared" si="132"/>
        <v>0</v>
      </c>
      <c r="G91" s="32">
        <f t="shared" si="132"/>
        <v>0</v>
      </c>
      <c r="H91" s="32">
        <f t="shared" si="132"/>
        <v>0</v>
      </c>
      <c r="I91" s="32">
        <f t="shared" si="132"/>
        <v>0</v>
      </c>
      <c r="J91" s="32">
        <f t="shared" si="132"/>
        <v>0</v>
      </c>
      <c r="K91" s="32">
        <f t="shared" si="132"/>
        <v>0</v>
      </c>
      <c r="L91" s="32">
        <f t="shared" si="132"/>
        <v>0</v>
      </c>
      <c r="M91" s="32">
        <f t="shared" si="132"/>
        <v>0</v>
      </c>
      <c r="N91" s="32">
        <f t="shared" si="132"/>
        <v>0</v>
      </c>
      <c r="O91" s="60">
        <f t="shared" si="129"/>
        <v>0</v>
      </c>
      <c r="S91" s="54">
        <f>$AE$1</f>
        <v>1.20576662365</v>
      </c>
      <c r="T91" s="31" t="s">
        <v>52</v>
      </c>
      <c r="U91" s="32">
        <f>U89*$C$2</f>
        <v>0</v>
      </c>
      <c r="V91" s="32">
        <f t="shared" ref="V91:AF92" si="133">V89*$C$2</f>
        <v>0</v>
      </c>
      <c r="W91" s="32">
        <f t="shared" si="133"/>
        <v>0</v>
      </c>
      <c r="X91" s="32">
        <f t="shared" si="133"/>
        <v>0</v>
      </c>
      <c r="Y91" s="32">
        <f t="shared" si="133"/>
        <v>0</v>
      </c>
      <c r="Z91" s="32">
        <f t="shared" si="133"/>
        <v>0</v>
      </c>
      <c r="AA91" s="32">
        <f t="shared" si="133"/>
        <v>0</v>
      </c>
      <c r="AB91" s="32">
        <f t="shared" si="133"/>
        <v>0</v>
      </c>
      <c r="AC91" s="32">
        <f t="shared" si="133"/>
        <v>0</v>
      </c>
      <c r="AD91" s="32">
        <f t="shared" si="133"/>
        <v>0</v>
      </c>
      <c r="AE91" s="32">
        <f t="shared" si="133"/>
        <v>0</v>
      </c>
      <c r="AF91" s="32">
        <f t="shared" si="133"/>
        <v>0</v>
      </c>
      <c r="AG91" s="60">
        <f t="shared" si="120"/>
        <v>0</v>
      </c>
    </row>
    <row r="92" spans="1:33">
      <c r="A92" s="54">
        <f>$M$2</f>
        <v>1</v>
      </c>
      <c r="B92" s="31" t="s">
        <v>53</v>
      </c>
      <c r="C92" s="32">
        <f>C90*$C$2</f>
        <v>0</v>
      </c>
      <c r="D92" s="32">
        <f t="shared" si="132"/>
        <v>0</v>
      </c>
      <c r="E92" s="32">
        <f t="shared" si="132"/>
        <v>0</v>
      </c>
      <c r="F92" s="32">
        <f t="shared" si="132"/>
        <v>0</v>
      </c>
      <c r="G92" s="32">
        <f t="shared" si="132"/>
        <v>0</v>
      </c>
      <c r="H92" s="32">
        <f t="shared" si="132"/>
        <v>0</v>
      </c>
      <c r="I92" s="32">
        <f t="shared" si="132"/>
        <v>0</v>
      </c>
      <c r="J92" s="32">
        <f t="shared" si="132"/>
        <v>0</v>
      </c>
      <c r="K92" s="32">
        <f t="shared" si="132"/>
        <v>0</v>
      </c>
      <c r="L92" s="32">
        <f t="shared" si="132"/>
        <v>0</v>
      </c>
      <c r="M92" s="32">
        <f t="shared" si="132"/>
        <v>0</v>
      </c>
      <c r="N92" s="32">
        <f t="shared" si="132"/>
        <v>0</v>
      </c>
      <c r="O92" s="60">
        <f t="shared" si="129"/>
        <v>0</v>
      </c>
      <c r="S92" s="54">
        <f>$AE$2</f>
        <v>1.20576662365</v>
      </c>
      <c r="T92" s="31" t="s">
        <v>53</v>
      </c>
      <c r="U92" s="32">
        <f>U90*$C$2</f>
        <v>0</v>
      </c>
      <c r="V92" s="32">
        <f t="shared" si="133"/>
        <v>0</v>
      </c>
      <c r="W92" s="32">
        <f t="shared" si="133"/>
        <v>0</v>
      </c>
      <c r="X92" s="32">
        <f t="shared" si="133"/>
        <v>0</v>
      </c>
      <c r="Y92" s="32">
        <f t="shared" si="133"/>
        <v>0</v>
      </c>
      <c r="Z92" s="32">
        <f t="shared" si="133"/>
        <v>0</v>
      </c>
      <c r="AA92" s="32">
        <f t="shared" si="133"/>
        <v>0</v>
      </c>
      <c r="AB92" s="32">
        <f t="shared" si="133"/>
        <v>0</v>
      </c>
      <c r="AC92" s="32">
        <f t="shared" si="133"/>
        <v>0</v>
      </c>
      <c r="AD92" s="32">
        <f t="shared" si="133"/>
        <v>0</v>
      </c>
      <c r="AE92" s="32">
        <f t="shared" si="133"/>
        <v>0</v>
      </c>
      <c r="AF92" s="32">
        <f t="shared" si="133"/>
        <v>0</v>
      </c>
      <c r="AG92" s="60">
        <f t="shared" si="120"/>
        <v>0</v>
      </c>
    </row>
    <row r="93" spans="1:33">
      <c r="B93" s="31" t="s">
        <v>54</v>
      </c>
      <c r="C93" s="36">
        <f>C91*$J$1</f>
        <v>0</v>
      </c>
      <c r="D93" s="36">
        <f t="shared" ref="D93:N93" si="134">D91*$J$1</f>
        <v>0</v>
      </c>
      <c r="E93" s="36">
        <f t="shared" si="134"/>
        <v>0</v>
      </c>
      <c r="F93" s="36">
        <f t="shared" si="134"/>
        <v>0</v>
      </c>
      <c r="G93" s="36">
        <f t="shared" si="134"/>
        <v>0</v>
      </c>
      <c r="H93" s="36">
        <f t="shared" si="134"/>
        <v>0</v>
      </c>
      <c r="I93" s="36">
        <f t="shared" si="134"/>
        <v>0</v>
      </c>
      <c r="J93" s="36">
        <f t="shared" si="134"/>
        <v>0</v>
      </c>
      <c r="K93" s="36">
        <f t="shared" si="134"/>
        <v>0</v>
      </c>
      <c r="L93" s="36">
        <f t="shared" si="134"/>
        <v>0</v>
      </c>
      <c r="M93" s="36">
        <f t="shared" si="134"/>
        <v>0</v>
      </c>
      <c r="N93" s="36">
        <f t="shared" si="134"/>
        <v>0</v>
      </c>
      <c r="O93" s="60">
        <f t="shared" si="129"/>
        <v>0</v>
      </c>
      <c r="T93" s="31" t="s">
        <v>54</v>
      </c>
      <c r="U93" s="36">
        <f>(U91*$J$1)*$S91</f>
        <v>0</v>
      </c>
      <c r="V93" s="36">
        <f t="shared" ref="V93:AF93" si="135">(V91*$J$1)*$S91</f>
        <v>0</v>
      </c>
      <c r="W93" s="36">
        <f t="shared" si="135"/>
        <v>0</v>
      </c>
      <c r="X93" s="36">
        <f t="shared" si="135"/>
        <v>0</v>
      </c>
      <c r="Y93" s="36">
        <f t="shared" si="135"/>
        <v>0</v>
      </c>
      <c r="Z93" s="36">
        <f t="shared" si="135"/>
        <v>0</v>
      </c>
      <c r="AA93" s="36">
        <f t="shared" si="135"/>
        <v>0</v>
      </c>
      <c r="AB93" s="36">
        <f t="shared" si="135"/>
        <v>0</v>
      </c>
      <c r="AC93" s="36">
        <f t="shared" si="135"/>
        <v>0</v>
      </c>
      <c r="AD93" s="36">
        <f t="shared" si="135"/>
        <v>0</v>
      </c>
      <c r="AE93" s="36">
        <f t="shared" si="135"/>
        <v>0</v>
      </c>
      <c r="AF93" s="36">
        <f t="shared" si="135"/>
        <v>0</v>
      </c>
      <c r="AG93" s="60">
        <f t="shared" si="120"/>
        <v>0</v>
      </c>
    </row>
    <row r="94" spans="1:33">
      <c r="B94" s="31" t="s">
        <v>55</v>
      </c>
      <c r="C94" s="36">
        <f>C92*$J$2</f>
        <v>0</v>
      </c>
      <c r="D94" s="36">
        <f t="shared" ref="D94:N94" si="136">D92*$J$2</f>
        <v>0</v>
      </c>
      <c r="E94" s="36">
        <f t="shared" si="136"/>
        <v>0</v>
      </c>
      <c r="F94" s="36">
        <f t="shared" si="136"/>
        <v>0</v>
      </c>
      <c r="G94" s="36">
        <f t="shared" si="136"/>
        <v>0</v>
      </c>
      <c r="H94" s="36">
        <f t="shared" si="136"/>
        <v>0</v>
      </c>
      <c r="I94" s="36">
        <f t="shared" si="136"/>
        <v>0</v>
      </c>
      <c r="J94" s="36">
        <f t="shared" si="136"/>
        <v>0</v>
      </c>
      <c r="K94" s="36">
        <f t="shared" si="136"/>
        <v>0</v>
      </c>
      <c r="L94" s="36">
        <f t="shared" si="136"/>
        <v>0</v>
      </c>
      <c r="M94" s="36">
        <f t="shared" si="136"/>
        <v>0</v>
      </c>
      <c r="N94" s="36">
        <f t="shared" si="136"/>
        <v>0</v>
      </c>
      <c r="O94" s="60">
        <f t="shared" si="129"/>
        <v>0</v>
      </c>
      <c r="T94" s="31" t="s">
        <v>55</v>
      </c>
      <c r="U94" s="36">
        <f>(U92*$J$2)*$S92</f>
        <v>0</v>
      </c>
      <c r="V94" s="36">
        <f t="shared" ref="V94:AF94" si="137">(V92*$J$2)*$S92</f>
        <v>0</v>
      </c>
      <c r="W94" s="36">
        <f t="shared" si="137"/>
        <v>0</v>
      </c>
      <c r="X94" s="36">
        <f t="shared" si="137"/>
        <v>0</v>
      </c>
      <c r="Y94" s="36">
        <f t="shared" si="137"/>
        <v>0</v>
      </c>
      <c r="Z94" s="36">
        <f t="shared" si="137"/>
        <v>0</v>
      </c>
      <c r="AA94" s="36">
        <f t="shared" si="137"/>
        <v>0</v>
      </c>
      <c r="AB94" s="36">
        <f t="shared" si="137"/>
        <v>0</v>
      </c>
      <c r="AC94" s="36">
        <f t="shared" si="137"/>
        <v>0</v>
      </c>
      <c r="AD94" s="36">
        <f t="shared" si="137"/>
        <v>0</v>
      </c>
      <c r="AE94" s="36">
        <f t="shared" si="137"/>
        <v>0</v>
      </c>
      <c r="AF94" s="36">
        <f t="shared" si="137"/>
        <v>0</v>
      </c>
      <c r="AG94" s="60">
        <f t="shared" si="120"/>
        <v>0</v>
      </c>
    </row>
    <row r="95" spans="1:33">
      <c r="B95" s="31"/>
      <c r="C95" s="401"/>
      <c r="D95" s="401"/>
      <c r="E95" s="401"/>
      <c r="F95" s="401"/>
      <c r="G95" s="401"/>
      <c r="H95" s="401"/>
      <c r="I95" s="401"/>
      <c r="J95" s="401"/>
      <c r="K95" s="401"/>
      <c r="L95" s="401"/>
      <c r="M95" s="401"/>
      <c r="N95" s="401"/>
      <c r="O95" s="31"/>
      <c r="T95" s="31"/>
      <c r="U95" s="36">
        <f t="shared" ref="U95:AE96" si="138">U83+U89</f>
        <v>67</v>
      </c>
      <c r="V95" s="36">
        <f t="shared" si="138"/>
        <v>72</v>
      </c>
      <c r="W95" s="36">
        <f t="shared" si="138"/>
        <v>80</v>
      </c>
      <c r="X95" s="36">
        <f t="shared" si="138"/>
        <v>84</v>
      </c>
      <c r="Y95" s="36">
        <f t="shared" si="138"/>
        <v>84</v>
      </c>
      <c r="Z95" s="36">
        <f t="shared" si="138"/>
        <v>80</v>
      </c>
      <c r="AA95" s="36">
        <f t="shared" si="138"/>
        <v>74</v>
      </c>
      <c r="AB95" s="36">
        <f t="shared" si="138"/>
        <v>72</v>
      </c>
      <c r="AC95" s="36">
        <f t="shared" si="138"/>
        <v>84</v>
      </c>
      <c r="AD95" s="36">
        <f t="shared" si="138"/>
        <v>68</v>
      </c>
      <c r="AE95" s="36">
        <f t="shared" si="138"/>
        <v>70</v>
      </c>
      <c r="AF95" s="36">
        <f>AF83+AF89</f>
        <v>74</v>
      </c>
      <c r="AG95" s="71"/>
    </row>
    <row r="96" spans="1:33">
      <c r="B96" s="31"/>
      <c r="C96" s="401"/>
      <c r="D96" s="401"/>
      <c r="E96" s="401"/>
      <c r="F96" s="401"/>
      <c r="G96" s="401"/>
      <c r="H96" s="401"/>
      <c r="I96" s="401"/>
      <c r="J96" s="401"/>
      <c r="K96" s="401"/>
      <c r="L96" s="401"/>
      <c r="M96" s="401"/>
      <c r="N96" s="401"/>
      <c r="O96" s="31"/>
      <c r="P96" s="402"/>
      <c r="Q96" s="403"/>
      <c r="T96" s="31"/>
      <c r="U96" s="36">
        <f t="shared" si="138"/>
        <v>179203</v>
      </c>
      <c r="V96" s="36">
        <f t="shared" si="138"/>
        <v>145280</v>
      </c>
      <c r="W96" s="36">
        <f t="shared" si="138"/>
        <v>176423</v>
      </c>
      <c r="X96" s="36">
        <f t="shared" si="138"/>
        <v>156125</v>
      </c>
      <c r="Y96" s="36">
        <f t="shared" si="138"/>
        <v>224672</v>
      </c>
      <c r="Z96" s="36">
        <f t="shared" si="138"/>
        <v>161422</v>
      </c>
      <c r="AA96" s="36">
        <f t="shared" si="138"/>
        <v>163191</v>
      </c>
      <c r="AB96" s="36">
        <f t="shared" si="138"/>
        <v>133821</v>
      </c>
      <c r="AC96" s="36">
        <f t="shared" si="138"/>
        <v>224672</v>
      </c>
      <c r="AD96" s="36">
        <f t="shared" si="138"/>
        <v>137208</v>
      </c>
      <c r="AE96" s="36">
        <f t="shared" si="138"/>
        <v>154370</v>
      </c>
      <c r="AF96" s="36">
        <f>AF84+AF90</f>
        <v>137539</v>
      </c>
      <c r="AG96" s="71"/>
    </row>
    <row r="97" spans="1:33">
      <c r="B97" s="31"/>
      <c r="C97" s="401"/>
      <c r="D97" s="401"/>
      <c r="E97" s="401"/>
      <c r="F97" s="401"/>
      <c r="G97" s="401"/>
      <c r="H97" s="401"/>
      <c r="I97" s="401"/>
      <c r="J97" s="401"/>
      <c r="K97" s="401"/>
      <c r="L97" s="401"/>
      <c r="M97" s="401"/>
      <c r="N97" s="401"/>
      <c r="O97" s="31"/>
      <c r="P97" s="402"/>
      <c r="Q97" s="403"/>
      <c r="T97" s="31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71"/>
    </row>
    <row r="98" spans="1:33">
      <c r="O98" s="31"/>
      <c r="AG98" s="58"/>
    </row>
    <row r="99" spans="1:33">
      <c r="A99" t="s">
        <v>62</v>
      </c>
      <c r="B99" s="31" t="s">
        <v>63</v>
      </c>
      <c r="C99" s="38">
        <f t="shared" ref="C99:N100" si="139">C12+C18+C24+C30+C36+C45+C51+C57+C63+C69+C75+C81+C87+C93</f>
        <v>566088075</v>
      </c>
      <c r="D99" s="38">
        <f t="shared" si="139"/>
        <v>588497985</v>
      </c>
      <c r="E99" s="38">
        <f t="shared" si="139"/>
        <v>645339037.5</v>
      </c>
      <c r="F99" s="38">
        <f t="shared" si="139"/>
        <v>597422430</v>
      </c>
      <c r="G99" s="38">
        <f t="shared" si="139"/>
        <v>538047540</v>
      </c>
      <c r="H99" s="38">
        <f t="shared" si="139"/>
        <v>604390342.5</v>
      </c>
      <c r="I99" s="38">
        <f t="shared" si="139"/>
        <v>449365477.5</v>
      </c>
      <c r="J99" s="38">
        <f t="shared" si="139"/>
        <v>494607510</v>
      </c>
      <c r="K99" s="38">
        <f t="shared" si="139"/>
        <v>479221807.5</v>
      </c>
      <c r="L99" s="38">
        <f t="shared" si="139"/>
        <v>457867710</v>
      </c>
      <c r="M99" s="38">
        <f t="shared" si="139"/>
        <v>436541760</v>
      </c>
      <c r="N99" s="38">
        <f t="shared" si="139"/>
        <v>538512255</v>
      </c>
      <c r="O99" s="31">
        <f>SUM(C99:N99)</f>
        <v>6395901930</v>
      </c>
      <c r="P99" s="402"/>
      <c r="Q99" s="403"/>
      <c r="T99" s="31" t="s">
        <v>63</v>
      </c>
      <c r="U99" s="38">
        <f>U12+U18+U24+U30+U36+U45+U51+U57+U63+U69+U75+U81+U87+U93</f>
        <v>509428374.11524463</v>
      </c>
      <c r="V99" s="38">
        <f t="shared" ref="V99:AF99" si="140">V12+V18+V24+V30+V36+V45+V51+V57+V63+V69+V75+V81+V87+V93</f>
        <v>546735143.12329638</v>
      </c>
      <c r="W99" s="38">
        <f t="shared" si="140"/>
        <v>584415244.60777938</v>
      </c>
      <c r="X99" s="38">
        <f t="shared" si="140"/>
        <v>535210371.47495168</v>
      </c>
      <c r="Y99" s="38">
        <f t="shared" si="140"/>
        <v>484189405.81216449</v>
      </c>
      <c r="Z99" s="38">
        <f t="shared" si="140"/>
        <v>548754871.54949105</v>
      </c>
      <c r="AA99" s="38">
        <f t="shared" si="140"/>
        <v>541829894.59004509</v>
      </c>
      <c r="AB99" s="38">
        <f t="shared" si="140"/>
        <v>596381227.36463356</v>
      </c>
      <c r="AC99" s="38">
        <f t="shared" si="140"/>
        <v>577829660.80872524</v>
      </c>
      <c r="AD99" s="38">
        <f t="shared" si="140"/>
        <v>552081602.76505733</v>
      </c>
      <c r="AE99" s="38">
        <f t="shared" si="140"/>
        <v>526367484.03742862</v>
      </c>
      <c r="AF99" s="38">
        <f t="shared" si="140"/>
        <v>649320103.50549781</v>
      </c>
      <c r="AG99" s="38">
        <f>SUM(U99:AF99)</f>
        <v>6652543383.7543154</v>
      </c>
    </row>
    <row r="100" spans="1:33">
      <c r="B100" s="31" t="s">
        <v>64</v>
      </c>
      <c r="C100" s="38">
        <f t="shared" si="139"/>
        <v>2474484360.75</v>
      </c>
      <c r="D100" s="38">
        <f t="shared" si="139"/>
        <v>2157084571.5</v>
      </c>
      <c r="E100" s="38">
        <f t="shared" si="139"/>
        <v>2199589740</v>
      </c>
      <c r="F100" s="38">
        <f t="shared" si="139"/>
        <v>1928404854</v>
      </c>
      <c r="G100" s="38">
        <f t="shared" si="139"/>
        <v>2082857439.1033294</v>
      </c>
      <c r="H100" s="38">
        <f t="shared" si="139"/>
        <v>2115389835.6797707</v>
      </c>
      <c r="I100" s="38">
        <f>I13+I19+I25+I31+I37+I46+I52+I58+I64+I70+I76+I82+I88+I94</f>
        <v>1706770211.7018073</v>
      </c>
      <c r="J100" s="38">
        <f t="shared" si="139"/>
        <v>2012915335.8992655</v>
      </c>
      <c r="K100" s="38">
        <f t="shared" si="139"/>
        <v>2258748254.2903924</v>
      </c>
      <c r="L100" s="38">
        <f t="shared" si="139"/>
        <v>1875108829.0283284</v>
      </c>
      <c r="M100" s="38">
        <f t="shared" si="139"/>
        <v>1612327808.4783392</v>
      </c>
      <c r="N100" s="38">
        <f t="shared" si="139"/>
        <v>2136055850.0633166</v>
      </c>
      <c r="O100" s="31">
        <f>SUM(C100:N100)</f>
        <v>24559737090.494549</v>
      </c>
      <c r="P100" s="402"/>
      <c r="Q100" s="403"/>
      <c r="T100" s="31" t="s">
        <v>64</v>
      </c>
      <c r="U100" s="38">
        <f t="shared" ref="U100:AF100" si="141">U13+U19+U25+U31+U37+U46+U52+U58+U64+U70+U76+U82+U88+U94</f>
        <v>2742326242.2814684</v>
      </c>
      <c r="V100" s="38">
        <f t="shared" si="141"/>
        <v>2365426176.7229223</v>
      </c>
      <c r="W100" s="38">
        <f t="shared" si="141"/>
        <v>2312157503.2138991</v>
      </c>
      <c r="X100" s="38">
        <f t="shared" si="141"/>
        <v>2020784622.5931041</v>
      </c>
      <c r="Y100" s="38">
        <f t="shared" si="141"/>
        <v>2267312597.7885261</v>
      </c>
      <c r="Z100" s="38">
        <f t="shared" si="141"/>
        <v>2274038664.8540187</v>
      </c>
      <c r="AA100" s="38">
        <f t="shared" si="141"/>
        <v>2160866908.627584</v>
      </c>
      <c r="AB100" s="38">
        <f t="shared" si="141"/>
        <v>2548465487.6239023</v>
      </c>
      <c r="AC100" s="38">
        <f t="shared" si="141"/>
        <v>2859702558.8739767</v>
      </c>
      <c r="AD100" s="38">
        <f t="shared" si="141"/>
        <v>2373994022.7647581</v>
      </c>
      <c r="AE100" s="38">
        <f t="shared" si="141"/>
        <v>2041297789.3749309</v>
      </c>
      <c r="AF100" s="38">
        <f t="shared" si="141"/>
        <v>2704368372.8615198</v>
      </c>
      <c r="AG100" s="38">
        <f>SUM(U100:AF100)</f>
        <v>28670740947.580612</v>
      </c>
    </row>
    <row r="101" spans="1:33">
      <c r="C101" s="38">
        <f>C99+C100</f>
        <v>3040572435.75</v>
      </c>
      <c r="D101" s="38">
        <f t="shared" ref="D101:N101" si="142">D99+D100</f>
        <v>2745582556.5</v>
      </c>
      <c r="E101" s="38">
        <f t="shared" si="142"/>
        <v>2844928777.5</v>
      </c>
      <c r="F101" s="38">
        <f t="shared" si="142"/>
        <v>2525827284</v>
      </c>
      <c r="G101" s="38">
        <f t="shared" si="142"/>
        <v>2620904979.1033297</v>
      </c>
      <c r="H101" s="38">
        <f t="shared" si="142"/>
        <v>2719780178.1797705</v>
      </c>
      <c r="I101" s="38">
        <f t="shared" si="142"/>
        <v>2156135689.201807</v>
      </c>
      <c r="J101" s="38">
        <f t="shared" si="142"/>
        <v>2507522845.8992653</v>
      </c>
      <c r="K101" s="38">
        <f t="shared" si="142"/>
        <v>2737970061.7903924</v>
      </c>
      <c r="L101" s="38">
        <f t="shared" si="142"/>
        <v>2332976539.0283284</v>
      </c>
      <c r="M101" s="38">
        <f t="shared" si="142"/>
        <v>2048869568.4783392</v>
      </c>
      <c r="N101" s="38">
        <f t="shared" si="142"/>
        <v>2674568105.0633163</v>
      </c>
      <c r="O101" s="31">
        <f>SUM(C101:N101)</f>
        <v>30955639020.494553</v>
      </c>
      <c r="U101" s="38">
        <f>U99+U100</f>
        <v>3251754616.3967133</v>
      </c>
      <c r="V101" s="38">
        <f t="shared" ref="V101:AG101" si="143">V99+V100</f>
        <v>2912161319.8462186</v>
      </c>
      <c r="W101" s="38">
        <f t="shared" si="143"/>
        <v>2896572747.8216786</v>
      </c>
      <c r="X101" s="38">
        <f t="shared" si="143"/>
        <v>2555994994.0680556</v>
      </c>
      <c r="Y101" s="38">
        <f t="shared" si="143"/>
        <v>2751502003.6006904</v>
      </c>
      <c r="Z101" s="38">
        <f t="shared" si="143"/>
        <v>2822793536.4035096</v>
      </c>
      <c r="AA101" s="38">
        <f t="shared" si="143"/>
        <v>2702696803.217629</v>
      </c>
      <c r="AB101" s="38">
        <f t="shared" si="143"/>
        <v>3144846714.9885359</v>
      </c>
      <c r="AC101" s="38">
        <f t="shared" si="143"/>
        <v>3437532219.6827021</v>
      </c>
      <c r="AD101" s="38">
        <f t="shared" si="143"/>
        <v>2926075625.5298157</v>
      </c>
      <c r="AE101" s="38">
        <f t="shared" si="143"/>
        <v>2567665273.4123592</v>
      </c>
      <c r="AF101" s="38">
        <f t="shared" si="143"/>
        <v>3353688476.3670177</v>
      </c>
      <c r="AG101" s="38">
        <f t="shared" si="143"/>
        <v>35323284331.33493</v>
      </c>
    </row>
    <row r="102" spans="1:33">
      <c r="C102" s="404"/>
      <c r="D102" s="404"/>
      <c r="E102" s="404"/>
      <c r="F102" s="404"/>
      <c r="G102" s="404"/>
      <c r="H102" s="404"/>
      <c r="I102" s="404"/>
      <c r="J102" s="404"/>
      <c r="K102" s="404"/>
      <c r="L102" s="404"/>
      <c r="M102" s="404"/>
      <c r="N102" s="404"/>
      <c r="O102" s="19">
        <f>SUM(C102:N102)</f>
        <v>0</v>
      </c>
      <c r="P102" s="39">
        <f>O101-O102</f>
        <v>30955639020.494553</v>
      </c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1"/>
    </row>
    <row r="103" spans="1:33">
      <c r="C103" s="19"/>
      <c r="D103" s="19"/>
      <c r="E103" s="19"/>
      <c r="F103" s="19"/>
      <c r="G103" s="19"/>
      <c r="H103" s="107">
        <f>H104*$O$103</f>
        <v>0</v>
      </c>
      <c r="I103" s="107">
        <f t="shared" ref="I103:N103" si="144">I104*$O$103</f>
        <v>0</v>
      </c>
      <c r="J103" s="107">
        <f t="shared" si="144"/>
        <v>0</v>
      </c>
      <c r="K103" s="107">
        <f t="shared" si="144"/>
        <v>0</v>
      </c>
      <c r="L103" s="107">
        <f t="shared" si="144"/>
        <v>0</v>
      </c>
      <c r="M103" s="107">
        <f t="shared" si="144"/>
        <v>0</v>
      </c>
      <c r="N103" s="107">
        <f t="shared" si="144"/>
        <v>0</v>
      </c>
      <c r="O103" s="31"/>
      <c r="AG103" s="31"/>
    </row>
    <row r="104" spans="1:33">
      <c r="C104" s="54"/>
      <c r="D104" s="54"/>
      <c r="E104" s="54"/>
      <c r="F104" s="54"/>
      <c r="G104" s="54"/>
      <c r="H104" s="54">
        <f>H101/$O$104</f>
        <v>0.15833090026230606</v>
      </c>
      <c r="I104" s="54">
        <f t="shared" ref="I104:N104" si="145">I101/$O$104</f>
        <v>0.12551856488177013</v>
      </c>
      <c r="J104" s="54">
        <f t="shared" si="145"/>
        <v>0.14597442572922839</v>
      </c>
      <c r="K104" s="54">
        <f t="shared" si="145"/>
        <v>0.1593898169611048</v>
      </c>
      <c r="L104" s="54">
        <f t="shared" si="145"/>
        <v>0.13581328324938585</v>
      </c>
      <c r="M104" s="54">
        <f t="shared" si="145"/>
        <v>0.11927411115788197</v>
      </c>
      <c r="N104" s="54">
        <f t="shared" si="145"/>
        <v>0.15569889775832274</v>
      </c>
      <c r="O104" s="31">
        <f>SUM(H101:N101)</f>
        <v>17177822987.64122</v>
      </c>
      <c r="AG104" s="31"/>
    </row>
    <row r="105" spans="1:33">
      <c r="C105" s="54"/>
      <c r="D105" s="54"/>
      <c r="E105" s="54"/>
      <c r="F105" s="54"/>
      <c r="G105" s="54"/>
      <c r="O105" s="31"/>
      <c r="AG105" s="31"/>
    </row>
    <row r="106" spans="1:33">
      <c r="C106" s="19"/>
      <c r="D106" s="19"/>
      <c r="E106" s="19"/>
      <c r="F106" s="19"/>
      <c r="G106" s="19"/>
      <c r="H106" s="31"/>
      <c r="I106" s="31"/>
      <c r="J106" s="31"/>
      <c r="K106" s="31"/>
      <c r="L106" s="31"/>
      <c r="M106" s="31"/>
      <c r="N106" s="31"/>
      <c r="O106" s="31"/>
    </row>
    <row r="107" spans="1:33">
      <c r="C107" s="19"/>
      <c r="D107" s="19"/>
      <c r="E107" s="19"/>
      <c r="F107" s="19"/>
      <c r="G107" s="19"/>
      <c r="H107" s="31"/>
      <c r="I107" s="31"/>
      <c r="J107" s="31"/>
      <c r="K107" s="31"/>
      <c r="L107" s="31"/>
      <c r="M107" s="31"/>
      <c r="N107" s="31"/>
      <c r="O107" s="31"/>
    </row>
    <row r="108" spans="1:33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31"/>
    </row>
    <row r="109" spans="1:33">
      <c r="C109" s="19"/>
      <c r="D109" s="19"/>
      <c r="E109" s="19"/>
      <c r="F109" s="19"/>
      <c r="G109" s="19"/>
      <c r="O109" s="31">
        <f>SUM(C109:N109)</f>
        <v>0</v>
      </c>
    </row>
    <row r="110" spans="1:33">
      <c r="C110" s="405">
        <f t="shared" ref="C110:N111" si="146">C8+C14+C20+C26+C53+C32+C41+C47+C59+C65+C71+C77+C83+C89</f>
        <v>256</v>
      </c>
      <c r="D110" s="405">
        <f t="shared" si="146"/>
        <v>266</v>
      </c>
      <c r="E110" s="405">
        <f t="shared" si="146"/>
        <v>287</v>
      </c>
      <c r="F110" s="405">
        <f t="shared" si="146"/>
        <v>273</v>
      </c>
      <c r="G110" s="405">
        <f t="shared" si="146"/>
        <v>255</v>
      </c>
      <c r="H110" s="405">
        <f t="shared" si="146"/>
        <v>276</v>
      </c>
      <c r="I110" s="405">
        <f t="shared" si="146"/>
        <v>270</v>
      </c>
      <c r="J110" s="405">
        <f t="shared" si="146"/>
        <v>293</v>
      </c>
      <c r="K110" s="405">
        <f t="shared" si="146"/>
        <v>291</v>
      </c>
      <c r="L110" s="405">
        <f t="shared" si="146"/>
        <v>275</v>
      </c>
      <c r="M110" s="405">
        <f t="shared" si="146"/>
        <v>260</v>
      </c>
      <c r="N110" s="405">
        <f t="shared" si="146"/>
        <v>318</v>
      </c>
      <c r="O110" s="61">
        <f t="shared" ref="O110:O111" si="147">SUM(C110:N110)</f>
        <v>3320</v>
      </c>
      <c r="U110" s="405">
        <f t="shared" ref="U110:AF115" si="148">U8+U14+U20+U26+U32+U41+U47+U53+U59+U65+U71+U77+U83+U89</f>
        <v>256</v>
      </c>
      <c r="V110" s="405">
        <f t="shared" si="148"/>
        <v>266</v>
      </c>
      <c r="W110" s="405">
        <f t="shared" si="148"/>
        <v>287</v>
      </c>
      <c r="X110" s="405">
        <f t="shared" si="148"/>
        <v>273</v>
      </c>
      <c r="Y110" s="405">
        <f t="shared" si="148"/>
        <v>255</v>
      </c>
      <c r="Z110" s="405">
        <f t="shared" si="148"/>
        <v>276</v>
      </c>
      <c r="AA110" s="405">
        <f t="shared" si="148"/>
        <v>270</v>
      </c>
      <c r="AB110" s="405">
        <f t="shared" si="148"/>
        <v>293</v>
      </c>
      <c r="AC110" s="405">
        <f t="shared" si="148"/>
        <v>291</v>
      </c>
      <c r="AD110" s="405">
        <f t="shared" si="148"/>
        <v>275</v>
      </c>
      <c r="AE110" s="405">
        <f t="shared" si="148"/>
        <v>260</v>
      </c>
      <c r="AF110" s="405">
        <f t="shared" si="148"/>
        <v>318</v>
      </c>
      <c r="AG110" s="61">
        <f t="shared" ref="AG110:AG111" si="149">SUM(U110:AF110)</f>
        <v>3320</v>
      </c>
    </row>
    <row r="111" spans="1:33">
      <c r="A111" t="s">
        <v>100</v>
      </c>
      <c r="B111" s="31" t="s">
        <v>52</v>
      </c>
      <c r="C111" s="405">
        <f t="shared" si="146"/>
        <v>3694928</v>
      </c>
      <c r="D111" s="405">
        <f t="shared" si="146"/>
        <v>2707202</v>
      </c>
      <c r="E111" s="405">
        <f t="shared" si="146"/>
        <v>2604196</v>
      </c>
      <c r="F111" s="405">
        <f t="shared" si="146"/>
        <v>2438165</v>
      </c>
      <c r="G111" s="405">
        <f t="shared" si="146"/>
        <v>3365390.2407107819</v>
      </c>
      <c r="H111" s="405">
        <f t="shared" si="146"/>
        <v>2714104.8697035611</v>
      </c>
      <c r="I111" s="405">
        <f t="shared" si="146"/>
        <v>2559277.7507488127</v>
      </c>
      <c r="J111" s="405">
        <f t="shared" si="146"/>
        <v>2865823.5004929071</v>
      </c>
      <c r="K111" s="405">
        <f t="shared" si="146"/>
        <v>3719933.2270161435</v>
      </c>
      <c r="L111" s="405">
        <f t="shared" si="146"/>
        <v>2728107.3787002992</v>
      </c>
      <c r="M111" s="405">
        <f t="shared" si="146"/>
        <v>2366752.1586374156</v>
      </c>
      <c r="N111" s="405">
        <f t="shared" si="146"/>
        <v>2873236.7558764806</v>
      </c>
      <c r="O111" s="61">
        <f t="shared" si="147"/>
        <v>34637116.8818864</v>
      </c>
      <c r="U111" s="405">
        <f t="shared" si="148"/>
        <v>3879677</v>
      </c>
      <c r="V111" s="405">
        <f t="shared" si="148"/>
        <v>2842566</v>
      </c>
      <c r="W111" s="405">
        <f t="shared" si="148"/>
        <v>2734409</v>
      </c>
      <c r="X111" s="405">
        <f t="shared" si="148"/>
        <v>2560078</v>
      </c>
      <c r="Y111" s="405">
        <f t="shared" si="148"/>
        <v>3533663</v>
      </c>
      <c r="Z111" s="405">
        <f t="shared" si="148"/>
        <v>2849814</v>
      </c>
      <c r="AA111" s="405">
        <f t="shared" si="148"/>
        <v>2687244</v>
      </c>
      <c r="AB111" s="405">
        <f t="shared" si="148"/>
        <v>3009119</v>
      </c>
      <c r="AC111" s="405">
        <f t="shared" si="148"/>
        <v>3905933</v>
      </c>
      <c r="AD111" s="405">
        <f t="shared" si="148"/>
        <v>2864516</v>
      </c>
      <c r="AE111" s="405">
        <f t="shared" si="148"/>
        <v>2485093</v>
      </c>
      <c r="AF111" s="405">
        <f t="shared" si="148"/>
        <v>3016903</v>
      </c>
      <c r="AG111" s="61">
        <f t="shared" si="149"/>
        <v>36369015</v>
      </c>
    </row>
    <row r="112" spans="1:33">
      <c r="B112" s="31" t="s">
        <v>53</v>
      </c>
      <c r="C112" s="406">
        <f t="shared" ref="C112:N115" si="150">C10+C16+C22+C28+C34+C43+C49+C55+C61+C67+C73+C79+C85+C91</f>
        <v>576</v>
      </c>
      <c r="D112" s="406">
        <f t="shared" si="150"/>
        <v>598.5</v>
      </c>
      <c r="E112" s="406">
        <f t="shared" si="150"/>
        <v>645.75</v>
      </c>
      <c r="F112" s="406">
        <f t="shared" si="150"/>
        <v>614.25</v>
      </c>
      <c r="G112" s="406">
        <f t="shared" si="150"/>
        <v>573.75</v>
      </c>
      <c r="H112" s="406">
        <f t="shared" si="150"/>
        <v>621</v>
      </c>
      <c r="I112" s="406">
        <f t="shared" si="150"/>
        <v>607.5</v>
      </c>
      <c r="J112" s="406">
        <f t="shared" si="150"/>
        <v>659.25</v>
      </c>
      <c r="K112" s="406">
        <f t="shared" si="150"/>
        <v>654.75</v>
      </c>
      <c r="L112" s="406">
        <f t="shared" si="150"/>
        <v>618.75</v>
      </c>
      <c r="M112" s="406">
        <f t="shared" si="150"/>
        <v>585</v>
      </c>
      <c r="N112" s="406">
        <f t="shared" si="150"/>
        <v>715.5</v>
      </c>
      <c r="O112" s="59">
        <f>SUM(C112:N112)</f>
        <v>7470</v>
      </c>
      <c r="U112" s="406">
        <f t="shared" si="148"/>
        <v>576</v>
      </c>
      <c r="V112" s="406">
        <f t="shared" si="148"/>
        <v>598.5</v>
      </c>
      <c r="W112" s="406">
        <f t="shared" si="148"/>
        <v>645.75</v>
      </c>
      <c r="X112" s="406">
        <f t="shared" si="148"/>
        <v>614.25</v>
      </c>
      <c r="Y112" s="406">
        <f t="shared" si="148"/>
        <v>573.75</v>
      </c>
      <c r="Z112" s="406">
        <f t="shared" si="148"/>
        <v>621</v>
      </c>
      <c r="AA112" s="406">
        <f t="shared" si="148"/>
        <v>607.5</v>
      </c>
      <c r="AB112" s="406">
        <f t="shared" si="148"/>
        <v>659.25</v>
      </c>
      <c r="AC112" s="406">
        <f t="shared" si="148"/>
        <v>654.75</v>
      </c>
      <c r="AD112" s="406">
        <f t="shared" si="148"/>
        <v>618.75</v>
      </c>
      <c r="AE112" s="406">
        <f t="shared" si="148"/>
        <v>585</v>
      </c>
      <c r="AF112" s="406">
        <f t="shared" si="148"/>
        <v>715.5</v>
      </c>
      <c r="AG112" s="59">
        <f>SUM(U112:AF112)</f>
        <v>7470</v>
      </c>
    </row>
    <row r="113" spans="1:33">
      <c r="C113" s="406">
        <f t="shared" si="150"/>
        <v>8313588</v>
      </c>
      <c r="D113" s="406">
        <f t="shared" si="150"/>
        <v>6091204.5</v>
      </c>
      <c r="E113" s="406">
        <f t="shared" si="150"/>
        <v>5859441</v>
      </c>
      <c r="F113" s="406">
        <f t="shared" si="150"/>
        <v>5485871.25</v>
      </c>
      <c r="G113" s="406">
        <f t="shared" si="150"/>
        <v>7572128.0415992588</v>
      </c>
      <c r="H113" s="406">
        <f t="shared" si="150"/>
        <v>6106735.9568330124</v>
      </c>
      <c r="I113" s="406">
        <f t="shared" si="150"/>
        <v>5758374.9391848287</v>
      </c>
      <c r="J113" s="406">
        <f t="shared" si="150"/>
        <v>6448102.8761090413</v>
      </c>
      <c r="K113" s="406">
        <f t="shared" si="150"/>
        <v>8369849.760786321</v>
      </c>
      <c r="L113" s="406">
        <f t="shared" si="150"/>
        <v>6138241.6020756727</v>
      </c>
      <c r="M113" s="406">
        <f t="shared" si="150"/>
        <v>5325192.3569341842</v>
      </c>
      <c r="N113" s="406">
        <f t="shared" si="150"/>
        <v>6464782.7007220816</v>
      </c>
      <c r="O113" s="59">
        <f>SUM(C113:N113)</f>
        <v>77933512.984244406</v>
      </c>
      <c r="U113" s="406">
        <f t="shared" si="148"/>
        <v>8729273.25</v>
      </c>
      <c r="V113" s="406">
        <f t="shared" si="148"/>
        <v>6395773.5</v>
      </c>
      <c r="W113" s="406">
        <f t="shared" si="148"/>
        <v>6152420.25</v>
      </c>
      <c r="X113" s="406">
        <f t="shared" si="148"/>
        <v>5760175.5</v>
      </c>
      <c r="Y113" s="406">
        <f t="shared" si="148"/>
        <v>7950741.75</v>
      </c>
      <c r="Z113" s="406">
        <f t="shared" si="148"/>
        <v>6412081.5</v>
      </c>
      <c r="AA113" s="406">
        <f t="shared" si="148"/>
        <v>6046299</v>
      </c>
      <c r="AB113" s="406">
        <f t="shared" si="148"/>
        <v>6770517.75</v>
      </c>
      <c r="AC113" s="406">
        <f t="shared" si="148"/>
        <v>8788349.25</v>
      </c>
      <c r="AD113" s="406">
        <f t="shared" si="148"/>
        <v>6445161</v>
      </c>
      <c r="AE113" s="406">
        <f t="shared" si="148"/>
        <v>5591459.25</v>
      </c>
      <c r="AF113" s="406">
        <f t="shared" si="148"/>
        <v>6788031.75</v>
      </c>
      <c r="AG113" s="59">
        <f>SUM(U113:AF113)</f>
        <v>81830283.75</v>
      </c>
    </row>
    <row r="114" spans="1:33">
      <c r="C114" s="108">
        <f t="shared" si="150"/>
        <v>566088075</v>
      </c>
      <c r="D114" s="108">
        <f t="shared" si="150"/>
        <v>588497985</v>
      </c>
      <c r="E114" s="108">
        <f t="shared" si="150"/>
        <v>645339037.5</v>
      </c>
      <c r="F114" s="108">
        <f t="shared" si="150"/>
        <v>597422430</v>
      </c>
      <c r="G114" s="108">
        <f t="shared" si="150"/>
        <v>538047540</v>
      </c>
      <c r="H114" s="108">
        <f t="shared" si="150"/>
        <v>604390342.5</v>
      </c>
      <c r="I114" s="108">
        <f t="shared" si="150"/>
        <v>449365477.5</v>
      </c>
      <c r="J114" s="108">
        <f t="shared" si="150"/>
        <v>494607510</v>
      </c>
      <c r="K114" s="108">
        <f t="shared" si="150"/>
        <v>479221807.5</v>
      </c>
      <c r="L114" s="108">
        <f t="shared" si="150"/>
        <v>457867710</v>
      </c>
      <c r="M114" s="108">
        <f t="shared" si="150"/>
        <v>436541760</v>
      </c>
      <c r="N114" s="108">
        <f t="shared" si="150"/>
        <v>538512255</v>
      </c>
      <c r="O114" s="407">
        <f t="shared" ref="O114:O116" si="151">SUM(C114:N114)</f>
        <v>6395901930</v>
      </c>
      <c r="U114" s="108">
        <f t="shared" si="148"/>
        <v>509428374.11524463</v>
      </c>
      <c r="V114" s="108">
        <f t="shared" si="148"/>
        <v>546735143.12329638</v>
      </c>
      <c r="W114" s="108">
        <f t="shared" si="148"/>
        <v>584415244.60777938</v>
      </c>
      <c r="X114" s="108">
        <f t="shared" si="148"/>
        <v>535210371.47495168</v>
      </c>
      <c r="Y114" s="108">
        <f t="shared" si="148"/>
        <v>484189405.81216449</v>
      </c>
      <c r="Z114" s="108">
        <f t="shared" si="148"/>
        <v>548754871.54949105</v>
      </c>
      <c r="AA114" s="108">
        <f t="shared" si="148"/>
        <v>541829894.59004509</v>
      </c>
      <c r="AB114" s="108">
        <f t="shared" si="148"/>
        <v>596381227.36463356</v>
      </c>
      <c r="AC114" s="108">
        <f t="shared" si="148"/>
        <v>577829660.80872524</v>
      </c>
      <c r="AD114" s="108">
        <f t="shared" si="148"/>
        <v>552081602.76505733</v>
      </c>
      <c r="AE114" s="108">
        <f t="shared" si="148"/>
        <v>526367484.03742862</v>
      </c>
      <c r="AF114" s="108">
        <f t="shared" si="148"/>
        <v>649320103.50549781</v>
      </c>
      <c r="AG114" s="407">
        <f t="shared" ref="AG114:AG116" si="152">SUM(U114:AF114)</f>
        <v>6652543383.7543154</v>
      </c>
    </row>
    <row r="115" spans="1:33">
      <c r="C115" s="108">
        <f t="shared" si="150"/>
        <v>2474484360.75</v>
      </c>
      <c r="D115" s="108">
        <f t="shared" si="150"/>
        <v>2157084571.5</v>
      </c>
      <c r="E115" s="108">
        <f t="shared" si="150"/>
        <v>2199589740</v>
      </c>
      <c r="F115" s="108">
        <f t="shared" si="150"/>
        <v>1928404854</v>
      </c>
      <c r="G115" s="108">
        <f t="shared" si="150"/>
        <v>2082857439.1033294</v>
      </c>
      <c r="H115" s="108">
        <f t="shared" si="150"/>
        <v>2115389835.6797707</v>
      </c>
      <c r="I115" s="108">
        <f t="shared" si="150"/>
        <v>1706770211.7018073</v>
      </c>
      <c r="J115" s="108">
        <f t="shared" si="150"/>
        <v>2012915335.8992655</v>
      </c>
      <c r="K115" s="108">
        <f t="shared" si="150"/>
        <v>2258748254.2903924</v>
      </c>
      <c r="L115" s="108">
        <f t="shared" si="150"/>
        <v>1875108829.0283284</v>
      </c>
      <c r="M115" s="108">
        <f t="shared" si="150"/>
        <v>1612327808.4783392</v>
      </c>
      <c r="N115" s="108">
        <f t="shared" si="150"/>
        <v>2136055850.0633166</v>
      </c>
      <c r="O115" s="407">
        <f t="shared" si="151"/>
        <v>24559737090.494549</v>
      </c>
      <c r="U115" s="108">
        <f t="shared" si="148"/>
        <v>2742326242.2814684</v>
      </c>
      <c r="V115" s="108">
        <f t="shared" si="148"/>
        <v>2365426176.7229223</v>
      </c>
      <c r="W115" s="108">
        <f t="shared" si="148"/>
        <v>2312157503.2138991</v>
      </c>
      <c r="X115" s="108">
        <f t="shared" si="148"/>
        <v>2020784622.5931041</v>
      </c>
      <c r="Y115" s="108">
        <f t="shared" si="148"/>
        <v>2267312597.7885261</v>
      </c>
      <c r="Z115" s="108">
        <f t="shared" si="148"/>
        <v>2274038664.8540187</v>
      </c>
      <c r="AA115" s="108">
        <f t="shared" si="148"/>
        <v>2160866908.627584</v>
      </c>
      <c r="AB115" s="108">
        <f t="shared" si="148"/>
        <v>2548465487.6239023</v>
      </c>
      <c r="AC115" s="108">
        <f t="shared" si="148"/>
        <v>2859702558.8739767</v>
      </c>
      <c r="AD115" s="108">
        <f t="shared" si="148"/>
        <v>2373994022.7647581</v>
      </c>
      <c r="AE115" s="108">
        <f t="shared" si="148"/>
        <v>2041297789.3749309</v>
      </c>
      <c r="AF115" s="108">
        <f t="shared" si="148"/>
        <v>2704368372.8615198</v>
      </c>
      <c r="AG115" s="407">
        <f t="shared" si="152"/>
        <v>28670740947.580612</v>
      </c>
    </row>
    <row r="116" spans="1:33">
      <c r="C116" s="408">
        <f>C114+C115</f>
        <v>3040572435.75</v>
      </c>
      <c r="D116" s="408">
        <f t="shared" ref="D116:N116" si="153">D114+D115</f>
        <v>2745582556.5</v>
      </c>
      <c r="E116" s="408">
        <f t="shared" si="153"/>
        <v>2844928777.5</v>
      </c>
      <c r="F116" s="408">
        <f t="shared" si="153"/>
        <v>2525827284</v>
      </c>
      <c r="G116" s="408">
        <f t="shared" si="153"/>
        <v>2620904979.1033297</v>
      </c>
      <c r="H116" s="408">
        <f t="shared" si="153"/>
        <v>2719780178.1797705</v>
      </c>
      <c r="I116" s="408">
        <f t="shared" si="153"/>
        <v>2156135689.201807</v>
      </c>
      <c r="J116" s="408">
        <f t="shared" si="153"/>
        <v>2507522845.8992653</v>
      </c>
      <c r="K116" s="408">
        <f t="shared" si="153"/>
        <v>2737970061.7903924</v>
      </c>
      <c r="L116" s="408">
        <f t="shared" si="153"/>
        <v>2332976539.0283284</v>
      </c>
      <c r="M116" s="408">
        <f t="shared" si="153"/>
        <v>2048869568.4783392</v>
      </c>
      <c r="N116" s="408">
        <f t="shared" si="153"/>
        <v>2674568105.0633163</v>
      </c>
      <c r="O116" s="409">
        <f t="shared" si="151"/>
        <v>30955639020.494553</v>
      </c>
      <c r="T116" s="31"/>
      <c r="U116" s="408">
        <f>U114+U115</f>
        <v>3251754616.3967133</v>
      </c>
      <c r="V116" s="408">
        <f t="shared" ref="V116:AF116" si="154">V114+V115</f>
        <v>2912161319.8462186</v>
      </c>
      <c r="W116" s="408">
        <f t="shared" si="154"/>
        <v>2896572747.8216786</v>
      </c>
      <c r="X116" s="408">
        <f t="shared" si="154"/>
        <v>2555994994.0680556</v>
      </c>
      <c r="Y116" s="408">
        <f t="shared" si="154"/>
        <v>2751502003.6006904</v>
      </c>
      <c r="Z116" s="408">
        <f t="shared" si="154"/>
        <v>2822793536.4035096</v>
      </c>
      <c r="AA116" s="408">
        <f t="shared" si="154"/>
        <v>2702696803.217629</v>
      </c>
      <c r="AB116" s="408">
        <f t="shared" si="154"/>
        <v>3144846714.9885359</v>
      </c>
      <c r="AC116" s="408">
        <f t="shared" si="154"/>
        <v>3437532219.6827021</v>
      </c>
      <c r="AD116" s="408">
        <f t="shared" si="154"/>
        <v>2926075625.5298157</v>
      </c>
      <c r="AE116" s="408">
        <f t="shared" si="154"/>
        <v>2567665273.4123592</v>
      </c>
      <c r="AF116" s="408">
        <f t="shared" si="154"/>
        <v>3353688476.3670177</v>
      </c>
      <c r="AG116" s="409">
        <f t="shared" si="152"/>
        <v>35323284331.33493</v>
      </c>
    </row>
    <row r="117" spans="1:33">
      <c r="H117" s="73"/>
      <c r="T117" s="31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</row>
    <row r="118" spans="1:33">
      <c r="T118" s="31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</row>
    <row r="119" spans="1:33">
      <c r="A119" t="s">
        <v>124</v>
      </c>
      <c r="B119" t="s">
        <v>123</v>
      </c>
      <c r="C119" s="39">
        <f t="shared" ref="C119:N120" si="155">C8+C14+C20+C26+C32</f>
        <v>42</v>
      </c>
      <c r="D119" s="39">
        <f t="shared" si="155"/>
        <v>54</v>
      </c>
      <c r="E119" s="39">
        <f t="shared" si="155"/>
        <v>55</v>
      </c>
      <c r="F119" s="39">
        <f t="shared" si="155"/>
        <v>40</v>
      </c>
      <c r="G119" s="39">
        <f t="shared" si="155"/>
        <v>28</v>
      </c>
      <c r="H119" s="39">
        <f t="shared" si="155"/>
        <v>45</v>
      </c>
      <c r="I119" s="39">
        <f t="shared" si="155"/>
        <v>47</v>
      </c>
      <c r="J119" s="39">
        <f t="shared" si="155"/>
        <v>56</v>
      </c>
      <c r="K119" s="39">
        <f t="shared" si="155"/>
        <v>47</v>
      </c>
      <c r="L119" s="39">
        <f t="shared" si="155"/>
        <v>48</v>
      </c>
      <c r="M119" s="39">
        <f t="shared" si="155"/>
        <v>48</v>
      </c>
      <c r="N119" s="39">
        <f t="shared" si="155"/>
        <v>62</v>
      </c>
      <c r="O119" s="61">
        <f t="shared" ref="O119:O122" si="156">SUM(C119:N119)</f>
        <v>572</v>
      </c>
      <c r="T119" t="s">
        <v>123</v>
      </c>
      <c r="U119" s="39">
        <f t="shared" ref="U119:AF120" si="157">U8+U14+U20+U26+U32</f>
        <v>42</v>
      </c>
      <c r="V119" s="39">
        <f t="shared" si="157"/>
        <v>54</v>
      </c>
      <c r="W119" s="39">
        <f t="shared" si="157"/>
        <v>55</v>
      </c>
      <c r="X119" s="39">
        <f t="shared" si="157"/>
        <v>40</v>
      </c>
      <c r="Y119" s="39">
        <f t="shared" si="157"/>
        <v>28</v>
      </c>
      <c r="Z119" s="39">
        <f t="shared" si="157"/>
        <v>45</v>
      </c>
      <c r="AA119" s="39">
        <f t="shared" si="157"/>
        <v>47</v>
      </c>
      <c r="AB119" s="39">
        <f t="shared" si="157"/>
        <v>56</v>
      </c>
      <c r="AC119" s="39">
        <f t="shared" si="157"/>
        <v>47</v>
      </c>
      <c r="AD119" s="39">
        <f t="shared" si="157"/>
        <v>48</v>
      </c>
      <c r="AE119" s="39">
        <f t="shared" si="157"/>
        <v>48</v>
      </c>
      <c r="AF119" s="39">
        <f t="shared" si="157"/>
        <v>62</v>
      </c>
      <c r="AG119" s="61">
        <f t="shared" ref="AG119:AG122" si="158">SUM(U119:AF119)</f>
        <v>572</v>
      </c>
    </row>
    <row r="120" spans="1:33">
      <c r="B120" t="s">
        <v>64</v>
      </c>
      <c r="C120" s="39">
        <f t="shared" si="155"/>
        <v>775467</v>
      </c>
      <c r="D120" s="39">
        <f t="shared" si="155"/>
        <v>898075</v>
      </c>
      <c r="E120" s="39">
        <f t="shared" si="155"/>
        <v>897928</v>
      </c>
      <c r="F120" s="39">
        <f t="shared" si="155"/>
        <v>707336</v>
      </c>
      <c r="G120" s="39">
        <f t="shared" si="155"/>
        <v>492865.6742424242</v>
      </c>
      <c r="H120" s="39">
        <f t="shared" si="155"/>
        <v>810130.5877192982</v>
      </c>
      <c r="I120" s="39">
        <f t="shared" si="155"/>
        <v>779248.72202797211</v>
      </c>
      <c r="J120" s="39">
        <f t="shared" si="155"/>
        <v>991860.1176470588</v>
      </c>
      <c r="K120" s="39">
        <f t="shared" si="155"/>
        <v>872243.26893939392</v>
      </c>
      <c r="L120" s="39">
        <f t="shared" si="155"/>
        <v>896027.0877192982</v>
      </c>
      <c r="M120" s="39">
        <f t="shared" si="155"/>
        <v>760443.26223776233</v>
      </c>
      <c r="N120" s="39">
        <f t="shared" si="155"/>
        <v>1132723.754010695</v>
      </c>
      <c r="O120" s="61">
        <f t="shared" si="156"/>
        <v>10014348.474543903</v>
      </c>
      <c r="T120" t="s">
        <v>64</v>
      </c>
      <c r="U120" s="39">
        <f t="shared" si="157"/>
        <v>814241</v>
      </c>
      <c r="V120" s="39">
        <f t="shared" si="157"/>
        <v>942980</v>
      </c>
      <c r="W120" s="39">
        <f t="shared" si="157"/>
        <v>942826</v>
      </c>
      <c r="X120" s="39">
        <f t="shared" si="157"/>
        <v>742705</v>
      </c>
      <c r="Y120" s="39">
        <f t="shared" si="157"/>
        <v>517510</v>
      </c>
      <c r="Z120" s="39">
        <f t="shared" si="157"/>
        <v>850639</v>
      </c>
      <c r="AA120" s="39">
        <f t="shared" si="157"/>
        <v>818212</v>
      </c>
      <c r="AB120" s="39">
        <f t="shared" si="157"/>
        <v>1041455</v>
      </c>
      <c r="AC120" s="39">
        <f t="shared" si="157"/>
        <v>915857</v>
      </c>
      <c r="AD120" s="39">
        <f t="shared" si="157"/>
        <v>940830</v>
      </c>
      <c r="AE120" s="39">
        <f t="shared" si="157"/>
        <v>798466</v>
      </c>
      <c r="AF120" s="39">
        <f t="shared" si="157"/>
        <v>1189362</v>
      </c>
      <c r="AG120" s="61">
        <f t="shared" si="158"/>
        <v>10515083</v>
      </c>
    </row>
    <row r="121" spans="1:33">
      <c r="A121" t="s">
        <v>125</v>
      </c>
      <c r="B121" t="s">
        <v>123</v>
      </c>
      <c r="C121" s="31">
        <f t="shared" ref="C121:N122" si="159">C41+C47+C53+C59+C65+C71+C77+C83+C89</f>
        <v>214</v>
      </c>
      <c r="D121" s="31">
        <f t="shared" si="159"/>
        <v>212</v>
      </c>
      <c r="E121" s="31">
        <f t="shared" si="159"/>
        <v>232</v>
      </c>
      <c r="F121" s="31">
        <f t="shared" si="159"/>
        <v>233</v>
      </c>
      <c r="G121" s="31">
        <f t="shared" si="159"/>
        <v>227</v>
      </c>
      <c r="H121" s="31">
        <f t="shared" si="159"/>
        <v>231</v>
      </c>
      <c r="I121" s="31">
        <f t="shared" si="159"/>
        <v>223</v>
      </c>
      <c r="J121" s="31">
        <f t="shared" si="159"/>
        <v>237</v>
      </c>
      <c r="K121" s="31">
        <f t="shared" si="159"/>
        <v>244</v>
      </c>
      <c r="L121" s="31">
        <f t="shared" si="159"/>
        <v>227</v>
      </c>
      <c r="M121" s="31">
        <f t="shared" si="159"/>
        <v>212</v>
      </c>
      <c r="N121" s="31">
        <f t="shared" si="159"/>
        <v>256</v>
      </c>
      <c r="O121" s="61">
        <f t="shared" si="156"/>
        <v>2748</v>
      </c>
      <c r="T121" t="s">
        <v>123</v>
      </c>
      <c r="U121" s="31">
        <f t="shared" ref="U121:AF122" si="160">U41+U47+U53+U59+U65+U71+U77+U83+U89</f>
        <v>214</v>
      </c>
      <c r="V121" s="31">
        <f t="shared" si="160"/>
        <v>212</v>
      </c>
      <c r="W121" s="31">
        <f t="shared" si="160"/>
        <v>232</v>
      </c>
      <c r="X121" s="31">
        <f t="shared" si="160"/>
        <v>233</v>
      </c>
      <c r="Y121" s="31">
        <f t="shared" si="160"/>
        <v>227</v>
      </c>
      <c r="Z121" s="31">
        <f t="shared" si="160"/>
        <v>231</v>
      </c>
      <c r="AA121" s="31">
        <f t="shared" si="160"/>
        <v>223</v>
      </c>
      <c r="AB121" s="31">
        <f t="shared" si="160"/>
        <v>237</v>
      </c>
      <c r="AC121" s="31">
        <f t="shared" si="160"/>
        <v>244</v>
      </c>
      <c r="AD121" s="31">
        <f t="shared" si="160"/>
        <v>227</v>
      </c>
      <c r="AE121" s="31">
        <f t="shared" si="160"/>
        <v>212</v>
      </c>
      <c r="AF121" s="31">
        <f t="shared" si="160"/>
        <v>256</v>
      </c>
      <c r="AG121" s="61">
        <f t="shared" si="158"/>
        <v>2748</v>
      </c>
    </row>
    <row r="122" spans="1:33">
      <c r="B122" t="s">
        <v>64</v>
      </c>
      <c r="C122" s="31">
        <f t="shared" si="159"/>
        <v>2919461</v>
      </c>
      <c r="D122" s="31">
        <f t="shared" si="159"/>
        <v>1809127</v>
      </c>
      <c r="E122" s="31">
        <f t="shared" si="159"/>
        <v>1706268</v>
      </c>
      <c r="F122" s="31">
        <f t="shared" si="159"/>
        <v>1730829</v>
      </c>
      <c r="G122" s="31">
        <f t="shared" si="159"/>
        <v>2872524.5664683576</v>
      </c>
      <c r="H122" s="31">
        <f t="shared" si="159"/>
        <v>1903974.2819842631</v>
      </c>
      <c r="I122" s="31">
        <f t="shared" si="159"/>
        <v>1780029.0287208406</v>
      </c>
      <c r="J122" s="31">
        <f t="shared" si="159"/>
        <v>1873963.3828458483</v>
      </c>
      <c r="K122" s="31">
        <f t="shared" si="159"/>
        <v>2847689.958076749</v>
      </c>
      <c r="L122" s="31">
        <f t="shared" si="159"/>
        <v>1832080.2909810008</v>
      </c>
      <c r="M122" s="31">
        <f t="shared" si="159"/>
        <v>1606308.8963996531</v>
      </c>
      <c r="N122" s="31">
        <f t="shared" si="159"/>
        <v>1740513.0018657853</v>
      </c>
      <c r="O122" s="61">
        <f t="shared" si="156"/>
        <v>24622768.407342501</v>
      </c>
      <c r="T122" t="s">
        <v>64</v>
      </c>
      <c r="U122" s="31">
        <f t="shared" si="160"/>
        <v>3065436</v>
      </c>
      <c r="V122" s="31">
        <f t="shared" si="160"/>
        <v>1899586</v>
      </c>
      <c r="W122" s="31">
        <f t="shared" si="160"/>
        <v>1791583</v>
      </c>
      <c r="X122" s="31">
        <f t="shared" si="160"/>
        <v>1817373</v>
      </c>
      <c r="Y122" s="31">
        <f t="shared" si="160"/>
        <v>3016153</v>
      </c>
      <c r="Z122" s="31">
        <f t="shared" si="160"/>
        <v>1999175</v>
      </c>
      <c r="AA122" s="31">
        <f t="shared" si="160"/>
        <v>1869032</v>
      </c>
      <c r="AB122" s="31">
        <f t="shared" si="160"/>
        <v>1967664</v>
      </c>
      <c r="AC122" s="31">
        <f t="shared" si="160"/>
        <v>2990076</v>
      </c>
      <c r="AD122" s="31">
        <f t="shared" si="160"/>
        <v>1923686</v>
      </c>
      <c r="AE122" s="31">
        <f t="shared" si="160"/>
        <v>1686627</v>
      </c>
      <c r="AF122" s="31">
        <f t="shared" si="160"/>
        <v>1827541</v>
      </c>
      <c r="AG122" s="61">
        <f t="shared" si="158"/>
        <v>25853932</v>
      </c>
    </row>
    <row r="123" spans="1:33">
      <c r="T123" s="31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</row>
    <row r="124" spans="1:33">
      <c r="T124" s="31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</row>
    <row r="125" spans="1:33">
      <c r="T125" s="31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</row>
    <row r="126" spans="1:33">
      <c r="A126" t="s">
        <v>124</v>
      </c>
      <c r="C126" s="31">
        <f t="shared" ref="C126:N127" si="161">C10+C16+C22+C28+C34</f>
        <v>94.5</v>
      </c>
      <c r="D126" s="31">
        <f t="shared" si="161"/>
        <v>121.5</v>
      </c>
      <c r="E126" s="31">
        <f t="shared" si="161"/>
        <v>123.75</v>
      </c>
      <c r="F126" s="31">
        <f t="shared" si="161"/>
        <v>90</v>
      </c>
      <c r="G126" s="31">
        <f t="shared" si="161"/>
        <v>63</v>
      </c>
      <c r="H126" s="31">
        <f t="shared" si="161"/>
        <v>101.25</v>
      </c>
      <c r="I126" s="31">
        <f t="shared" si="161"/>
        <v>105.75</v>
      </c>
      <c r="J126" s="31">
        <f t="shared" si="161"/>
        <v>126</v>
      </c>
      <c r="K126" s="31">
        <f t="shared" si="161"/>
        <v>105.75</v>
      </c>
      <c r="L126" s="31">
        <f t="shared" si="161"/>
        <v>108</v>
      </c>
      <c r="M126" s="31">
        <f t="shared" si="161"/>
        <v>108</v>
      </c>
      <c r="N126" s="31">
        <f t="shared" si="161"/>
        <v>139.5</v>
      </c>
      <c r="O126" s="61">
        <f t="shared" ref="O126:O131" si="162">SUM(C126:N126)</f>
        <v>1287</v>
      </c>
      <c r="U126" s="31">
        <f t="shared" ref="U126:AF127" si="163">U10+U16+U22+U28+U34</f>
        <v>94.5</v>
      </c>
      <c r="V126" s="31">
        <f t="shared" si="163"/>
        <v>121.5</v>
      </c>
      <c r="W126" s="31">
        <f t="shared" si="163"/>
        <v>123.75</v>
      </c>
      <c r="X126" s="31">
        <f t="shared" si="163"/>
        <v>90</v>
      </c>
      <c r="Y126" s="31">
        <f t="shared" si="163"/>
        <v>63</v>
      </c>
      <c r="Z126" s="31">
        <f t="shared" si="163"/>
        <v>101.25</v>
      </c>
      <c r="AA126" s="31">
        <f t="shared" si="163"/>
        <v>105.75</v>
      </c>
      <c r="AB126" s="31">
        <f t="shared" si="163"/>
        <v>126</v>
      </c>
      <c r="AC126" s="31">
        <f t="shared" si="163"/>
        <v>105.75</v>
      </c>
      <c r="AD126" s="31">
        <f t="shared" si="163"/>
        <v>108</v>
      </c>
      <c r="AE126" s="31">
        <f t="shared" si="163"/>
        <v>108</v>
      </c>
      <c r="AF126" s="31">
        <f t="shared" si="163"/>
        <v>139.5</v>
      </c>
      <c r="AG126" s="61">
        <f t="shared" ref="AG126:AG131" si="164">SUM(U126:AF126)</f>
        <v>1287</v>
      </c>
    </row>
    <row r="127" spans="1:33">
      <c r="C127" s="31">
        <f t="shared" si="161"/>
        <v>1744800.75</v>
      </c>
      <c r="D127" s="31">
        <f t="shared" si="161"/>
        <v>2020668.75</v>
      </c>
      <c r="E127" s="31">
        <f t="shared" si="161"/>
        <v>2020338</v>
      </c>
      <c r="F127" s="31">
        <f t="shared" si="161"/>
        <v>1591506</v>
      </c>
      <c r="G127" s="31">
        <f t="shared" si="161"/>
        <v>1108947.7670454546</v>
      </c>
      <c r="H127" s="31">
        <f t="shared" si="161"/>
        <v>1822793.8223684211</v>
      </c>
      <c r="I127" s="31">
        <f t="shared" si="161"/>
        <v>1753309.6245629371</v>
      </c>
      <c r="J127" s="31">
        <f t="shared" si="161"/>
        <v>2231685.2647058824</v>
      </c>
      <c r="K127" s="31">
        <f t="shared" si="161"/>
        <v>1962547.3551136362</v>
      </c>
      <c r="L127" s="31">
        <f t="shared" si="161"/>
        <v>2016060.9473684211</v>
      </c>
      <c r="M127" s="31">
        <f t="shared" si="161"/>
        <v>1710997.340034965</v>
      </c>
      <c r="N127" s="31">
        <f t="shared" si="161"/>
        <v>2548628.4465240641</v>
      </c>
      <c r="O127" s="61">
        <f t="shared" si="162"/>
        <v>22532284.067723785</v>
      </c>
      <c r="U127" s="31">
        <f t="shared" si="163"/>
        <v>1832042.25</v>
      </c>
      <c r="V127" s="31">
        <f t="shared" si="163"/>
        <v>2121705</v>
      </c>
      <c r="W127" s="31">
        <f t="shared" si="163"/>
        <v>2121358.5</v>
      </c>
      <c r="X127" s="31">
        <f t="shared" si="163"/>
        <v>1671086.25</v>
      </c>
      <c r="Y127" s="31">
        <f t="shared" si="163"/>
        <v>1164397.5</v>
      </c>
      <c r="Z127" s="31">
        <f t="shared" si="163"/>
        <v>1913937.75</v>
      </c>
      <c r="AA127" s="31">
        <f t="shared" si="163"/>
        <v>1840977</v>
      </c>
      <c r="AB127" s="31">
        <f t="shared" si="163"/>
        <v>2343273.75</v>
      </c>
      <c r="AC127" s="31">
        <f t="shared" si="163"/>
        <v>2060678.25</v>
      </c>
      <c r="AD127" s="31">
        <f t="shared" si="163"/>
        <v>2116867.5</v>
      </c>
      <c r="AE127" s="31">
        <f t="shared" si="163"/>
        <v>1796548.5</v>
      </c>
      <c r="AF127" s="31">
        <f t="shared" si="163"/>
        <v>2676064.5</v>
      </c>
      <c r="AG127" s="61">
        <f t="shared" si="164"/>
        <v>23658936.75</v>
      </c>
    </row>
    <row r="128" spans="1:33">
      <c r="A128" t="s">
        <v>125</v>
      </c>
      <c r="C128" s="31">
        <f t="shared" ref="C128:N129" si="165">C43+C49+C55+C61+C67+C73+C79+C85+C91</f>
        <v>481.5</v>
      </c>
      <c r="D128" s="31">
        <f t="shared" si="165"/>
        <v>477</v>
      </c>
      <c r="E128" s="31">
        <f t="shared" si="165"/>
        <v>522</v>
      </c>
      <c r="F128" s="31">
        <f t="shared" si="165"/>
        <v>524.25</v>
      </c>
      <c r="G128" s="31">
        <f t="shared" si="165"/>
        <v>510.75</v>
      </c>
      <c r="H128" s="31">
        <f t="shared" si="165"/>
        <v>519.75</v>
      </c>
      <c r="I128" s="31">
        <f t="shared" si="165"/>
        <v>501.75</v>
      </c>
      <c r="J128" s="31">
        <f t="shared" si="165"/>
        <v>533.25</v>
      </c>
      <c r="K128" s="31">
        <f t="shared" si="165"/>
        <v>549</v>
      </c>
      <c r="L128" s="31">
        <f t="shared" si="165"/>
        <v>510.75</v>
      </c>
      <c r="M128" s="31">
        <f t="shared" si="165"/>
        <v>477</v>
      </c>
      <c r="N128" s="31">
        <f t="shared" si="165"/>
        <v>576</v>
      </c>
      <c r="O128" s="61">
        <f t="shared" si="162"/>
        <v>6183</v>
      </c>
      <c r="U128" s="31">
        <f t="shared" ref="U128:AF129" si="166">U43+U49+U55+U61+U67+U73+U79+U85+U91</f>
        <v>481.5</v>
      </c>
      <c r="V128" s="31">
        <f t="shared" si="166"/>
        <v>477</v>
      </c>
      <c r="W128" s="31">
        <f t="shared" si="166"/>
        <v>522</v>
      </c>
      <c r="X128" s="31">
        <f t="shared" si="166"/>
        <v>524.25</v>
      </c>
      <c r="Y128" s="31">
        <f t="shared" si="166"/>
        <v>510.75</v>
      </c>
      <c r="Z128" s="31">
        <f t="shared" si="166"/>
        <v>519.75</v>
      </c>
      <c r="AA128" s="31">
        <f t="shared" si="166"/>
        <v>501.75</v>
      </c>
      <c r="AB128" s="31">
        <f t="shared" si="166"/>
        <v>533.25</v>
      </c>
      <c r="AC128" s="31">
        <f t="shared" si="166"/>
        <v>549</v>
      </c>
      <c r="AD128" s="31">
        <f t="shared" si="166"/>
        <v>510.75</v>
      </c>
      <c r="AE128" s="31">
        <f t="shared" si="166"/>
        <v>477</v>
      </c>
      <c r="AF128" s="31">
        <f t="shared" si="166"/>
        <v>576</v>
      </c>
      <c r="AG128" s="61">
        <f t="shared" si="164"/>
        <v>6183</v>
      </c>
    </row>
    <row r="129" spans="3:33">
      <c r="C129" s="31">
        <f t="shared" si="165"/>
        <v>6568787.25</v>
      </c>
      <c r="D129" s="31">
        <f t="shared" si="165"/>
        <v>4070535.75</v>
      </c>
      <c r="E129" s="31">
        <f t="shared" si="165"/>
        <v>3839103</v>
      </c>
      <c r="F129" s="31">
        <f t="shared" si="165"/>
        <v>3894365.25</v>
      </c>
      <c r="G129" s="31">
        <f t="shared" si="165"/>
        <v>6463180.2745538037</v>
      </c>
      <c r="H129" s="31">
        <f t="shared" si="165"/>
        <v>4283942.1344645917</v>
      </c>
      <c r="I129" s="31">
        <f t="shared" si="165"/>
        <v>4005065.3146218909</v>
      </c>
      <c r="J129" s="31">
        <f t="shared" si="165"/>
        <v>4216417.6114031589</v>
      </c>
      <c r="K129" s="31">
        <f t="shared" si="165"/>
        <v>6407302.4056726843</v>
      </c>
      <c r="L129" s="31">
        <f t="shared" si="165"/>
        <v>4122180.6547072516</v>
      </c>
      <c r="M129" s="31">
        <f t="shared" si="165"/>
        <v>3614195.0168992197</v>
      </c>
      <c r="N129" s="31">
        <f t="shared" si="165"/>
        <v>3916154.2541980171</v>
      </c>
      <c r="O129" s="61">
        <f t="shared" si="162"/>
        <v>55401228.916520618</v>
      </c>
      <c r="U129" s="31">
        <f t="shared" si="166"/>
        <v>6897231</v>
      </c>
      <c r="V129" s="31">
        <f t="shared" si="166"/>
        <v>4274068.5</v>
      </c>
      <c r="W129" s="31">
        <f t="shared" si="166"/>
        <v>4031061.75</v>
      </c>
      <c r="X129" s="31">
        <f t="shared" si="166"/>
        <v>4089089.25</v>
      </c>
      <c r="Y129" s="31">
        <f t="shared" si="166"/>
        <v>6786344.25</v>
      </c>
      <c r="Z129" s="31">
        <f t="shared" si="166"/>
        <v>4498143.75</v>
      </c>
      <c r="AA129" s="31">
        <f t="shared" si="166"/>
        <v>4205322</v>
      </c>
      <c r="AB129" s="31">
        <f t="shared" si="166"/>
        <v>4427244</v>
      </c>
      <c r="AC129" s="31">
        <f t="shared" si="166"/>
        <v>6727671</v>
      </c>
      <c r="AD129" s="31">
        <f t="shared" si="166"/>
        <v>4328293.5</v>
      </c>
      <c r="AE129" s="31">
        <f t="shared" si="166"/>
        <v>3794910.75</v>
      </c>
      <c r="AF129" s="31">
        <f t="shared" si="166"/>
        <v>4111967.25</v>
      </c>
      <c r="AG129" s="61">
        <f t="shared" si="164"/>
        <v>58171347</v>
      </c>
    </row>
    <row r="130" spans="3:33">
      <c r="C130" s="31">
        <f>C126+C128</f>
        <v>576</v>
      </c>
      <c r="D130" s="31">
        <f t="shared" ref="D130:N131" si="167">D126+D128</f>
        <v>598.5</v>
      </c>
      <c r="E130" s="31">
        <f t="shared" si="167"/>
        <v>645.75</v>
      </c>
      <c r="F130" s="31">
        <f t="shared" si="167"/>
        <v>614.25</v>
      </c>
      <c r="G130" s="31">
        <f t="shared" si="167"/>
        <v>573.75</v>
      </c>
      <c r="H130" s="31">
        <f t="shared" si="167"/>
        <v>621</v>
      </c>
      <c r="I130" s="31">
        <f t="shared" si="167"/>
        <v>607.5</v>
      </c>
      <c r="J130" s="31">
        <f t="shared" si="167"/>
        <v>659.25</v>
      </c>
      <c r="K130" s="31">
        <f t="shared" si="167"/>
        <v>654.75</v>
      </c>
      <c r="L130" s="31">
        <f t="shared" si="167"/>
        <v>618.75</v>
      </c>
      <c r="M130" s="31">
        <f t="shared" si="167"/>
        <v>585</v>
      </c>
      <c r="N130" s="31">
        <f t="shared" si="167"/>
        <v>715.5</v>
      </c>
      <c r="O130" s="61">
        <f t="shared" si="162"/>
        <v>7470</v>
      </c>
      <c r="U130" s="31">
        <f>U126+U128</f>
        <v>576</v>
      </c>
      <c r="V130" s="31">
        <f t="shared" ref="V130:AF131" si="168">V126+V128</f>
        <v>598.5</v>
      </c>
      <c r="W130" s="31">
        <f t="shared" si="168"/>
        <v>645.75</v>
      </c>
      <c r="X130" s="31">
        <f t="shared" si="168"/>
        <v>614.25</v>
      </c>
      <c r="Y130" s="31">
        <f t="shared" si="168"/>
        <v>573.75</v>
      </c>
      <c r="Z130" s="31">
        <f t="shared" si="168"/>
        <v>621</v>
      </c>
      <c r="AA130" s="31">
        <f t="shared" si="168"/>
        <v>607.5</v>
      </c>
      <c r="AB130" s="31">
        <f t="shared" si="168"/>
        <v>659.25</v>
      </c>
      <c r="AC130" s="31">
        <f t="shared" si="168"/>
        <v>654.75</v>
      </c>
      <c r="AD130" s="31">
        <f t="shared" si="168"/>
        <v>618.75</v>
      </c>
      <c r="AE130" s="31">
        <f t="shared" si="168"/>
        <v>585</v>
      </c>
      <c r="AF130" s="31">
        <f t="shared" si="168"/>
        <v>715.5</v>
      </c>
      <c r="AG130" s="61">
        <f t="shared" si="164"/>
        <v>7470</v>
      </c>
    </row>
    <row r="131" spans="3:33">
      <c r="C131" s="31">
        <f>C127+C129</f>
        <v>8313588</v>
      </c>
      <c r="D131" s="31">
        <f t="shared" si="167"/>
        <v>6091204.5</v>
      </c>
      <c r="E131" s="31">
        <f t="shared" si="167"/>
        <v>5859441</v>
      </c>
      <c r="F131" s="31">
        <f t="shared" si="167"/>
        <v>5485871.25</v>
      </c>
      <c r="G131" s="31">
        <f t="shared" si="167"/>
        <v>7572128.0415992588</v>
      </c>
      <c r="H131" s="31">
        <f t="shared" si="167"/>
        <v>6106735.9568330124</v>
      </c>
      <c r="I131" s="31">
        <f t="shared" si="167"/>
        <v>5758374.9391848277</v>
      </c>
      <c r="J131" s="31">
        <f t="shared" si="167"/>
        <v>6448102.8761090413</v>
      </c>
      <c r="K131" s="31">
        <f t="shared" si="167"/>
        <v>8369849.760786321</v>
      </c>
      <c r="L131" s="31">
        <f t="shared" si="167"/>
        <v>6138241.6020756727</v>
      </c>
      <c r="M131" s="31">
        <f t="shared" si="167"/>
        <v>5325192.3569341842</v>
      </c>
      <c r="N131" s="31">
        <f t="shared" si="167"/>
        <v>6464782.7007220816</v>
      </c>
      <c r="O131" s="61">
        <f t="shared" si="162"/>
        <v>77933512.984244406</v>
      </c>
      <c r="U131" s="31">
        <f>U127+U129</f>
        <v>8729273.25</v>
      </c>
      <c r="V131" s="31">
        <f t="shared" si="168"/>
        <v>6395773.5</v>
      </c>
      <c r="W131" s="31">
        <f t="shared" si="168"/>
        <v>6152420.25</v>
      </c>
      <c r="X131" s="31">
        <f t="shared" si="168"/>
        <v>5760175.5</v>
      </c>
      <c r="Y131" s="31">
        <f t="shared" si="168"/>
        <v>7950741.75</v>
      </c>
      <c r="Z131" s="31">
        <f t="shared" si="168"/>
        <v>6412081.5</v>
      </c>
      <c r="AA131" s="31">
        <f t="shared" si="168"/>
        <v>6046299</v>
      </c>
      <c r="AB131" s="31">
        <f t="shared" si="168"/>
        <v>6770517.75</v>
      </c>
      <c r="AC131" s="31">
        <f t="shared" si="168"/>
        <v>8788349.25</v>
      </c>
      <c r="AD131" s="31">
        <f t="shared" si="168"/>
        <v>6445161</v>
      </c>
      <c r="AE131" s="31">
        <f t="shared" si="168"/>
        <v>5591459.25</v>
      </c>
      <c r="AF131" s="31">
        <f t="shared" si="168"/>
        <v>6788031.75</v>
      </c>
      <c r="AG131" s="61">
        <f t="shared" si="164"/>
        <v>81830283.75</v>
      </c>
    </row>
    <row r="132" spans="3:33"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410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410"/>
    </row>
    <row r="133" spans="3:33">
      <c r="T133" t="s">
        <v>52</v>
      </c>
      <c r="U133" s="39">
        <v>105.06</v>
      </c>
      <c r="V133" s="39">
        <v>74.16</v>
      </c>
      <c r="W133" s="39">
        <v>55.62</v>
      </c>
      <c r="X133" s="39">
        <v>57.68</v>
      </c>
      <c r="Y133" s="39">
        <v>65.92</v>
      </c>
      <c r="Z133" s="39">
        <v>137.29147141514059</v>
      </c>
      <c r="AA133" s="39">
        <v>47.189583135826751</v>
      </c>
      <c r="AB133" s="39">
        <v>109.08641709409875</v>
      </c>
      <c r="AC133" s="39">
        <v>121.38916265135219</v>
      </c>
      <c r="AD133" s="39">
        <v>106.47074814472211</v>
      </c>
      <c r="AE133" s="39">
        <v>136.90727351597022</v>
      </c>
      <c r="AF133" s="39">
        <v>129.15544873576749</v>
      </c>
      <c r="AG133" s="39">
        <v>1145.9301046928781</v>
      </c>
    </row>
    <row r="134" spans="3:33">
      <c r="T134" t="s">
        <v>53</v>
      </c>
      <c r="U134" s="39">
        <v>1183375.24</v>
      </c>
      <c r="V134" s="39">
        <v>1415889.5</v>
      </c>
      <c r="W134" s="39">
        <v>1378339.82</v>
      </c>
      <c r="X134" s="39">
        <v>1479386.94</v>
      </c>
      <c r="Y134" s="39">
        <v>1634721.24</v>
      </c>
      <c r="Z134" s="39">
        <v>1443693.2685049602</v>
      </c>
      <c r="AA134" s="39">
        <v>540702.01817822549</v>
      </c>
      <c r="AB134" s="39">
        <v>1249920.8926859586</v>
      </c>
      <c r="AC134" s="39">
        <v>1390886.7353549481</v>
      </c>
      <c r="AD134" s="39">
        <v>1219950.3486414554</v>
      </c>
      <c r="AE134" s="39">
        <v>1568694.4909068751</v>
      </c>
      <c r="AF134" s="39">
        <v>1479873.4625211114</v>
      </c>
      <c r="AG134" s="39">
        <v>15985433.956793536</v>
      </c>
    </row>
    <row r="135" spans="3:33">
      <c r="T135" t="s">
        <v>54</v>
      </c>
      <c r="U135" s="39">
        <v>66385312.800000004</v>
      </c>
      <c r="V135" s="39">
        <v>46860220.799999997</v>
      </c>
      <c r="W135" s="39">
        <v>35145165.600000001</v>
      </c>
      <c r="X135" s="39">
        <v>36446838.399999999</v>
      </c>
      <c r="Y135" s="39">
        <v>41653529.600000001</v>
      </c>
      <c r="Z135" s="39">
        <v>86751734.957799032</v>
      </c>
      <c r="AA135" s="39">
        <v>29818153.791866209</v>
      </c>
      <c r="AB135" s="39">
        <v>68929525.23341912</v>
      </c>
      <c r="AC135" s="39">
        <v>76703384.096136421</v>
      </c>
      <c r="AD135" s="39">
        <v>67276736.337687001</v>
      </c>
      <c r="AE135" s="39">
        <v>86508967.989271268</v>
      </c>
      <c r="AF135" s="39">
        <v>81610744.947156757</v>
      </c>
      <c r="AG135" s="39">
        <v>724090314.55333579</v>
      </c>
    </row>
    <row r="136" spans="3:33">
      <c r="T136" t="s">
        <v>55</v>
      </c>
      <c r="U136" s="39">
        <v>214190918.44</v>
      </c>
      <c r="V136" s="39">
        <v>256275999.5</v>
      </c>
      <c r="W136" s="39">
        <v>249479507.42000002</v>
      </c>
      <c r="X136" s="39">
        <v>267769036.13999999</v>
      </c>
      <c r="Y136" s="39">
        <v>295884544.44</v>
      </c>
      <c r="Z136" s="39">
        <v>261308481.59939781</v>
      </c>
      <c r="AA136" s="39">
        <v>97867065.29025881</v>
      </c>
      <c r="AB136" s="39">
        <v>226235681.57615852</v>
      </c>
      <c r="AC136" s="39">
        <v>251750499.09924561</v>
      </c>
      <c r="AD136" s="39">
        <v>220811013.10410342</v>
      </c>
      <c r="AE136" s="39">
        <v>283933702.85414439</v>
      </c>
      <c r="AF136" s="39">
        <v>267857096.71632117</v>
      </c>
      <c r="AG136" s="39">
        <v>2893363546.1796298</v>
      </c>
    </row>
    <row r="138" spans="3:33"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</row>
    <row r="140" spans="3:33">
      <c r="T140" t="s">
        <v>220</v>
      </c>
      <c r="U140">
        <v>635</v>
      </c>
      <c r="V140">
        <v>561</v>
      </c>
      <c r="W140">
        <v>643</v>
      </c>
      <c r="X140">
        <v>580</v>
      </c>
      <c r="Y140">
        <v>592</v>
      </c>
      <c r="Z140">
        <v>510</v>
      </c>
      <c r="AA140">
        <v>546</v>
      </c>
      <c r="AB140">
        <v>682</v>
      </c>
      <c r="AC140">
        <v>734</v>
      </c>
      <c r="AD140">
        <v>700.51308387715858</v>
      </c>
      <c r="AE140">
        <v>692</v>
      </c>
      <c r="AF140">
        <v>736</v>
      </c>
    </row>
    <row r="141" spans="3:33">
      <c r="U141">
        <v>5856124</v>
      </c>
      <c r="V141">
        <v>5533791</v>
      </c>
      <c r="W141">
        <v>7962161</v>
      </c>
      <c r="X141">
        <v>5774983</v>
      </c>
      <c r="Y141">
        <v>5854190</v>
      </c>
      <c r="Z141">
        <v>5188314</v>
      </c>
      <c r="AA141">
        <v>2673746.8857475948</v>
      </c>
      <c r="AB141">
        <v>2241221.3085426185</v>
      </c>
      <c r="AC141">
        <v>2664340.5133035555</v>
      </c>
      <c r="AD141">
        <v>2514921.4667568482</v>
      </c>
      <c r="AE141">
        <v>2617351.9102729317</v>
      </c>
      <c r="AF141">
        <v>2580840.322426606</v>
      </c>
    </row>
  </sheetData>
  <mergeCells count="2">
    <mergeCell ref="B5:N5"/>
    <mergeCell ref="T5:AF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2D41-4BAB-4AA9-BD65-3CA355DBD06B}">
  <sheetPr>
    <tabColor rgb="FF00B0F0"/>
  </sheetPr>
  <dimension ref="A1:AQ299"/>
  <sheetViews>
    <sheetView topLeftCell="AJ1" zoomScale="69" zoomScaleNormal="50" workbookViewId="0">
      <pane ySplit="5" topLeftCell="A268" activePane="bottomLeft" state="frozen"/>
      <selection pane="bottomLeft" activeCell="AS295" sqref="AS295"/>
    </sheetView>
  </sheetViews>
  <sheetFormatPr defaultRowHeight="15.6"/>
  <cols>
    <col min="1" max="1" width="61.5546875" bestFit="1" customWidth="1"/>
    <col min="2" max="2" width="13.44140625" bestFit="1" customWidth="1"/>
    <col min="3" max="3" width="15.109375" bestFit="1" customWidth="1"/>
    <col min="4" max="15" width="20.5546875" bestFit="1" customWidth="1"/>
    <col min="16" max="17" width="22" bestFit="1" customWidth="1"/>
    <col min="18" max="18" width="20.5546875" bestFit="1" customWidth="1"/>
    <col min="19" max="19" width="8.88671875" style="411"/>
    <col min="20" max="20" width="18.44140625" bestFit="1" customWidth="1"/>
    <col min="25" max="25" width="21.77734375" customWidth="1"/>
    <col min="26" max="26" width="18.44140625" customWidth="1"/>
    <col min="27" max="38" width="20.5546875" bestFit="1" customWidth="1"/>
    <col min="39" max="39" width="22" bestFit="1" customWidth="1"/>
    <col min="40" max="41" width="20.5546875" bestFit="1" customWidth="1"/>
    <col min="42" max="42" width="8.88671875" style="411"/>
    <col min="43" max="43" width="18.44140625" bestFit="1" customWidth="1"/>
  </cols>
  <sheetData>
    <row r="1" spans="1:39">
      <c r="K1" s="26"/>
      <c r="AH1" s="26"/>
    </row>
    <row r="2" spans="1:39">
      <c r="B2" t="s">
        <v>36</v>
      </c>
      <c r="D2">
        <f>'[1]PANDU PELUM'!C1</f>
        <v>17500</v>
      </c>
      <c r="F2" t="s">
        <v>65</v>
      </c>
      <c r="I2" s="73"/>
      <c r="Y2" t="s">
        <v>36</v>
      </c>
      <c r="AA2" t="str">
        <f>'[1]PANDU PELUM'!Z1</f>
        <v>Tarif LN</v>
      </c>
      <c r="AC2" t="s">
        <v>65</v>
      </c>
      <c r="AG2" s="73">
        <f>[1]USULAN!I25</f>
        <v>211079475883</v>
      </c>
    </row>
    <row r="3" spans="1:39">
      <c r="D3" t="s">
        <v>37</v>
      </c>
      <c r="F3" s="398">
        <v>7.65</v>
      </c>
      <c r="H3" s="31">
        <f>[1]USULAN!H25</f>
        <v>201661288508.07016</v>
      </c>
      <c r="I3" s="147">
        <f>[1]USULAN!G25</f>
        <v>187722314609.42999</v>
      </c>
      <c r="J3" s="438">
        <f>H3-I3</f>
        <v>13938973898.640167</v>
      </c>
      <c r="AA3" t="s">
        <v>37</v>
      </c>
      <c r="AC3" s="220">
        <v>7.9462225649600002</v>
      </c>
      <c r="AF3">
        <v>1</v>
      </c>
      <c r="AG3" s="73">
        <f>[1]USULAN!J25</f>
        <v>206274289285.38013</v>
      </c>
    </row>
    <row r="4" spans="1:39">
      <c r="AG4" s="147">
        <f>AG3-AG2</f>
        <v>-4805186597.619873</v>
      </c>
    </row>
    <row r="5" spans="1:39">
      <c r="B5" s="333" t="s">
        <v>239</v>
      </c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Y5" s="333" t="s">
        <v>106</v>
      </c>
      <c r="Z5" s="333"/>
      <c r="AA5" s="333"/>
      <c r="AB5" s="333"/>
      <c r="AC5" s="333"/>
      <c r="AD5" s="333"/>
      <c r="AE5" s="333"/>
      <c r="AF5" s="333"/>
      <c r="AG5" s="333"/>
      <c r="AH5" s="333"/>
      <c r="AI5" s="333"/>
      <c r="AJ5" s="333"/>
      <c r="AK5" s="333"/>
      <c r="AL5" s="333"/>
    </row>
    <row r="6" spans="1:39"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AA6" t="s">
        <v>38</v>
      </c>
      <c r="AB6" t="s">
        <v>39</v>
      </c>
      <c r="AC6" t="s">
        <v>40</v>
      </c>
      <c r="AD6" t="s">
        <v>41</v>
      </c>
      <c r="AE6" t="s">
        <v>42</v>
      </c>
      <c r="AF6" t="s">
        <v>43</v>
      </c>
      <c r="AG6" t="s">
        <v>44</v>
      </c>
      <c r="AH6" t="s">
        <v>45</v>
      </c>
      <c r="AI6" t="s">
        <v>46</v>
      </c>
      <c r="AJ6" t="s">
        <v>47</v>
      </c>
      <c r="AK6" t="s">
        <v>48</v>
      </c>
      <c r="AL6" t="s">
        <v>49</v>
      </c>
    </row>
    <row r="7" spans="1:39">
      <c r="B7" s="28" t="s">
        <v>50</v>
      </c>
      <c r="C7" s="28"/>
      <c r="Q7" t="s">
        <v>64</v>
      </c>
      <c r="Y7" s="28" t="s">
        <v>50</v>
      </c>
      <c r="Z7" s="28"/>
    </row>
    <row r="8" spans="1:39">
      <c r="B8" t="s">
        <v>51</v>
      </c>
      <c r="C8" t="s">
        <v>66</v>
      </c>
      <c r="D8" s="428">
        <f>'[1]PANDU PELSUS'!C8</f>
        <v>0</v>
      </c>
      <c r="E8" s="428">
        <f>'[1]PANDU PELSUS'!D8</f>
        <v>0</v>
      </c>
      <c r="F8" s="428">
        <f>'[1]PANDU PELSUS'!E8</f>
        <v>0</v>
      </c>
      <c r="G8" s="428">
        <f>'[1]PANDU PELSUS'!F8</f>
        <v>0</v>
      </c>
      <c r="H8" s="428">
        <f>'[1]PANDU PELSUS'!G8</f>
        <v>0</v>
      </c>
      <c r="I8" s="428">
        <f>'[1]PANDU PELSUS'!H8</f>
        <v>0</v>
      </c>
      <c r="J8" s="29">
        <f>'[1]PANDU PELSUS'!I8</f>
        <v>0</v>
      </c>
      <c r="K8" s="29">
        <f>'[1]PANDU PELSUS'!J8</f>
        <v>0</v>
      </c>
      <c r="L8" s="29">
        <f>'[1]PANDU PELSUS'!K8</f>
        <v>0</v>
      </c>
      <c r="M8" s="29">
        <f>'[1]PANDU PELSUS'!L8</f>
        <v>0</v>
      </c>
      <c r="N8" s="29">
        <f>'[1]PANDU PELSUS'!M8</f>
        <v>0</v>
      </c>
      <c r="O8" s="29">
        <f>'[1]PANDU PELSUS'!N8</f>
        <v>0</v>
      </c>
      <c r="P8" s="39">
        <f>SUM(D8:O8)</f>
        <v>0</v>
      </c>
      <c r="Q8" t="e">
        <f>P9/P8</f>
        <v>#DIV/0!</v>
      </c>
      <c r="Y8" t="s">
        <v>51</v>
      </c>
      <c r="Z8" t="s">
        <v>66</v>
      </c>
      <c r="AA8" s="428">
        <f>'[1]PANDU PELSUS'!U8</f>
        <v>0</v>
      </c>
      <c r="AB8" s="428">
        <f>'[1]PANDU PELSUS'!V8</f>
        <v>0</v>
      </c>
      <c r="AC8" s="428">
        <f>'[1]PANDU PELSUS'!W8</f>
        <v>0</v>
      </c>
      <c r="AD8" s="428">
        <f>'[1]PANDU PELSUS'!X8</f>
        <v>0</v>
      </c>
      <c r="AE8" s="428">
        <f>'[1]PANDU PELSUS'!Y8</f>
        <v>0</v>
      </c>
      <c r="AF8" s="428">
        <f>'[1]PANDU PELSUS'!Z8</f>
        <v>0</v>
      </c>
      <c r="AG8" s="428">
        <f>'[1]PANDU PELSUS'!AA8</f>
        <v>0</v>
      </c>
      <c r="AH8" s="428">
        <f>'[1]PANDU PELSUS'!AB8</f>
        <v>0</v>
      </c>
      <c r="AI8" s="428">
        <f>'[1]PANDU PELSUS'!AC8</f>
        <v>0</v>
      </c>
      <c r="AJ8" s="428">
        <f>'[1]PANDU PELSUS'!AD8</f>
        <v>0</v>
      </c>
      <c r="AK8" s="428">
        <f>'[1]PANDU PELSUS'!AE8</f>
        <v>0</v>
      </c>
      <c r="AL8" s="428">
        <f>'[1]PANDU PELSUS'!AF8</f>
        <v>0</v>
      </c>
      <c r="AM8" s="39">
        <f>SUM(AA8:AL8)</f>
        <v>0</v>
      </c>
    </row>
    <row r="9" spans="1:39">
      <c r="D9" s="428">
        <f>'[1]PANDU PELSUS'!C9</f>
        <v>0</v>
      </c>
      <c r="E9" s="428">
        <f>'[1]PANDU PELSUS'!D9</f>
        <v>0</v>
      </c>
      <c r="F9" s="428">
        <f>'[1]PANDU PELSUS'!E9</f>
        <v>0</v>
      </c>
      <c r="G9" s="428">
        <f>'[1]PANDU PELSUS'!F9</f>
        <v>0</v>
      </c>
      <c r="H9" s="428">
        <f>'[1]PANDU PELSUS'!G9</f>
        <v>0</v>
      </c>
      <c r="I9" s="428">
        <f>'[1]PANDU PELSUS'!H9</f>
        <v>0</v>
      </c>
      <c r="J9" s="29">
        <f>'[1]PANDU PELSUS'!I9</f>
        <v>0</v>
      </c>
      <c r="K9" s="29">
        <f>'[1]PANDU PELSUS'!J9</f>
        <v>0</v>
      </c>
      <c r="L9" s="29">
        <f>'[1]PANDU PELSUS'!K9</f>
        <v>0</v>
      </c>
      <c r="M9" s="29">
        <f>'[1]PANDU PELSUS'!L9</f>
        <v>0</v>
      </c>
      <c r="N9" s="29">
        <f>'[1]PANDU PELSUS'!M9</f>
        <v>0</v>
      </c>
      <c r="O9" s="29">
        <f>'[1]PANDU PELSUS'!N9</f>
        <v>0</v>
      </c>
      <c r="P9" s="39">
        <f>SUM(D9:O9)</f>
        <v>0</v>
      </c>
      <c r="AA9" s="428">
        <f>'[1]PANDU PELSUS'!U9</f>
        <v>0</v>
      </c>
      <c r="AB9" s="428">
        <f>'[1]PANDU PELSUS'!V9</f>
        <v>0</v>
      </c>
      <c r="AC9" s="428">
        <f>'[1]PANDU PELSUS'!W9</f>
        <v>0</v>
      </c>
      <c r="AD9" s="428">
        <f>'[1]PANDU PELSUS'!X9</f>
        <v>0</v>
      </c>
      <c r="AE9" s="428">
        <f>'[1]PANDU PELSUS'!Y9</f>
        <v>0</v>
      </c>
      <c r="AF9" s="428">
        <f>'[1]PANDU PELSUS'!Z9</f>
        <v>0</v>
      </c>
      <c r="AG9" s="428">
        <f>'[1]PANDU PELSUS'!AA9</f>
        <v>0</v>
      </c>
      <c r="AH9" s="428">
        <f>'[1]PANDU PELSUS'!AB9</f>
        <v>0</v>
      </c>
      <c r="AI9" s="428">
        <f>'[1]PANDU PELSUS'!AC9</f>
        <v>0</v>
      </c>
      <c r="AJ9" s="428">
        <f>'[1]PANDU PELSUS'!AD9</f>
        <v>0</v>
      </c>
      <c r="AK9" s="428">
        <f>'[1]PANDU PELSUS'!AE9</f>
        <v>0</v>
      </c>
      <c r="AL9" s="428">
        <f>'[1]PANDU PELSUS'!AF9</f>
        <v>0</v>
      </c>
      <c r="AM9" s="39">
        <f>SUM(AA9:AL9)</f>
        <v>0</v>
      </c>
    </row>
    <row r="10" spans="1:39">
      <c r="A10" s="427" t="s">
        <v>238</v>
      </c>
      <c r="B10" s="40" t="s">
        <v>20</v>
      </c>
      <c r="C10" s="41">
        <v>389</v>
      </c>
      <c r="D10" s="42"/>
      <c r="E10" s="42"/>
      <c r="F10" s="42"/>
      <c r="G10" s="42"/>
      <c r="H10" s="42"/>
      <c r="I10" s="42"/>
      <c r="J10" s="43"/>
      <c r="K10" s="43"/>
      <c r="L10" s="43"/>
      <c r="M10" s="43"/>
      <c r="N10" s="43"/>
      <c r="O10" s="43"/>
      <c r="Y10" s="40" t="s">
        <v>20</v>
      </c>
      <c r="Z10" s="41">
        <v>389</v>
      </c>
      <c r="AA10" s="42"/>
      <c r="AB10" s="42"/>
      <c r="AC10" s="42"/>
      <c r="AD10" s="42"/>
      <c r="AE10" s="42"/>
      <c r="AF10" s="42"/>
      <c r="AG10" s="43"/>
      <c r="AH10" s="43"/>
      <c r="AI10" s="43"/>
      <c r="AJ10" s="43"/>
      <c r="AK10" s="43"/>
      <c r="AL10" s="43"/>
    </row>
    <row r="11" spans="1:39">
      <c r="A11" s="427"/>
      <c r="B11" s="40" t="s">
        <v>21</v>
      </c>
      <c r="C11" s="41">
        <v>0.01</v>
      </c>
      <c r="D11" s="42"/>
      <c r="E11" s="42"/>
      <c r="F11" s="42"/>
      <c r="G11" s="42"/>
      <c r="H11" s="42"/>
      <c r="I11" s="42"/>
      <c r="J11" s="43"/>
      <c r="K11" s="43"/>
      <c r="L11" s="43"/>
      <c r="M11" s="43"/>
      <c r="N11" s="43"/>
      <c r="O11" s="43"/>
      <c r="Y11" s="40" t="s">
        <v>21</v>
      </c>
      <c r="Z11" s="41">
        <v>0.01</v>
      </c>
      <c r="AA11" s="42"/>
      <c r="AB11" s="42"/>
      <c r="AC11" s="42"/>
      <c r="AD11" s="42"/>
      <c r="AE11" s="42"/>
      <c r="AF11" s="42"/>
      <c r="AG11" s="43"/>
      <c r="AH11" s="43"/>
      <c r="AI11" s="43"/>
      <c r="AJ11" s="43"/>
      <c r="AK11" s="43"/>
      <c r="AL11" s="43"/>
    </row>
    <row r="12" spans="1:39">
      <c r="A12" s="427" t="s">
        <v>237</v>
      </c>
      <c r="B12" s="40" t="s">
        <v>20</v>
      </c>
      <c r="C12" s="41">
        <v>859</v>
      </c>
      <c r="D12" s="42"/>
      <c r="E12" s="42"/>
      <c r="F12" s="42"/>
      <c r="G12" s="42"/>
      <c r="H12" s="42"/>
      <c r="I12" s="42"/>
      <c r="J12" s="43"/>
      <c r="K12" s="43"/>
      <c r="L12" s="43"/>
      <c r="M12" s="43"/>
      <c r="N12" s="43"/>
      <c r="O12" s="43"/>
      <c r="Y12" s="40" t="s">
        <v>20</v>
      </c>
      <c r="Z12" s="41">
        <v>859</v>
      </c>
      <c r="AA12" s="42"/>
      <c r="AB12" s="42"/>
      <c r="AC12" s="42"/>
      <c r="AD12" s="42"/>
      <c r="AE12" s="42"/>
      <c r="AF12" s="42"/>
      <c r="AG12" s="43"/>
      <c r="AH12" s="43"/>
      <c r="AI12" s="43"/>
      <c r="AJ12" s="43"/>
      <c r="AK12" s="43"/>
      <c r="AL12" s="43"/>
    </row>
    <row r="13" spans="1:39">
      <c r="A13" s="427"/>
      <c r="B13" s="40" t="s">
        <v>21</v>
      </c>
      <c r="C13" s="41">
        <v>0.01</v>
      </c>
      <c r="D13" s="42"/>
      <c r="E13" s="42"/>
      <c r="F13" s="42"/>
      <c r="G13" s="42"/>
      <c r="H13" s="42"/>
      <c r="I13" s="42"/>
      <c r="J13" s="43"/>
      <c r="K13" s="43"/>
      <c r="L13" s="43"/>
      <c r="M13" s="43"/>
      <c r="N13" s="43"/>
      <c r="O13" s="43"/>
      <c r="Y13" s="40" t="s">
        <v>21</v>
      </c>
      <c r="Z13" s="41">
        <v>0.01</v>
      </c>
      <c r="AA13" s="42"/>
      <c r="AB13" s="42"/>
      <c r="AC13" s="42"/>
      <c r="AD13" s="42"/>
      <c r="AE13" s="42"/>
      <c r="AF13" s="42"/>
      <c r="AG13" s="43"/>
      <c r="AH13" s="43"/>
      <c r="AI13" s="43"/>
      <c r="AJ13" s="43"/>
      <c r="AK13" s="43"/>
      <c r="AL13" s="43"/>
    </row>
    <row r="14" spans="1:39">
      <c r="A14" s="427" t="s">
        <v>236</v>
      </c>
      <c r="B14" s="40" t="s">
        <v>20</v>
      </c>
      <c r="C14" s="41">
        <v>1342.72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39">
        <f>SUM(D14:O14)</f>
        <v>0</v>
      </c>
      <c r="Y14" s="40" t="s">
        <v>20</v>
      </c>
      <c r="Z14" s="41">
        <v>1342.72</v>
      </c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39"/>
    </row>
    <row r="15" spans="1:39">
      <c r="A15" s="427"/>
      <c r="B15" s="40" t="s">
        <v>21</v>
      </c>
      <c r="C15" s="41">
        <v>0.01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39">
        <f>SUM(D15:O15)</f>
        <v>0</v>
      </c>
      <c r="Y15" s="40" t="s">
        <v>21</v>
      </c>
      <c r="Z15" s="41">
        <v>0.01</v>
      </c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39"/>
    </row>
    <row r="16" spans="1:39">
      <c r="A16" s="427" t="s">
        <v>235</v>
      </c>
      <c r="B16" s="40" t="s">
        <v>20</v>
      </c>
      <c r="C16" s="41">
        <v>1700.12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Y16" s="40" t="s">
        <v>20</v>
      </c>
      <c r="Z16" s="41">
        <v>1700.12</v>
      </c>
      <c r="AA16" s="42">
        <f>AA8*$AC$3*$AF$3</f>
        <v>0</v>
      </c>
      <c r="AB16" s="42">
        <f>AB8*$AC$3*$AF$3</f>
        <v>0</v>
      </c>
      <c r="AC16" s="42">
        <f>AC8*$AC$3*$AF$3</f>
        <v>0</v>
      </c>
      <c r="AD16" s="42">
        <f>AD8*$AC$3*$AF$3</f>
        <v>0</v>
      </c>
      <c r="AE16" s="42">
        <f>AE8*$AC$3*$AF$3</f>
        <v>0</v>
      </c>
      <c r="AF16" s="42">
        <f>AF8*$AC$3*$AF$3</f>
        <v>0</v>
      </c>
      <c r="AG16" s="42">
        <f>AG8*$AC$3*$AF$3</f>
        <v>0</v>
      </c>
      <c r="AH16" s="42">
        <f>AH8*$AC$3*$AF$3</f>
        <v>0</v>
      </c>
      <c r="AI16" s="42">
        <f>AI8*$AC$3*$AF$3</f>
        <v>0</v>
      </c>
      <c r="AJ16" s="42">
        <f>AJ8*$AC$3*$AF$3</f>
        <v>0</v>
      </c>
      <c r="AK16" s="42">
        <f>AK8*$AC$3*$AF$3</f>
        <v>0</v>
      </c>
      <c r="AL16" s="42">
        <f>AL8*$AC$3*$AF$3</f>
        <v>0</v>
      </c>
      <c r="AM16" s="39">
        <f>SUM(AA16:AL16)</f>
        <v>0</v>
      </c>
    </row>
    <row r="17" spans="1:43">
      <c r="A17" s="427"/>
      <c r="B17" s="40" t="s">
        <v>21</v>
      </c>
      <c r="C17" s="41">
        <v>7.0000000000000001E-3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Y17" s="40" t="s">
        <v>21</v>
      </c>
      <c r="Z17" s="41">
        <v>7.0000000000000001E-3</v>
      </c>
      <c r="AA17" s="42">
        <f>AA9*$AC$3*$AF$3</f>
        <v>0</v>
      </c>
      <c r="AB17" s="42">
        <f>AB9*$AC$3*$AF$3</f>
        <v>0</v>
      </c>
      <c r="AC17" s="42">
        <f>AC9*$AC$3*$AF$3</f>
        <v>0</v>
      </c>
      <c r="AD17" s="42">
        <f>AD9*$AC$3*$AF$3</f>
        <v>0</v>
      </c>
      <c r="AE17" s="42">
        <f>AE9*$AC$3*$AF$3</f>
        <v>0</v>
      </c>
      <c r="AF17" s="42">
        <f>AF9*$AC$3*$AF$3</f>
        <v>0</v>
      </c>
      <c r="AG17" s="42">
        <f>AG9*$AC$3*$AF$3</f>
        <v>0</v>
      </c>
      <c r="AH17" s="42">
        <f>AH9*$AC$3*$AF$3</f>
        <v>0</v>
      </c>
      <c r="AI17" s="42">
        <f>AI9*$AC$3*$AF$3</f>
        <v>0</v>
      </c>
      <c r="AJ17" s="42">
        <f>AJ9*$AC$3*$AF$3</f>
        <v>0</v>
      </c>
      <c r="AK17" s="42">
        <f>AK9*$AC$3*$AF$3</f>
        <v>0</v>
      </c>
      <c r="AL17" s="42">
        <f>AL9*$AC$3*$AF$3</f>
        <v>0</v>
      </c>
      <c r="AM17" s="39">
        <f>SUM(AA17:AL17)</f>
        <v>0</v>
      </c>
    </row>
    <row r="18" spans="1:43">
      <c r="A18" s="427" t="s">
        <v>234</v>
      </c>
      <c r="B18" s="40" t="s">
        <v>20</v>
      </c>
      <c r="C18" s="41">
        <v>1921.86</v>
      </c>
      <c r="D18" s="42">
        <f>D$8*$F$3</f>
        <v>0</v>
      </c>
      <c r="E18" s="42">
        <f>E$8*$F$3</f>
        <v>0</v>
      </c>
      <c r="F18" s="42">
        <f>F$8*$F$3</f>
        <v>0</v>
      </c>
      <c r="G18" s="42">
        <f>G$8*$F$3</f>
        <v>0</v>
      </c>
      <c r="H18" s="42">
        <f>H$8*$F$3</f>
        <v>0</v>
      </c>
      <c r="I18" s="42">
        <f>I$8*$F$3</f>
        <v>0</v>
      </c>
      <c r="J18" s="42">
        <f>J$8*$F$3</f>
        <v>0</v>
      </c>
      <c r="K18" s="42">
        <f>K$8*$F$3</f>
        <v>0</v>
      </c>
      <c r="L18" s="42">
        <f>L$8*$F$3</f>
        <v>0</v>
      </c>
      <c r="M18" s="42">
        <f>M$8*$F$3</f>
        <v>0</v>
      </c>
      <c r="N18" s="42">
        <f>N$8*$F$3</f>
        <v>0</v>
      </c>
      <c r="O18" s="42">
        <f>O$8*$F$3</f>
        <v>0</v>
      </c>
      <c r="Y18" s="40" t="s">
        <v>20</v>
      </c>
      <c r="Z18" s="41">
        <v>1921.86</v>
      </c>
      <c r="AA18" s="42"/>
      <c r="AB18" s="42"/>
      <c r="AC18" s="42"/>
      <c r="AD18" s="42"/>
      <c r="AE18" s="42"/>
      <c r="AF18" s="42"/>
      <c r="AG18" s="43"/>
      <c r="AH18" s="43"/>
      <c r="AI18" s="43"/>
      <c r="AJ18" s="43"/>
      <c r="AK18" s="43"/>
      <c r="AL18" s="43"/>
    </row>
    <row r="19" spans="1:43">
      <c r="A19" s="427"/>
      <c r="B19" s="40" t="s">
        <v>21</v>
      </c>
      <c r="C19" s="41">
        <v>5.0000000000000001E-3</v>
      </c>
      <c r="D19" s="42">
        <f>D$9*$F$3</f>
        <v>0</v>
      </c>
      <c r="E19" s="42">
        <f>E$9*$F$3</f>
        <v>0</v>
      </c>
      <c r="F19" s="42">
        <f>F$9*$F$3</f>
        <v>0</v>
      </c>
      <c r="G19" s="42">
        <f>G$9*$F$3</f>
        <v>0</v>
      </c>
      <c r="H19" s="42">
        <f>H$9*$F$3</f>
        <v>0</v>
      </c>
      <c r="I19" s="42">
        <f>I$9*$F$3</f>
        <v>0</v>
      </c>
      <c r="J19" s="42">
        <f>J$9*$F$3</f>
        <v>0</v>
      </c>
      <c r="K19" s="42">
        <f>K$9*$F$3</f>
        <v>0</v>
      </c>
      <c r="L19" s="42">
        <f>L$9*$F$3</f>
        <v>0</v>
      </c>
      <c r="M19" s="42">
        <f>M$9*$F$3</f>
        <v>0</v>
      </c>
      <c r="N19" s="42">
        <f>N$9*$F$3</f>
        <v>0</v>
      </c>
      <c r="O19" s="42">
        <f>O$9*$F$3</f>
        <v>0</v>
      </c>
      <c r="Y19" s="40" t="s">
        <v>21</v>
      </c>
      <c r="Z19" s="41">
        <v>5.0000000000000001E-3</v>
      </c>
      <c r="AA19" s="42"/>
      <c r="AB19" s="42"/>
      <c r="AC19" s="42"/>
      <c r="AD19" s="42"/>
      <c r="AE19" s="42"/>
      <c r="AF19" s="42"/>
      <c r="AG19" s="43"/>
      <c r="AH19" s="43"/>
      <c r="AI19" s="43"/>
      <c r="AJ19" s="43"/>
      <c r="AK19" s="43"/>
      <c r="AL19" s="43"/>
    </row>
    <row r="20" spans="1:43">
      <c r="A20" s="427" t="s">
        <v>233</v>
      </c>
      <c r="B20" s="40" t="s">
        <v>20</v>
      </c>
      <c r="C20" s="41">
        <v>2000.72</v>
      </c>
      <c r="D20" s="42"/>
      <c r="E20" s="42"/>
      <c r="F20" s="42"/>
      <c r="G20" s="42"/>
      <c r="H20" s="42"/>
      <c r="I20" s="42"/>
      <c r="J20" s="43"/>
      <c r="K20" s="43"/>
      <c r="L20" s="43"/>
      <c r="M20" s="43"/>
      <c r="N20" s="43"/>
      <c r="O20" s="43"/>
      <c r="Y20" s="40" t="s">
        <v>20</v>
      </c>
      <c r="Z20" s="41">
        <v>2000.72</v>
      </c>
      <c r="AA20" s="42"/>
      <c r="AB20" s="42"/>
      <c r="AC20" s="42"/>
      <c r="AD20" s="42"/>
      <c r="AE20" s="42"/>
      <c r="AF20" s="42"/>
      <c r="AG20" s="43"/>
      <c r="AH20" s="43"/>
      <c r="AI20" s="43"/>
      <c r="AJ20" s="43"/>
      <c r="AK20" s="43"/>
      <c r="AL20" s="43"/>
    </row>
    <row r="21" spans="1:43">
      <c r="A21" s="427"/>
      <c r="B21" s="40" t="s">
        <v>21</v>
      </c>
      <c r="C21" s="41">
        <v>5.0000000000000001E-3</v>
      </c>
      <c r="D21" s="42"/>
      <c r="E21" s="42"/>
      <c r="F21" s="42"/>
      <c r="G21" s="42"/>
      <c r="H21" s="42"/>
      <c r="I21" s="42"/>
      <c r="J21" s="43"/>
      <c r="K21" s="43"/>
      <c r="L21" s="43"/>
      <c r="M21" s="43"/>
      <c r="N21" s="43"/>
      <c r="O21" s="43"/>
      <c r="Y21" s="40" t="s">
        <v>21</v>
      </c>
      <c r="Z21" s="41">
        <v>5.0000000000000001E-3</v>
      </c>
      <c r="AA21" s="42"/>
      <c r="AB21" s="42"/>
      <c r="AC21" s="42"/>
      <c r="AD21" s="42"/>
      <c r="AE21" s="42"/>
      <c r="AF21" s="42"/>
      <c r="AG21" s="43"/>
      <c r="AH21" s="43"/>
      <c r="AI21" s="43"/>
      <c r="AJ21" s="43"/>
      <c r="AK21" s="43"/>
      <c r="AL21" s="43"/>
    </row>
    <row r="22" spans="1:43">
      <c r="A22" s="427" t="s">
        <v>232</v>
      </c>
      <c r="B22" s="40" t="s">
        <v>20</v>
      </c>
      <c r="C22" s="41">
        <v>2129.14</v>
      </c>
      <c r="D22" s="42"/>
      <c r="E22" s="42"/>
      <c r="F22" s="42"/>
      <c r="G22" s="42"/>
      <c r="H22" s="42"/>
      <c r="I22" s="42"/>
      <c r="J22" s="43"/>
      <c r="K22" s="43"/>
      <c r="L22" s="43"/>
      <c r="M22" s="43"/>
      <c r="N22" s="43"/>
      <c r="O22" s="43"/>
      <c r="Y22" s="40" t="s">
        <v>20</v>
      </c>
      <c r="Z22" s="41">
        <v>2129.14</v>
      </c>
      <c r="AA22" s="42"/>
      <c r="AB22" s="42"/>
      <c r="AC22" s="42"/>
      <c r="AD22" s="42"/>
      <c r="AE22" s="42"/>
      <c r="AF22" s="42"/>
      <c r="AG22" s="43"/>
      <c r="AH22" s="43"/>
      <c r="AI22" s="43"/>
      <c r="AJ22" s="43"/>
      <c r="AK22" s="43"/>
      <c r="AL22" s="43"/>
    </row>
    <row r="23" spans="1:43">
      <c r="A23" s="427"/>
      <c r="B23" s="40" t="s">
        <v>21</v>
      </c>
      <c r="C23" s="41">
        <v>2E-3</v>
      </c>
      <c r="D23" s="42"/>
      <c r="E23" s="42"/>
      <c r="F23" s="42"/>
      <c r="G23" s="42"/>
      <c r="H23" s="42"/>
      <c r="I23" s="42"/>
      <c r="J23" s="43"/>
      <c r="K23" s="43"/>
      <c r="L23" s="43"/>
      <c r="M23" s="43"/>
      <c r="N23" s="43"/>
      <c r="O23" s="43"/>
      <c r="Y23" s="40" t="s">
        <v>21</v>
      </c>
      <c r="Z23" s="41">
        <v>2E-3</v>
      </c>
      <c r="AA23" s="42"/>
      <c r="AB23" s="42"/>
      <c r="AC23" s="42"/>
      <c r="AD23" s="42"/>
      <c r="AE23" s="42"/>
      <c r="AF23" s="42"/>
      <c r="AG23" s="43"/>
      <c r="AH23" s="43"/>
      <c r="AI23" s="43"/>
      <c r="AJ23" s="43"/>
      <c r="AK23" s="43"/>
      <c r="AL23" s="43"/>
    </row>
    <row r="24" spans="1:43">
      <c r="A24" s="427" t="s">
        <v>231</v>
      </c>
      <c r="B24" s="40" t="s">
        <v>20</v>
      </c>
      <c r="C24" s="41">
        <v>2751.2</v>
      </c>
      <c r="D24" s="42"/>
      <c r="E24" s="42"/>
      <c r="F24" s="42"/>
      <c r="G24" s="42"/>
      <c r="H24" s="42"/>
      <c r="I24" s="42"/>
      <c r="J24" s="43"/>
      <c r="K24" s="43"/>
      <c r="L24" s="43"/>
      <c r="M24" s="43"/>
      <c r="N24" s="43"/>
      <c r="O24" s="43"/>
      <c r="Y24" s="40" t="s">
        <v>20</v>
      </c>
      <c r="Z24" s="41">
        <v>2751.2</v>
      </c>
      <c r="AA24" s="42"/>
      <c r="AB24" s="42"/>
      <c r="AC24" s="42"/>
      <c r="AD24" s="42"/>
      <c r="AE24" s="42"/>
      <c r="AF24" s="42"/>
      <c r="AG24" s="43"/>
      <c r="AH24" s="43"/>
      <c r="AI24" s="43"/>
      <c r="AJ24" s="43"/>
      <c r="AK24" s="43"/>
      <c r="AL24" s="43"/>
    </row>
    <row r="25" spans="1:43">
      <c r="A25" s="427"/>
      <c r="B25" s="40" t="s">
        <v>21</v>
      </c>
      <c r="C25" s="41">
        <v>2E-3</v>
      </c>
      <c r="D25" s="42"/>
      <c r="E25" s="42"/>
      <c r="F25" s="42"/>
      <c r="G25" s="42"/>
      <c r="H25" s="42"/>
      <c r="I25" s="42"/>
      <c r="J25" s="43"/>
      <c r="K25" s="43"/>
      <c r="L25" s="43"/>
      <c r="M25" s="43"/>
      <c r="N25" s="43"/>
      <c r="O25" s="43"/>
      <c r="Y25" s="40" t="s">
        <v>21</v>
      </c>
      <c r="Z25" s="41">
        <v>2E-3</v>
      </c>
      <c r="AA25" s="42"/>
      <c r="AB25" s="42"/>
      <c r="AC25" s="42"/>
      <c r="AD25" s="42"/>
      <c r="AE25" s="42"/>
      <c r="AF25" s="42"/>
      <c r="AG25" s="43"/>
      <c r="AH25" s="43"/>
      <c r="AI25" s="43"/>
      <c r="AJ25" s="43"/>
      <c r="AK25" s="43"/>
      <c r="AL25" s="43"/>
    </row>
    <row r="26" spans="1:43">
      <c r="D26" s="29">
        <f>D18*$C$18*$D$2</f>
        <v>0</v>
      </c>
      <c r="E26" s="29">
        <f>E18*$C$18*$D$2</f>
        <v>0</v>
      </c>
      <c r="F26" s="29">
        <f>F18*$C$18*$D$2</f>
        <v>0</v>
      </c>
      <c r="G26" s="29">
        <f>G18*$C$18*$D$2</f>
        <v>0</v>
      </c>
      <c r="H26" s="29">
        <f>H18*$C$18*$D$2</f>
        <v>0</v>
      </c>
      <c r="I26" s="29">
        <f>I18*$C$18*$D$2</f>
        <v>0</v>
      </c>
      <c r="J26" s="29">
        <f>J18*$C$18*$D$2</f>
        <v>0</v>
      </c>
      <c r="K26" s="29">
        <f>K18*$C$18*$D$2</f>
        <v>0</v>
      </c>
      <c r="L26" s="29">
        <f>L18*$C$18*$D$2</f>
        <v>0</v>
      </c>
      <c r="M26" s="29">
        <f>M18*$C$18*$D$2</f>
        <v>0</v>
      </c>
      <c r="N26" s="29">
        <f>N18*$C$18*$D$2</f>
        <v>0</v>
      </c>
      <c r="O26" s="29">
        <f>O18*$C$18*$D$2</f>
        <v>0</v>
      </c>
      <c r="P26" s="39">
        <f>SUM(D26:O26)</f>
        <v>0</v>
      </c>
      <c r="Q26" s="402"/>
      <c r="R26" s="54" t="e">
        <f>P26/Q26</f>
        <v>#DIV/0!</v>
      </c>
      <c r="S26" s="424"/>
      <c r="AA26" s="29">
        <f>AA16*$Z$16*$D$2</f>
        <v>0</v>
      </c>
      <c r="AB26" s="29">
        <f>AB16*$Z$16*$D$2</f>
        <v>0</v>
      </c>
      <c r="AC26" s="29">
        <f>AC16*$Z$16*$D$2</f>
        <v>0</v>
      </c>
      <c r="AD26" s="29">
        <f>AD16*$Z$16*$D$2</f>
        <v>0</v>
      </c>
      <c r="AE26" s="29">
        <f>AE16*$Z$16*$D$2</f>
        <v>0</v>
      </c>
      <c r="AF26" s="29">
        <f>AF16*$Z$16*$D$2</f>
        <v>0</v>
      </c>
      <c r="AG26" s="29">
        <f>AG16*$Z$16*$D$2</f>
        <v>0</v>
      </c>
      <c r="AH26" s="29">
        <f>AH16*$Z$16*$D$2</f>
        <v>0</v>
      </c>
      <c r="AI26" s="29">
        <f>AI16*$Z$16*$D$2</f>
        <v>0</v>
      </c>
      <c r="AJ26" s="29">
        <f>AJ16*$Z$16*$D$2</f>
        <v>0</v>
      </c>
      <c r="AK26" s="29">
        <f>AK16*$Z$16*$D$2</f>
        <v>0</v>
      </c>
      <c r="AL26" s="29">
        <f>AL16*$Z$16*$D$2</f>
        <v>0</v>
      </c>
      <c r="AM26" s="39">
        <f>SUM(AA26:AL26)</f>
        <v>0</v>
      </c>
      <c r="AN26" s="402"/>
      <c r="AO26" s="54"/>
      <c r="AP26" s="424"/>
    </row>
    <row r="27" spans="1:43">
      <c r="D27" s="29">
        <f>D19*$C$19*$D$2</f>
        <v>0</v>
      </c>
      <c r="E27" s="29">
        <f>E19*$C$19*$D$2</f>
        <v>0</v>
      </c>
      <c r="F27" s="29">
        <f>F19*$C$19*$D$2</f>
        <v>0</v>
      </c>
      <c r="G27" s="29">
        <f>G19*$C$19*$D$2</f>
        <v>0</v>
      </c>
      <c r="H27" s="29">
        <f>H19*$C$19*$D$2</f>
        <v>0</v>
      </c>
      <c r="I27" s="29">
        <f>I19*$C$19*$D$2</f>
        <v>0</v>
      </c>
      <c r="J27" s="29">
        <f>J19*$C$19*$D$2</f>
        <v>0</v>
      </c>
      <c r="K27" s="29">
        <f>K19*$C$19*$D$2</f>
        <v>0</v>
      </c>
      <c r="L27" s="29">
        <f>L19*$C$19*$D$2</f>
        <v>0</v>
      </c>
      <c r="M27" s="29">
        <f>M19*$C$19*$D$2</f>
        <v>0</v>
      </c>
      <c r="N27" s="29">
        <f>N19*$C$19*$D$2</f>
        <v>0</v>
      </c>
      <c r="O27" s="29">
        <f>O19*$C$19*$D$2</f>
        <v>0</v>
      </c>
      <c r="P27" s="39">
        <f>SUM(D27:O27)</f>
        <v>0</v>
      </c>
      <c r="Q27" s="84"/>
      <c r="R27" s="54" t="e">
        <f>P27/Q27</f>
        <v>#DIV/0!</v>
      </c>
      <c r="S27" s="424"/>
      <c r="AA27" s="29">
        <f>AA17*$Z$17*$D$2</f>
        <v>0</v>
      </c>
      <c r="AB27" s="29">
        <f>AB17*$Z$17*$D$2</f>
        <v>0</v>
      </c>
      <c r="AC27" s="29">
        <f>AC17*$Z$17*$D$2</f>
        <v>0</v>
      </c>
      <c r="AD27" s="29">
        <f>AD17*$Z$17*$D$2</f>
        <v>0</v>
      </c>
      <c r="AE27" s="29">
        <f>AE17*$Z$17*$D$2</f>
        <v>0</v>
      </c>
      <c r="AF27" s="29">
        <f>AF17*$Z$17*$D$2</f>
        <v>0</v>
      </c>
      <c r="AG27" s="29">
        <f>AG17*$Z$17*$D$2</f>
        <v>0</v>
      </c>
      <c r="AH27" s="29">
        <f>AH17*$Z$17*$D$2</f>
        <v>0</v>
      </c>
      <c r="AI27" s="29">
        <f>AI17*$Z$17*$D$2</f>
        <v>0</v>
      </c>
      <c r="AJ27" s="29">
        <f>AJ17*$Z$17*$D$2</f>
        <v>0</v>
      </c>
      <c r="AK27" s="29">
        <f>AK17*$Z$17*$D$2</f>
        <v>0</v>
      </c>
      <c r="AL27" s="29">
        <f>AL17*$Z$17*$D$2</f>
        <v>0</v>
      </c>
      <c r="AM27" s="39">
        <f>SUM(AA27:AL27)</f>
        <v>0</v>
      </c>
      <c r="AN27" s="84"/>
      <c r="AO27" s="54"/>
      <c r="AP27" s="424"/>
    </row>
    <row r="28" spans="1:43">
      <c r="A28" s="44"/>
      <c r="B28" s="44"/>
      <c r="C28" s="44"/>
      <c r="D28" s="45"/>
      <c r="E28" s="45"/>
      <c r="F28" s="45"/>
      <c r="G28" s="45"/>
      <c r="H28" s="45"/>
      <c r="I28" s="45"/>
      <c r="J28" s="46"/>
      <c r="K28" s="46"/>
      <c r="L28" s="46"/>
      <c r="M28" s="46"/>
      <c r="N28" s="46"/>
      <c r="O28" s="46"/>
      <c r="P28" s="48">
        <f>P26+P27</f>
        <v>0</v>
      </c>
      <c r="Q28" s="44"/>
      <c r="R28" s="44"/>
      <c r="S28" s="424">
        <f>P28/$P$277</f>
        <v>0</v>
      </c>
      <c r="T28" s="430">
        <f>$P$279*S28</f>
        <v>0</v>
      </c>
      <c r="Y28" s="44"/>
      <c r="Z28" s="44"/>
      <c r="AA28" s="45"/>
      <c r="AB28" s="45"/>
      <c r="AC28" s="45"/>
      <c r="AD28" s="45"/>
      <c r="AE28" s="45"/>
      <c r="AF28" s="45"/>
      <c r="AG28" s="46"/>
      <c r="AH28" s="46"/>
      <c r="AI28" s="46"/>
      <c r="AJ28" s="46"/>
      <c r="AK28" s="46"/>
      <c r="AL28" s="46"/>
      <c r="AM28" s="48">
        <f>AM26+AM27</f>
        <v>0</v>
      </c>
      <c r="AN28" s="44"/>
      <c r="AO28" s="44"/>
      <c r="AP28" s="424">
        <f>AM28/$P$277</f>
        <v>0</v>
      </c>
      <c r="AQ28" s="430">
        <f>$P$279*AP28</f>
        <v>0</v>
      </c>
    </row>
    <row r="29" spans="1:43">
      <c r="A29" s="44"/>
      <c r="B29" s="44"/>
      <c r="C29" s="44"/>
      <c r="D29" s="45"/>
      <c r="E29" s="45"/>
      <c r="F29" s="45"/>
      <c r="G29" s="45"/>
      <c r="H29" s="45"/>
      <c r="I29" s="45"/>
      <c r="J29" s="46"/>
      <c r="K29" s="46"/>
      <c r="L29" s="46"/>
      <c r="M29" s="46"/>
      <c r="N29" s="46"/>
      <c r="O29" s="46"/>
      <c r="P29" s="44"/>
      <c r="Q29" s="44"/>
      <c r="R29" s="44"/>
      <c r="S29" s="423"/>
      <c r="Y29" s="44"/>
      <c r="Z29" s="44"/>
      <c r="AA29" s="45"/>
      <c r="AB29" s="45"/>
      <c r="AC29" s="45"/>
      <c r="AD29" s="45"/>
      <c r="AE29" s="45"/>
      <c r="AF29" s="45"/>
      <c r="AG29" s="46"/>
      <c r="AH29" s="46"/>
      <c r="AI29" s="46"/>
      <c r="AJ29" s="46"/>
      <c r="AK29" s="46"/>
      <c r="AL29" s="46"/>
      <c r="AM29" s="44"/>
      <c r="AN29" s="44"/>
      <c r="AO29" s="44"/>
      <c r="AP29" s="423"/>
    </row>
    <row r="30" spans="1:43">
      <c r="B30" t="s">
        <v>213</v>
      </c>
      <c r="D30" s="436">
        <f>'[1]PANDU PELSUS'!C14</f>
        <v>11</v>
      </c>
      <c r="E30" s="436">
        <f>'[1]PANDU PELSUS'!D14</f>
        <v>19</v>
      </c>
      <c r="F30" s="436">
        <f>'[1]PANDU PELSUS'!E14</f>
        <v>13</v>
      </c>
      <c r="G30" s="436">
        <f>'[1]PANDU PELSUS'!F14</f>
        <v>11</v>
      </c>
      <c r="H30" s="436">
        <f>'[1]PANDU PELSUS'!G14</f>
        <v>6</v>
      </c>
      <c r="I30" s="436">
        <f>'[1]PANDU PELSUS'!H14</f>
        <v>16</v>
      </c>
      <c r="J30" s="98">
        <f>'[1]PANDU PELSUS'!I14</f>
        <v>14</v>
      </c>
      <c r="K30" s="98">
        <f>'[1]PANDU PELSUS'!J14</f>
        <v>18</v>
      </c>
      <c r="L30" s="98">
        <f>'[1]PANDU PELSUS'!K14</f>
        <v>15</v>
      </c>
      <c r="M30" s="98">
        <f>'[1]PANDU PELSUS'!L14</f>
        <v>16</v>
      </c>
      <c r="N30" s="98">
        <f>'[1]PANDU PELSUS'!M14</f>
        <v>15</v>
      </c>
      <c r="O30" s="98">
        <f>'[1]PANDU PELSUS'!N14</f>
        <v>24</v>
      </c>
      <c r="P30" s="39">
        <f>SUM(D30:O30)</f>
        <v>178</v>
      </c>
      <c r="Q30">
        <f>P31/P30</f>
        <v>22265.497620061782</v>
      </c>
      <c r="S30" s="423"/>
      <c r="Y30" t="s">
        <v>213</v>
      </c>
      <c r="AA30" s="428">
        <f>'[1]PANDU PELSUS'!U14</f>
        <v>11</v>
      </c>
      <c r="AB30" s="428">
        <f>'[1]PANDU PELSUS'!V14</f>
        <v>19</v>
      </c>
      <c r="AC30" s="428">
        <f>'[1]PANDU PELSUS'!W14</f>
        <v>13</v>
      </c>
      <c r="AD30" s="428">
        <f>'[1]PANDU PELSUS'!X14</f>
        <v>11</v>
      </c>
      <c r="AE30" s="428">
        <f>'[1]PANDU PELSUS'!Y14</f>
        <v>6</v>
      </c>
      <c r="AF30" s="428">
        <f>'[1]PANDU PELSUS'!Z14</f>
        <v>16</v>
      </c>
      <c r="AG30" s="428">
        <f>'[1]PANDU PELSUS'!AA14</f>
        <v>14</v>
      </c>
      <c r="AH30" s="428">
        <f>'[1]PANDU PELSUS'!AB14</f>
        <v>18</v>
      </c>
      <c r="AI30" s="428">
        <f>'[1]PANDU PELSUS'!AC14</f>
        <v>15</v>
      </c>
      <c r="AJ30" s="428">
        <f>'[1]PANDU PELSUS'!AD14</f>
        <v>16</v>
      </c>
      <c r="AK30" s="428">
        <f>'[1]PANDU PELSUS'!AE14</f>
        <v>15</v>
      </c>
      <c r="AL30" s="428">
        <f>'[1]PANDU PELSUS'!AF14</f>
        <v>24</v>
      </c>
      <c r="AM30" s="39">
        <f>SUM(AA30:AL30)</f>
        <v>178</v>
      </c>
      <c r="AP30" s="423"/>
    </row>
    <row r="31" spans="1:43">
      <c r="D31" s="436">
        <f>'[1]PANDU PELSUS'!C15</f>
        <v>287597</v>
      </c>
      <c r="E31" s="436">
        <f>'[1]PANDU PELSUS'!D15</f>
        <v>356298</v>
      </c>
      <c r="F31" s="436">
        <f>'[1]PANDU PELSUS'!E15</f>
        <v>286600</v>
      </c>
      <c r="G31" s="436">
        <f>'[1]PANDU PELSUS'!F15</f>
        <v>258250</v>
      </c>
      <c r="H31" s="436">
        <f>'[1]PANDU PELSUS'!G15</f>
        <v>156871.09090909091</v>
      </c>
      <c r="I31" s="436">
        <f>'[1]PANDU PELSUS'!H15</f>
        <v>300040.42105263157</v>
      </c>
      <c r="J31" s="98">
        <f>'[1]PANDU PELSUS'!I15</f>
        <v>308646.15384615387</v>
      </c>
      <c r="K31" s="98">
        <f>'[1]PANDU PELSUS'!J15</f>
        <v>422590.90909090912</v>
      </c>
      <c r="L31" s="98">
        <f>'[1]PANDU PELSUS'!K15</f>
        <v>392177.72727272729</v>
      </c>
      <c r="M31" s="98">
        <f>'[1]PANDU PELSUS'!L15</f>
        <v>300040.42105263157</v>
      </c>
      <c r="N31" s="98">
        <f>'[1]PANDU PELSUS'!M15</f>
        <v>330692.30769230769</v>
      </c>
      <c r="O31" s="98">
        <f>'[1]PANDU PELSUS'!N15</f>
        <v>563454.54545454541</v>
      </c>
      <c r="P31" s="39">
        <f>SUM(D31:O31)</f>
        <v>3963258.5763709969</v>
      </c>
      <c r="S31" s="423"/>
      <c r="AA31" s="428">
        <f>'[1]PANDU PELSUS'!U15</f>
        <v>301977</v>
      </c>
      <c r="AB31" s="428">
        <f>'[1]PANDU PELSUS'!V15</f>
        <v>374113</v>
      </c>
      <c r="AC31" s="428">
        <f>'[1]PANDU PELSUS'!W15</f>
        <v>300930</v>
      </c>
      <c r="AD31" s="428">
        <f>'[1]PANDU PELSUS'!X15</f>
        <v>271163</v>
      </c>
      <c r="AE31" s="428">
        <f>'[1]PANDU PELSUS'!Y15</f>
        <v>164715</v>
      </c>
      <c r="AF31" s="428">
        <f>'[1]PANDU PELSUS'!Z15</f>
        <v>315043</v>
      </c>
      <c r="AG31" s="428">
        <f>'[1]PANDU PELSUS'!AA15</f>
        <v>324079</v>
      </c>
      <c r="AH31" s="428">
        <f>'[1]PANDU PELSUS'!AB15</f>
        <v>443721</v>
      </c>
      <c r="AI31" s="428">
        <f>'[1]PANDU PELSUS'!AC15</f>
        <v>411787</v>
      </c>
      <c r="AJ31" s="428">
        <f>'[1]PANDU PELSUS'!AD15</f>
        <v>315043</v>
      </c>
      <c r="AK31" s="428">
        <f>'[1]PANDU PELSUS'!AE15</f>
        <v>347227</v>
      </c>
      <c r="AL31" s="428">
        <f>'[1]PANDU PELSUS'!AF15</f>
        <v>591628</v>
      </c>
      <c r="AM31" s="39">
        <f>SUM(AA31:AL31)</f>
        <v>4161426</v>
      </c>
      <c r="AP31" s="423"/>
    </row>
    <row r="32" spans="1:43">
      <c r="A32" s="427" t="s">
        <v>238</v>
      </c>
      <c r="B32" s="40" t="s">
        <v>20</v>
      </c>
      <c r="C32" s="41">
        <v>389</v>
      </c>
      <c r="D32" s="42"/>
      <c r="E32" s="42"/>
      <c r="F32" s="42"/>
      <c r="G32" s="42"/>
      <c r="H32" s="42"/>
      <c r="I32" s="42"/>
      <c r="J32" s="43"/>
      <c r="K32" s="43"/>
      <c r="L32" s="43"/>
      <c r="M32" s="43"/>
      <c r="N32" s="43"/>
      <c r="O32" s="43"/>
      <c r="S32" s="423"/>
      <c r="Y32" s="40" t="s">
        <v>20</v>
      </c>
      <c r="Z32" s="41">
        <v>389</v>
      </c>
      <c r="AA32" s="42"/>
      <c r="AB32" s="42"/>
      <c r="AC32" s="42"/>
      <c r="AD32" s="42"/>
      <c r="AE32" s="42"/>
      <c r="AF32" s="42"/>
      <c r="AG32" s="43"/>
      <c r="AH32" s="43"/>
      <c r="AI32" s="43"/>
      <c r="AJ32" s="43"/>
      <c r="AK32" s="43"/>
      <c r="AL32" s="43"/>
      <c r="AP32" s="423"/>
    </row>
    <row r="33" spans="1:42">
      <c r="A33" s="427"/>
      <c r="B33" s="40" t="s">
        <v>21</v>
      </c>
      <c r="C33" s="41">
        <v>0.01</v>
      </c>
      <c r="D33" s="42"/>
      <c r="E33" s="42"/>
      <c r="F33" s="42"/>
      <c r="G33" s="42"/>
      <c r="H33" s="42"/>
      <c r="I33" s="42"/>
      <c r="J33" s="43"/>
      <c r="K33" s="43"/>
      <c r="L33" s="43"/>
      <c r="M33" s="43"/>
      <c r="N33" s="43"/>
      <c r="O33" s="43"/>
      <c r="S33" s="423"/>
      <c r="Y33" s="40" t="s">
        <v>21</v>
      </c>
      <c r="Z33" s="41">
        <v>0.01</v>
      </c>
      <c r="AA33" s="42"/>
      <c r="AB33" s="42"/>
      <c r="AC33" s="42"/>
      <c r="AD33" s="42"/>
      <c r="AE33" s="42"/>
      <c r="AF33" s="42"/>
      <c r="AG33" s="43"/>
      <c r="AH33" s="43"/>
      <c r="AI33" s="43"/>
      <c r="AJ33" s="43"/>
      <c r="AK33" s="43"/>
      <c r="AL33" s="43"/>
      <c r="AP33" s="423"/>
    </row>
    <row r="34" spans="1:42">
      <c r="A34" s="427" t="s">
        <v>237</v>
      </c>
      <c r="B34" s="40" t="s">
        <v>20</v>
      </c>
      <c r="C34" s="41">
        <v>859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S34" s="423"/>
      <c r="Y34" s="40" t="s">
        <v>20</v>
      </c>
      <c r="Z34" s="41">
        <v>859</v>
      </c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P34" s="423"/>
    </row>
    <row r="35" spans="1:42">
      <c r="A35" s="427"/>
      <c r="B35" s="40" t="s">
        <v>21</v>
      </c>
      <c r="C35" s="41">
        <v>0.01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S35" s="423"/>
      <c r="Y35" s="40" t="s">
        <v>21</v>
      </c>
      <c r="Z35" s="41">
        <v>0.01</v>
      </c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P35" s="423"/>
    </row>
    <row r="36" spans="1:42">
      <c r="A36" s="427" t="s">
        <v>236</v>
      </c>
      <c r="B36" s="40" t="s">
        <v>20</v>
      </c>
      <c r="C36" s="41">
        <v>1342.72</v>
      </c>
      <c r="D36" s="42"/>
      <c r="E36" s="42"/>
      <c r="F36" s="42"/>
      <c r="G36" s="42"/>
      <c r="H36" s="42"/>
      <c r="I36" s="42"/>
      <c r="J36" s="43"/>
      <c r="K36" s="43"/>
      <c r="L36" s="43"/>
      <c r="M36" s="43"/>
      <c r="N36" s="43"/>
      <c r="O36" s="43"/>
      <c r="S36" s="423"/>
      <c r="Y36" s="40" t="s">
        <v>20</v>
      </c>
      <c r="Z36" s="41">
        <v>1342.72</v>
      </c>
      <c r="AA36" s="42"/>
      <c r="AB36" s="42"/>
      <c r="AC36" s="42"/>
      <c r="AD36" s="42"/>
      <c r="AE36" s="42"/>
      <c r="AF36" s="42"/>
      <c r="AG36" s="43"/>
      <c r="AH36" s="43"/>
      <c r="AI36" s="43"/>
      <c r="AJ36" s="43"/>
      <c r="AK36" s="43"/>
      <c r="AL36" s="43"/>
      <c r="AP36" s="423"/>
    </row>
    <row r="37" spans="1:42">
      <c r="A37" s="427"/>
      <c r="B37" s="40" t="s">
        <v>21</v>
      </c>
      <c r="C37" s="41">
        <v>0.01</v>
      </c>
      <c r="D37" s="42"/>
      <c r="E37" s="42"/>
      <c r="F37" s="42"/>
      <c r="G37" s="42"/>
      <c r="H37" s="42"/>
      <c r="I37" s="42"/>
      <c r="J37" s="43"/>
      <c r="K37" s="43"/>
      <c r="L37" s="43"/>
      <c r="M37" s="43"/>
      <c r="N37" s="43"/>
      <c r="O37" s="43"/>
      <c r="S37" s="423"/>
      <c r="Y37" s="40" t="s">
        <v>21</v>
      </c>
      <c r="Z37" s="41">
        <v>0.01</v>
      </c>
      <c r="AA37" s="42"/>
      <c r="AB37" s="42"/>
      <c r="AC37" s="42"/>
      <c r="AD37" s="42"/>
      <c r="AE37" s="42"/>
      <c r="AF37" s="42"/>
      <c r="AG37" s="43"/>
      <c r="AH37" s="43"/>
      <c r="AI37" s="43"/>
      <c r="AJ37" s="43"/>
      <c r="AK37" s="43"/>
      <c r="AL37" s="43"/>
      <c r="AP37" s="423"/>
    </row>
    <row r="38" spans="1:42">
      <c r="A38" s="427" t="s">
        <v>235</v>
      </c>
      <c r="B38" s="40" t="s">
        <v>20</v>
      </c>
      <c r="C38" s="41">
        <v>1700.12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S38" s="423"/>
      <c r="Y38" s="40" t="s">
        <v>20</v>
      </c>
      <c r="Z38" s="41">
        <v>1700.12</v>
      </c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P38" s="423"/>
    </row>
    <row r="39" spans="1:42">
      <c r="A39" s="427"/>
      <c r="B39" s="40" t="s">
        <v>21</v>
      </c>
      <c r="C39" s="41">
        <v>7.0000000000000001E-3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S39" s="423"/>
      <c r="Y39" s="40" t="s">
        <v>21</v>
      </c>
      <c r="Z39" s="41">
        <v>7.0000000000000001E-3</v>
      </c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P39" s="423"/>
    </row>
    <row r="40" spans="1:42">
      <c r="A40" s="427" t="s">
        <v>234</v>
      </c>
      <c r="B40" s="40" t="s">
        <v>20</v>
      </c>
      <c r="C40" s="41">
        <v>1921.86</v>
      </c>
      <c r="D40" s="42"/>
      <c r="E40" s="42"/>
      <c r="F40" s="42"/>
      <c r="G40" s="42"/>
      <c r="H40" s="42"/>
      <c r="I40" s="42"/>
      <c r="J40" s="43"/>
      <c r="K40" s="43"/>
      <c r="L40" s="43"/>
      <c r="M40" s="43"/>
      <c r="N40" s="43"/>
      <c r="O40" s="43"/>
      <c r="S40" s="423"/>
      <c r="Y40" s="40" t="s">
        <v>20</v>
      </c>
      <c r="Z40" s="41">
        <v>1921.86</v>
      </c>
      <c r="AA40" s="42"/>
      <c r="AB40" s="42"/>
      <c r="AC40" s="42"/>
      <c r="AD40" s="42"/>
      <c r="AE40" s="42"/>
      <c r="AF40" s="42"/>
      <c r="AG40" s="43"/>
      <c r="AH40" s="43"/>
      <c r="AI40" s="43"/>
      <c r="AJ40" s="43"/>
      <c r="AK40" s="43"/>
      <c r="AL40" s="43"/>
      <c r="AP40" s="423"/>
    </row>
    <row r="41" spans="1:42">
      <c r="A41" s="427"/>
      <c r="B41" s="40" t="s">
        <v>21</v>
      </c>
      <c r="C41" s="41">
        <v>5.0000000000000001E-3</v>
      </c>
      <c r="D41" s="42"/>
      <c r="E41" s="42"/>
      <c r="F41" s="42"/>
      <c r="G41" s="42"/>
      <c r="H41" s="42"/>
      <c r="I41" s="42"/>
      <c r="J41" s="43"/>
      <c r="K41" s="43"/>
      <c r="L41" s="43"/>
      <c r="M41" s="43"/>
      <c r="N41" s="43"/>
      <c r="O41" s="43"/>
      <c r="S41" s="423"/>
      <c r="Y41" s="40" t="s">
        <v>21</v>
      </c>
      <c r="Z41" s="41">
        <v>5.0000000000000001E-3</v>
      </c>
      <c r="AA41" s="42"/>
      <c r="AB41" s="42"/>
      <c r="AC41" s="42"/>
      <c r="AD41" s="42"/>
      <c r="AE41" s="42"/>
      <c r="AF41" s="42"/>
      <c r="AG41" s="43"/>
      <c r="AH41" s="43"/>
      <c r="AI41" s="43"/>
      <c r="AJ41" s="43"/>
      <c r="AK41" s="43"/>
      <c r="AL41" s="43"/>
      <c r="AP41" s="423"/>
    </row>
    <row r="42" spans="1:42">
      <c r="A42" s="427" t="s">
        <v>233</v>
      </c>
      <c r="B42" s="40" t="s">
        <v>20</v>
      </c>
      <c r="C42" s="41">
        <v>2000.72</v>
      </c>
      <c r="D42" s="42">
        <f>D30*$F$3</f>
        <v>84.15</v>
      </c>
      <c r="E42" s="42">
        <f>E30*$F$3</f>
        <v>145.35</v>
      </c>
      <c r="F42" s="42">
        <f>F30*$F$3</f>
        <v>99.45</v>
      </c>
      <c r="G42" s="42">
        <f>G30*$F$3</f>
        <v>84.15</v>
      </c>
      <c r="H42" s="42">
        <f>H30*$F$3</f>
        <v>45.900000000000006</v>
      </c>
      <c r="I42" s="42">
        <f>I30*$F$3</f>
        <v>122.4</v>
      </c>
      <c r="J42" s="42">
        <f>J30*$F$3</f>
        <v>107.10000000000001</v>
      </c>
      <c r="K42" s="42">
        <f>K30*$F$3</f>
        <v>137.70000000000002</v>
      </c>
      <c r="L42" s="42">
        <f>L30*$F$3</f>
        <v>114.75</v>
      </c>
      <c r="M42" s="42">
        <f>M30*$F$3</f>
        <v>122.4</v>
      </c>
      <c r="N42" s="42">
        <f>N30*$F$3</f>
        <v>114.75</v>
      </c>
      <c r="O42" s="42">
        <f>O30*$F$3</f>
        <v>183.60000000000002</v>
      </c>
      <c r="P42" s="39">
        <f>SUM(D42:O42)</f>
        <v>1361.7000000000003</v>
      </c>
      <c r="Q42" s="55"/>
      <c r="S42" s="423"/>
      <c r="Y42" s="40" t="s">
        <v>20</v>
      </c>
      <c r="Z42" s="41">
        <v>2000.72</v>
      </c>
      <c r="AA42" s="42">
        <f>AA30*$AC$3</f>
        <v>87.408448214559996</v>
      </c>
      <c r="AB42" s="42">
        <f>AB30*$AC$3</f>
        <v>150.97822873423999</v>
      </c>
      <c r="AC42" s="42">
        <f>AC30*$AC$3</f>
        <v>103.30089334448</v>
      </c>
      <c r="AD42" s="42">
        <f>AD30*$AC$3</f>
        <v>87.408448214559996</v>
      </c>
      <c r="AE42" s="42">
        <f>AE30*$AC$3</f>
        <v>47.677335389760003</v>
      </c>
      <c r="AF42" s="42">
        <f>AF30*$AC$3</f>
        <v>127.13956103936</v>
      </c>
      <c r="AG42" s="42">
        <f>AG30*$AC$3</f>
        <v>111.24711590944</v>
      </c>
      <c r="AH42" s="42">
        <f>AH30*$AC$3</f>
        <v>143.03200616928001</v>
      </c>
      <c r="AI42" s="42">
        <f>AI30*$AC$3</f>
        <v>119.19333847440001</v>
      </c>
      <c r="AJ42" s="42">
        <f>AJ30*$AC$3</f>
        <v>127.13956103936</v>
      </c>
      <c r="AK42" s="42">
        <f>AK30*$AC$3</f>
        <v>119.19333847440001</v>
      </c>
      <c r="AL42" s="42">
        <f>AL30*$AC$3</f>
        <v>190.70934155904001</v>
      </c>
      <c r="AM42" s="39">
        <f>SUM(AA42:AL42)</f>
        <v>1414.4276165628798</v>
      </c>
      <c r="AN42" s="55"/>
      <c r="AP42" s="423"/>
    </row>
    <row r="43" spans="1:42">
      <c r="A43" s="427"/>
      <c r="B43" s="40" t="s">
        <v>21</v>
      </c>
      <c r="C43" s="41">
        <v>5.0000000000000001E-3</v>
      </c>
      <c r="D43" s="42">
        <f>D31*$F$3</f>
        <v>2200117.0500000003</v>
      </c>
      <c r="E43" s="42">
        <f>E31*$F$3</f>
        <v>2725679.7</v>
      </c>
      <c r="F43" s="42">
        <f>F31*$F$3</f>
        <v>2192490</v>
      </c>
      <c r="G43" s="42">
        <f>G31*$F$3</f>
        <v>1975612.5</v>
      </c>
      <c r="H43" s="42">
        <f>H31*$F$3</f>
        <v>1200063.8454545455</v>
      </c>
      <c r="I43" s="42">
        <f>I31*$F$3</f>
        <v>2295309.2210526317</v>
      </c>
      <c r="J43" s="42">
        <f>J31*$F$3</f>
        <v>2361143.0769230775</v>
      </c>
      <c r="K43" s="42">
        <f>K31*$F$3</f>
        <v>3232820.4545454551</v>
      </c>
      <c r="L43" s="42">
        <f>L31*$F$3</f>
        <v>3000159.6136363638</v>
      </c>
      <c r="M43" s="42">
        <f>M31*$F$3</f>
        <v>2295309.2210526317</v>
      </c>
      <c r="N43" s="42">
        <f>N31*$F$3</f>
        <v>2529796.153846154</v>
      </c>
      <c r="O43" s="42">
        <f>O31*$F$3</f>
        <v>4310427.2727272725</v>
      </c>
      <c r="P43" s="39">
        <f>SUM(D43:O43)</f>
        <v>30318928.109238133</v>
      </c>
      <c r="Q43" s="55"/>
      <c r="S43" s="423"/>
      <c r="Y43" s="40" t="s">
        <v>21</v>
      </c>
      <c r="Z43" s="41">
        <v>5.0000000000000001E-3</v>
      </c>
      <c r="AA43" s="42">
        <f>AA31*$AC$3</f>
        <v>2399576.4514989262</v>
      </c>
      <c r="AB43" s="42">
        <f>AB31*$AC$3</f>
        <v>2972785.1624448807</v>
      </c>
      <c r="AC43" s="42">
        <f>AC31*$AC$3</f>
        <v>2391256.7564734127</v>
      </c>
      <c r="AD43" s="42">
        <f>AD31*$AC$3</f>
        <v>2154721.5493822484</v>
      </c>
      <c r="AE43" s="42">
        <f>AE31*$AC$3</f>
        <v>1308862.0497873866</v>
      </c>
      <c r="AF43" s="42">
        <f>AF31*$AC$3</f>
        <v>2503401.7955326932</v>
      </c>
      <c r="AG43" s="42">
        <f>AG31*$AC$3</f>
        <v>2575203.862629672</v>
      </c>
      <c r="AH43" s="42">
        <f>AH31*$AC$3</f>
        <v>3525905.8227466163</v>
      </c>
      <c r="AI43" s="42">
        <f>AI31*$AC$3</f>
        <v>3272151.1513571837</v>
      </c>
      <c r="AJ43" s="42">
        <f>AJ31*$AC$3</f>
        <v>2503401.7955326932</v>
      </c>
      <c r="AK43" s="42">
        <f>AK31*$AC$3</f>
        <v>2759143.0225633662</v>
      </c>
      <c r="AL43" s="42">
        <f>AL31*$AC$3</f>
        <v>4701207.7636621548</v>
      </c>
      <c r="AM43" s="39">
        <f>SUM(AA43:AL43)</f>
        <v>33067617.18361124</v>
      </c>
      <c r="AN43" s="55"/>
      <c r="AP43" s="423"/>
    </row>
    <row r="44" spans="1:42">
      <c r="A44" s="427" t="s">
        <v>232</v>
      </c>
      <c r="B44" s="40" t="s">
        <v>20</v>
      </c>
      <c r="C44" s="41">
        <v>2129.14</v>
      </c>
      <c r="D44" s="42"/>
      <c r="E44" s="42"/>
      <c r="F44" s="42"/>
      <c r="G44" s="42"/>
      <c r="H44" s="42"/>
      <c r="I44" s="42"/>
      <c r="J44" s="43"/>
      <c r="K44" s="43"/>
      <c r="L44" s="43"/>
      <c r="M44" s="43"/>
      <c r="N44" s="43"/>
      <c r="O44" s="43"/>
      <c r="S44" s="423"/>
      <c r="Y44" s="40" t="s">
        <v>20</v>
      </c>
      <c r="Z44" s="41">
        <v>2129.14</v>
      </c>
      <c r="AA44" s="42"/>
      <c r="AB44" s="42"/>
      <c r="AC44" s="42"/>
      <c r="AD44" s="42"/>
      <c r="AE44" s="42"/>
      <c r="AF44" s="42"/>
      <c r="AG44" s="43"/>
      <c r="AH44" s="43"/>
      <c r="AI44" s="43"/>
      <c r="AJ44" s="43"/>
      <c r="AK44" s="43"/>
      <c r="AL44" s="43"/>
      <c r="AP44" s="423"/>
    </row>
    <row r="45" spans="1:42">
      <c r="A45" s="427"/>
      <c r="B45" s="40" t="s">
        <v>21</v>
      </c>
      <c r="C45" s="41">
        <v>2E-3</v>
      </c>
      <c r="D45" s="42"/>
      <c r="E45" s="42"/>
      <c r="F45" s="42"/>
      <c r="G45" s="42"/>
      <c r="H45" s="42"/>
      <c r="I45" s="42"/>
      <c r="J45" s="43"/>
      <c r="K45" s="43"/>
      <c r="L45" s="43"/>
      <c r="M45" s="43"/>
      <c r="N45" s="43"/>
      <c r="O45" s="43"/>
      <c r="S45" s="423"/>
      <c r="Y45" s="40" t="s">
        <v>21</v>
      </c>
      <c r="Z45" s="41">
        <v>2E-3</v>
      </c>
      <c r="AA45" s="42"/>
      <c r="AB45" s="42"/>
      <c r="AC45" s="42"/>
      <c r="AD45" s="42"/>
      <c r="AE45" s="42"/>
      <c r="AF45" s="42"/>
      <c r="AG45" s="43"/>
      <c r="AH45" s="43"/>
      <c r="AI45" s="43"/>
      <c r="AJ45" s="43"/>
      <c r="AK45" s="43"/>
      <c r="AL45" s="43"/>
      <c r="AP45" s="423"/>
    </row>
    <row r="46" spans="1:42">
      <c r="A46" s="427" t="s">
        <v>231</v>
      </c>
      <c r="B46" s="40" t="s">
        <v>20</v>
      </c>
      <c r="C46" s="41">
        <v>2751.2</v>
      </c>
      <c r="D46" s="42"/>
      <c r="E46" s="42"/>
      <c r="F46" s="42"/>
      <c r="G46" s="42"/>
      <c r="H46" s="42"/>
      <c r="I46" s="42"/>
      <c r="J46" s="43"/>
      <c r="K46" s="43"/>
      <c r="L46" s="43"/>
      <c r="M46" s="43"/>
      <c r="N46" s="43"/>
      <c r="O46" s="43"/>
      <c r="S46" s="423"/>
      <c r="Y46" s="40" t="s">
        <v>20</v>
      </c>
      <c r="Z46" s="41">
        <v>2751.2</v>
      </c>
      <c r="AA46" s="42"/>
      <c r="AB46" s="42"/>
      <c r="AC46" s="42"/>
      <c r="AD46" s="42"/>
      <c r="AE46" s="42"/>
      <c r="AF46" s="42"/>
      <c r="AG46" s="43"/>
      <c r="AH46" s="43"/>
      <c r="AI46" s="43"/>
      <c r="AJ46" s="43"/>
      <c r="AK46" s="43"/>
      <c r="AL46" s="43"/>
      <c r="AP46" s="423"/>
    </row>
    <row r="47" spans="1:42">
      <c r="A47" s="427"/>
      <c r="B47" s="40" t="s">
        <v>21</v>
      </c>
      <c r="C47" s="41">
        <v>2E-3</v>
      </c>
      <c r="D47" s="42"/>
      <c r="E47" s="42"/>
      <c r="F47" s="42"/>
      <c r="G47" s="42"/>
      <c r="H47" s="42"/>
      <c r="I47" s="42"/>
      <c r="J47" s="43"/>
      <c r="K47" s="43"/>
      <c r="L47" s="43"/>
      <c r="M47" s="43"/>
      <c r="N47" s="43"/>
      <c r="O47" s="43"/>
      <c r="S47" s="423"/>
      <c r="Y47" s="40" t="s">
        <v>21</v>
      </c>
      <c r="Z47" s="41">
        <v>2E-3</v>
      </c>
      <c r="AA47" s="42"/>
      <c r="AB47" s="42"/>
      <c r="AC47" s="42"/>
      <c r="AD47" s="42"/>
      <c r="AE47" s="42"/>
      <c r="AF47" s="42"/>
      <c r="AG47" s="43"/>
      <c r="AH47" s="43"/>
      <c r="AI47" s="43"/>
      <c r="AJ47" s="43"/>
      <c r="AK47" s="43"/>
      <c r="AL47" s="43"/>
      <c r="AP47" s="423"/>
    </row>
    <row r="48" spans="1:42">
      <c r="D48" s="29">
        <f>D42*$C$42*$D$2</f>
        <v>2946310290.0000005</v>
      </c>
      <c r="E48" s="29">
        <f>E42*$C$42*$D$2</f>
        <v>5089081410</v>
      </c>
      <c r="F48" s="29">
        <f>F42*$C$42*$D$2</f>
        <v>3482003070.0000005</v>
      </c>
      <c r="G48" s="29">
        <f>G42*$C$42*$D$2</f>
        <v>2946310290.0000005</v>
      </c>
      <c r="H48" s="29">
        <f>H42*$C$42*$D$2</f>
        <v>1607078340.0000002</v>
      </c>
      <c r="I48" s="29">
        <f>I42*$C$42*$D$2</f>
        <v>4285542240.0000005</v>
      </c>
      <c r="J48" s="29">
        <f>J42*$C$42*$D$2</f>
        <v>3749849460.0000005</v>
      </c>
      <c r="K48" s="29">
        <f>K42*$C$42*$D$2</f>
        <v>4821235020.000001</v>
      </c>
      <c r="L48" s="29">
        <f>L42*$C$42*$D$2</f>
        <v>4017695850</v>
      </c>
      <c r="M48" s="29">
        <f>M42*$C$42*$D$2</f>
        <v>4285542240.0000005</v>
      </c>
      <c r="N48" s="29">
        <f>N42*$C$42*$D$2</f>
        <v>4017695850</v>
      </c>
      <c r="O48" s="29">
        <f>O42*$C$42*$D$2</f>
        <v>6428313360.000001</v>
      </c>
      <c r="P48" s="39">
        <f>SUM(D48:O48)</f>
        <v>47676657420</v>
      </c>
      <c r="Q48" s="402"/>
      <c r="R48" s="54" t="e">
        <f>P48/Q48</f>
        <v>#DIV/0!</v>
      </c>
      <c r="S48" s="424"/>
      <c r="AA48" s="29">
        <f>AA42*$C$42*$D$2</f>
        <v>3060397033.9571033</v>
      </c>
      <c r="AB48" s="29">
        <f>AB42*$C$42*$D$2</f>
        <v>5286140331.3804512</v>
      </c>
      <c r="AC48" s="29">
        <f>AC42*$C$42*$D$2</f>
        <v>3616832858.3129406</v>
      </c>
      <c r="AD48" s="29">
        <f>AD42*$C$42*$D$2</f>
        <v>3060397033.9571033</v>
      </c>
      <c r="AE48" s="29">
        <f>AE42*$C$42*$D$2</f>
        <v>1669307473.0675111</v>
      </c>
      <c r="AF48" s="29">
        <f>AF42*$C$42*$D$2</f>
        <v>4451486594.8466959</v>
      </c>
      <c r="AG48" s="29">
        <f>AG42*$C$42*$D$2</f>
        <v>3895050770.4908586</v>
      </c>
      <c r="AH48" s="29">
        <f>AH42*$C$42*$D$2</f>
        <v>5007922419.2025337</v>
      </c>
      <c r="AI48" s="29">
        <f>AI42*$C$42*$D$2</f>
        <v>4173268682.6687775</v>
      </c>
      <c r="AJ48" s="29">
        <f>AJ42*$C$42*$D$2</f>
        <v>4451486594.8466959</v>
      </c>
      <c r="AK48" s="29">
        <f>AK42*$C$42*$D$2</f>
        <v>4173268682.6687775</v>
      </c>
      <c r="AL48" s="29">
        <f>AL42*$C$42*$D$2</f>
        <v>6677229892.2700443</v>
      </c>
      <c r="AM48" s="39">
        <f>SUM(AA48:AL48)</f>
        <v>49522788367.669495</v>
      </c>
      <c r="AN48" s="402"/>
      <c r="AO48" s="54"/>
      <c r="AP48" s="424"/>
    </row>
    <row r="49" spans="1:43">
      <c r="D49" s="29">
        <f>D43*$C$43*$D$2</f>
        <v>192510241.87500003</v>
      </c>
      <c r="E49" s="29">
        <f>E43*$C$43*$D$2</f>
        <v>238496973.75000003</v>
      </c>
      <c r="F49" s="29">
        <f>F43*$C$43*$D$2</f>
        <v>191842875</v>
      </c>
      <c r="G49" s="29">
        <f>G43*$C$43*$D$2</f>
        <v>172866093.75</v>
      </c>
      <c r="H49" s="29">
        <f>H43*$C$43*$D$2</f>
        <v>105005586.47727273</v>
      </c>
      <c r="I49" s="29">
        <f>I43*$C$43*$D$2</f>
        <v>200839556.84210527</v>
      </c>
      <c r="J49" s="29">
        <f>J43*$C$43*$D$2</f>
        <v>206600019.23076928</v>
      </c>
      <c r="K49" s="29">
        <f>K43*$C$43*$D$2</f>
        <v>282871789.77272731</v>
      </c>
      <c r="L49" s="29">
        <f>L43*$C$43*$D$2</f>
        <v>262513966.19318184</v>
      </c>
      <c r="M49" s="29">
        <f>M43*$C$43*$D$2</f>
        <v>200839556.84210527</v>
      </c>
      <c r="N49" s="29">
        <f>N43*$C$43*$D$2</f>
        <v>221357163.46153846</v>
      </c>
      <c r="O49" s="29">
        <f>O43*$C$43*$D$2</f>
        <v>377162386.36363637</v>
      </c>
      <c r="P49" s="39">
        <f>SUM(D49:O49)</f>
        <v>2652906209.5583363</v>
      </c>
      <c r="Q49" s="402"/>
      <c r="R49" s="54" t="e">
        <f>P49/Q49</f>
        <v>#DIV/0!</v>
      </c>
      <c r="S49" s="424"/>
      <c r="AA49" s="29">
        <f>AA43*$C$43*$D$2</f>
        <v>209962939.50615606</v>
      </c>
      <c r="AB49" s="29">
        <f>AB43*$C$43*$D$2</f>
        <v>260118701.71392709</v>
      </c>
      <c r="AC49" s="29">
        <f>AC43*$C$43*$D$2</f>
        <v>209234966.19142359</v>
      </c>
      <c r="AD49" s="29">
        <f>AD43*$C$43*$D$2</f>
        <v>188538135.57094675</v>
      </c>
      <c r="AE49" s="29">
        <f>AE43*$C$43*$D$2</f>
        <v>114525429.35639633</v>
      </c>
      <c r="AF49" s="29">
        <f>AF43*$C$43*$D$2</f>
        <v>219047657.10911068</v>
      </c>
      <c r="AG49" s="29">
        <f>AG43*$C$43*$D$2</f>
        <v>225330337.98009631</v>
      </c>
      <c r="AH49" s="29">
        <f>AH43*$C$43*$D$2</f>
        <v>308516759.49032897</v>
      </c>
      <c r="AI49" s="29">
        <f>AI43*$C$43*$D$2</f>
        <v>286313225.74375355</v>
      </c>
      <c r="AJ49" s="29">
        <f>AJ43*$C$43*$D$2</f>
        <v>219047657.10911068</v>
      </c>
      <c r="AK49" s="29">
        <f>AK43*$C$43*$D$2</f>
        <v>241425014.47429454</v>
      </c>
      <c r="AL49" s="29">
        <f>AL43*$C$43*$D$2</f>
        <v>411355679.32043856</v>
      </c>
      <c r="AM49" s="39">
        <f>SUM(AA49:AL49)</f>
        <v>2893416503.5659833</v>
      </c>
      <c r="AN49" s="402"/>
      <c r="AO49" s="54"/>
      <c r="AP49" s="424"/>
    </row>
    <row r="50" spans="1:43">
      <c r="A50" s="44"/>
      <c r="B50" s="44"/>
      <c r="C50" s="44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8">
        <f>P48+P49</f>
        <v>50329563629.558334</v>
      </c>
      <c r="Q50" s="44"/>
      <c r="R50" s="44"/>
      <c r="S50" s="424">
        <f>P50/$P$277</f>
        <v>0.23553449257961404</v>
      </c>
      <c r="T50" s="430">
        <f>$P$279*S50</f>
        <v>0</v>
      </c>
      <c r="Y50" s="44"/>
      <c r="Z50" s="44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8">
        <f>AM48+AM49</f>
        <v>52416204871.235481</v>
      </c>
      <c r="AN50" s="44"/>
      <c r="AO50" s="44"/>
      <c r="AP50" s="424">
        <f>AM50/$P$277</f>
        <v>0.24529964750270342</v>
      </c>
      <c r="AQ50" s="430">
        <f>$P$279*AP50</f>
        <v>0</v>
      </c>
    </row>
    <row r="51" spans="1:43">
      <c r="A51" s="44"/>
      <c r="B51" s="44"/>
      <c r="C51" s="44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8"/>
      <c r="Q51" s="44"/>
      <c r="R51" s="44"/>
      <c r="S51" s="423"/>
      <c r="Y51" s="44"/>
      <c r="Z51" s="44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8"/>
      <c r="AN51" s="44"/>
      <c r="AO51" s="44"/>
      <c r="AP51" s="423"/>
    </row>
    <row r="52" spans="1:43">
      <c r="B52" t="s">
        <v>214</v>
      </c>
      <c r="D52" s="436">
        <f>'[1]PANDU PELSUS'!C20</f>
        <v>15</v>
      </c>
      <c r="E52" s="436">
        <f>'[1]PANDU PELSUS'!D20</f>
        <v>12</v>
      </c>
      <c r="F52" s="436">
        <f>'[1]PANDU PELSUS'!E20</f>
        <v>20</v>
      </c>
      <c r="G52" s="436">
        <f>'[1]PANDU PELSUS'!F20</f>
        <v>11</v>
      </c>
      <c r="H52" s="436">
        <f>'[1]PANDU PELSUS'!G20</f>
        <v>10</v>
      </c>
      <c r="I52" s="436">
        <f>'[1]PANDU PELSUS'!H20</f>
        <v>13</v>
      </c>
      <c r="J52" s="436">
        <f>'[1]PANDU PELSUS'!I20</f>
        <v>15</v>
      </c>
      <c r="K52" s="436">
        <f>'[1]PANDU PELSUS'!J20</f>
        <v>14</v>
      </c>
      <c r="L52" s="436">
        <f>'[1]PANDU PELSUS'!K20</f>
        <v>14</v>
      </c>
      <c r="M52" s="436">
        <f>'[1]PANDU PELSUS'!L20</f>
        <v>16</v>
      </c>
      <c r="N52" s="436">
        <f>'[1]PANDU PELSUS'!M20</f>
        <v>12</v>
      </c>
      <c r="O52" s="436">
        <f>'[1]PANDU PELSUS'!N20</f>
        <v>14</v>
      </c>
      <c r="P52" s="39">
        <f>SUM(D52:O52)</f>
        <v>166</v>
      </c>
      <c r="Q52">
        <f>P53/P52</f>
        <v>25748.528705732017</v>
      </c>
      <c r="S52" s="423"/>
      <c r="Y52" t="s">
        <v>214</v>
      </c>
      <c r="AA52" s="428">
        <f>'[1]PANDU PELSUS'!U20</f>
        <v>15</v>
      </c>
      <c r="AB52" s="428">
        <f>'[1]PANDU PELSUS'!V20</f>
        <v>12</v>
      </c>
      <c r="AC52" s="428">
        <f>'[1]PANDU PELSUS'!W20</f>
        <v>20</v>
      </c>
      <c r="AD52" s="428">
        <f>'[1]PANDU PELSUS'!X20</f>
        <v>11</v>
      </c>
      <c r="AE52" s="428">
        <f>'[1]PANDU PELSUS'!Y20</f>
        <v>10</v>
      </c>
      <c r="AF52" s="428">
        <f>'[1]PANDU PELSUS'!Z20</f>
        <v>13</v>
      </c>
      <c r="AG52" s="428">
        <f>'[1]PANDU PELSUS'!AA20</f>
        <v>15</v>
      </c>
      <c r="AH52" s="428">
        <f>'[1]PANDU PELSUS'!AB20</f>
        <v>14</v>
      </c>
      <c r="AI52" s="428">
        <f>'[1]PANDU PELSUS'!AC20</f>
        <v>14</v>
      </c>
      <c r="AJ52" s="428">
        <f>'[1]PANDU PELSUS'!AD20</f>
        <v>16</v>
      </c>
      <c r="AK52" s="428">
        <f>'[1]PANDU PELSUS'!AE20</f>
        <v>12</v>
      </c>
      <c r="AL52" s="428">
        <f>'[1]PANDU PELSUS'!AF20</f>
        <v>14</v>
      </c>
      <c r="AM52" s="39">
        <f>SUM(AA52:AL52)</f>
        <v>166</v>
      </c>
      <c r="AP52" s="423"/>
    </row>
    <row r="53" spans="1:43">
      <c r="D53" s="436">
        <f>'[1]PANDU PELSUS'!C21</f>
        <v>358895</v>
      </c>
      <c r="E53" s="436">
        <f>'[1]PANDU PELSUS'!D21</f>
        <v>343586</v>
      </c>
      <c r="F53" s="436">
        <f>'[1]PANDU PELSUS'!E21</f>
        <v>433765</v>
      </c>
      <c r="G53" s="436">
        <f>'[1]PANDU PELSUS'!F21</f>
        <v>323756</v>
      </c>
      <c r="H53" s="436">
        <f>'[1]PANDU PELSUS'!G21</f>
        <v>239263.33333333331</v>
      </c>
      <c r="I53" s="436">
        <f>'[1]PANDU PELSUS'!H21</f>
        <v>372218.16666666669</v>
      </c>
      <c r="J53" s="436">
        <f>'[1]PANDU PELSUS'!I21</f>
        <v>325323.75</v>
      </c>
      <c r="K53" s="436">
        <f>'[1]PANDU PELSUS'!J21</f>
        <v>412053.09090909088</v>
      </c>
      <c r="L53" s="436">
        <f>'[1]PANDU PELSUS'!K21</f>
        <v>334968.66666666663</v>
      </c>
      <c r="M53" s="436">
        <f>'[1]PANDU PELSUS'!L21</f>
        <v>458114.66666666669</v>
      </c>
      <c r="N53" s="436">
        <f>'[1]PANDU PELSUS'!M21</f>
        <v>260259</v>
      </c>
      <c r="O53" s="436">
        <f>'[1]PANDU PELSUS'!N21</f>
        <v>412053.09090909088</v>
      </c>
      <c r="P53" s="39">
        <f>SUM(D53:O53)</f>
        <v>4274255.7651515147</v>
      </c>
      <c r="S53" s="423"/>
      <c r="AA53" s="428">
        <f>'[1]PANDU PELSUS'!U21</f>
        <v>376840</v>
      </c>
      <c r="AB53" s="428">
        <f>'[1]PANDU PELSUS'!V21</f>
        <v>360766</v>
      </c>
      <c r="AC53" s="428">
        <f>'[1]PANDU PELSUS'!W21</f>
        <v>455454</v>
      </c>
      <c r="AD53" s="428">
        <f>'[1]PANDU PELSUS'!X21</f>
        <v>339944</v>
      </c>
      <c r="AE53" s="428">
        <f>'[1]PANDU PELSUS'!Y21</f>
        <v>251227</v>
      </c>
      <c r="AF53" s="428">
        <f>'[1]PANDU PELSUS'!Z21</f>
        <v>390830</v>
      </c>
      <c r="AG53" s="428">
        <f>'[1]PANDU PELSUS'!AA21</f>
        <v>341590</v>
      </c>
      <c r="AH53" s="428">
        <f>'[1]PANDU PELSUS'!AB21</f>
        <v>432656</v>
      </c>
      <c r="AI53" s="428">
        <f>'[1]PANDU PELSUS'!AC21</f>
        <v>351718</v>
      </c>
      <c r="AJ53" s="428">
        <f>'[1]PANDU PELSUS'!AD21</f>
        <v>481021</v>
      </c>
      <c r="AK53" s="428">
        <f>'[1]PANDU PELSUS'!AE21</f>
        <v>273272</v>
      </c>
      <c r="AL53" s="428">
        <f>'[1]PANDU PELSUS'!AF21</f>
        <v>432656</v>
      </c>
      <c r="AM53" s="39">
        <f>SUM(AA53:AL53)</f>
        <v>4487974</v>
      </c>
      <c r="AP53" s="423"/>
    </row>
    <row r="54" spans="1:43">
      <c r="A54" s="427" t="s">
        <v>238</v>
      </c>
      <c r="B54" s="40" t="s">
        <v>20</v>
      </c>
      <c r="C54" s="41">
        <v>389</v>
      </c>
      <c r="D54" s="42"/>
      <c r="E54" s="42"/>
      <c r="F54" s="42"/>
      <c r="G54" s="42"/>
      <c r="H54" s="42"/>
      <c r="I54" s="42"/>
      <c r="J54" s="43"/>
      <c r="K54" s="43"/>
      <c r="L54" s="43"/>
      <c r="M54" s="43"/>
      <c r="N54" s="43"/>
      <c r="O54" s="43"/>
      <c r="S54" s="423"/>
      <c r="Y54" s="40" t="s">
        <v>20</v>
      </c>
      <c r="Z54" s="41">
        <v>389</v>
      </c>
      <c r="AA54" s="42"/>
      <c r="AB54" s="42"/>
      <c r="AC54" s="42"/>
      <c r="AD54" s="42"/>
      <c r="AE54" s="42"/>
      <c r="AF54" s="42"/>
      <c r="AG54" s="43"/>
      <c r="AH54" s="43"/>
      <c r="AI54" s="43"/>
      <c r="AJ54" s="43"/>
      <c r="AK54" s="43"/>
      <c r="AL54" s="43"/>
      <c r="AP54" s="423"/>
    </row>
    <row r="55" spans="1:43">
      <c r="A55" s="427"/>
      <c r="B55" s="40" t="s">
        <v>21</v>
      </c>
      <c r="C55" s="41">
        <v>0.01</v>
      </c>
      <c r="D55" s="42"/>
      <c r="E55" s="42"/>
      <c r="F55" s="42"/>
      <c r="G55" s="42"/>
      <c r="H55" s="42"/>
      <c r="I55" s="42"/>
      <c r="J55" s="43"/>
      <c r="K55" s="43"/>
      <c r="L55" s="43"/>
      <c r="M55" s="43"/>
      <c r="N55" s="43"/>
      <c r="O55" s="43"/>
      <c r="S55" s="423"/>
      <c r="Y55" s="40" t="s">
        <v>21</v>
      </c>
      <c r="Z55" s="41">
        <v>0.01</v>
      </c>
      <c r="AA55" s="42"/>
      <c r="AB55" s="42"/>
      <c r="AC55" s="42"/>
      <c r="AD55" s="42"/>
      <c r="AE55" s="42"/>
      <c r="AF55" s="42"/>
      <c r="AG55" s="43"/>
      <c r="AH55" s="43"/>
      <c r="AI55" s="43"/>
      <c r="AJ55" s="43"/>
      <c r="AK55" s="43"/>
      <c r="AL55" s="43"/>
      <c r="AP55" s="423"/>
    </row>
    <row r="56" spans="1:43">
      <c r="A56" s="427" t="s">
        <v>237</v>
      </c>
      <c r="B56" s="40" t="s">
        <v>20</v>
      </c>
      <c r="C56" s="41">
        <v>859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S56" s="423"/>
      <c r="Y56" s="40" t="s">
        <v>20</v>
      </c>
      <c r="Z56" s="41">
        <v>859</v>
      </c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P56" s="423"/>
    </row>
    <row r="57" spans="1:43">
      <c r="A57" s="427"/>
      <c r="B57" s="40" t="s">
        <v>21</v>
      </c>
      <c r="C57" s="41">
        <v>0.01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S57" s="423"/>
      <c r="Y57" s="40" t="s">
        <v>21</v>
      </c>
      <c r="Z57" s="41">
        <v>0.01</v>
      </c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P57" s="423"/>
    </row>
    <row r="58" spans="1:43">
      <c r="A58" s="427" t="s">
        <v>236</v>
      </c>
      <c r="B58" s="40" t="s">
        <v>20</v>
      </c>
      <c r="C58" s="41">
        <v>1342.72</v>
      </c>
      <c r="D58" s="42"/>
      <c r="E58" s="42"/>
      <c r="F58" s="42"/>
      <c r="G58" s="42"/>
      <c r="H58" s="42"/>
      <c r="I58" s="42"/>
      <c r="J58" s="43"/>
      <c r="K58" s="43"/>
      <c r="L58" s="43"/>
      <c r="M58" s="43"/>
      <c r="N58" s="43"/>
      <c r="O58" s="43"/>
      <c r="S58" s="423"/>
      <c r="Y58" s="40" t="s">
        <v>20</v>
      </c>
      <c r="Z58" s="41">
        <v>1342.72</v>
      </c>
      <c r="AA58" s="42"/>
      <c r="AB58" s="42"/>
      <c r="AC58" s="42"/>
      <c r="AD58" s="42"/>
      <c r="AE58" s="42"/>
      <c r="AF58" s="42"/>
      <c r="AG58" s="43"/>
      <c r="AH58" s="43"/>
      <c r="AI58" s="43"/>
      <c r="AJ58" s="43"/>
      <c r="AK58" s="43"/>
      <c r="AL58" s="43"/>
      <c r="AP58" s="423"/>
    </row>
    <row r="59" spans="1:43">
      <c r="A59" s="427"/>
      <c r="B59" s="40" t="s">
        <v>21</v>
      </c>
      <c r="C59" s="41">
        <v>0.01</v>
      </c>
      <c r="D59" s="42"/>
      <c r="E59" s="42"/>
      <c r="F59" s="42"/>
      <c r="G59" s="42"/>
      <c r="H59" s="42"/>
      <c r="I59" s="42"/>
      <c r="J59" s="43"/>
      <c r="K59" s="43"/>
      <c r="L59" s="43"/>
      <c r="M59" s="43"/>
      <c r="N59" s="43"/>
      <c r="O59" s="43"/>
      <c r="S59" s="423"/>
      <c r="Y59" s="40" t="s">
        <v>21</v>
      </c>
      <c r="Z59" s="41">
        <v>0.01</v>
      </c>
      <c r="AA59" s="42"/>
      <c r="AB59" s="42"/>
      <c r="AC59" s="42"/>
      <c r="AD59" s="42"/>
      <c r="AE59" s="42"/>
      <c r="AF59" s="42"/>
      <c r="AG59" s="43"/>
      <c r="AH59" s="43"/>
      <c r="AI59" s="43"/>
      <c r="AJ59" s="43"/>
      <c r="AK59" s="43"/>
      <c r="AL59" s="43"/>
      <c r="AP59" s="423"/>
    </row>
    <row r="60" spans="1:43">
      <c r="A60" s="427" t="s">
        <v>235</v>
      </c>
      <c r="B60" s="40" t="s">
        <v>20</v>
      </c>
      <c r="C60" s="41">
        <v>1700.12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S60" s="423"/>
      <c r="Y60" s="40" t="s">
        <v>20</v>
      </c>
      <c r="Z60" s="41">
        <v>1700.12</v>
      </c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P60" s="423"/>
    </row>
    <row r="61" spans="1:43">
      <c r="A61" s="427"/>
      <c r="B61" s="40" t="s">
        <v>21</v>
      </c>
      <c r="C61" s="41">
        <v>7.0000000000000001E-3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S61" s="423"/>
      <c r="Y61" s="40" t="s">
        <v>21</v>
      </c>
      <c r="Z61" s="41">
        <v>7.0000000000000001E-3</v>
      </c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P61" s="423"/>
    </row>
    <row r="62" spans="1:43">
      <c r="A62" s="427" t="s">
        <v>234</v>
      </c>
      <c r="B62" s="40" t="s">
        <v>20</v>
      </c>
      <c r="C62" s="41">
        <v>1921.86</v>
      </c>
      <c r="D62" s="42"/>
      <c r="E62" s="42"/>
      <c r="F62" s="42"/>
      <c r="G62" s="42"/>
      <c r="H62" s="42"/>
      <c r="I62" s="42"/>
      <c r="J62" s="43"/>
      <c r="K62" s="43"/>
      <c r="L62" s="43"/>
      <c r="M62" s="43"/>
      <c r="N62" s="43"/>
      <c r="O62" s="43"/>
      <c r="S62" s="423"/>
      <c r="Y62" s="40" t="s">
        <v>20</v>
      </c>
      <c r="Z62" s="41">
        <v>1921.86</v>
      </c>
      <c r="AA62" s="42"/>
      <c r="AB62" s="42"/>
      <c r="AC62" s="42"/>
      <c r="AD62" s="42"/>
      <c r="AE62" s="42"/>
      <c r="AF62" s="42"/>
      <c r="AG62" s="43"/>
      <c r="AH62" s="43"/>
      <c r="AI62" s="43"/>
      <c r="AJ62" s="43"/>
      <c r="AK62" s="43"/>
      <c r="AL62" s="43"/>
      <c r="AP62" s="423"/>
    </row>
    <row r="63" spans="1:43">
      <c r="A63" s="427"/>
      <c r="B63" s="40" t="s">
        <v>21</v>
      </c>
      <c r="C63" s="41">
        <v>5.0000000000000001E-3</v>
      </c>
      <c r="D63" s="42"/>
      <c r="E63" s="42"/>
      <c r="F63" s="42"/>
      <c r="G63" s="42"/>
      <c r="H63" s="42"/>
      <c r="I63" s="42"/>
      <c r="J63" s="43"/>
      <c r="K63" s="43"/>
      <c r="L63" s="43"/>
      <c r="M63" s="43"/>
      <c r="N63" s="43"/>
      <c r="O63" s="43"/>
      <c r="S63" s="423"/>
      <c r="Y63" s="40" t="s">
        <v>21</v>
      </c>
      <c r="Z63" s="41">
        <v>5.0000000000000001E-3</v>
      </c>
      <c r="AA63" s="42"/>
      <c r="AB63" s="42"/>
      <c r="AC63" s="42"/>
      <c r="AD63" s="42"/>
      <c r="AE63" s="42"/>
      <c r="AF63" s="42"/>
      <c r="AG63" s="43"/>
      <c r="AH63" s="43"/>
      <c r="AI63" s="43"/>
      <c r="AJ63" s="43"/>
      <c r="AK63" s="43"/>
      <c r="AL63" s="43"/>
      <c r="AP63" s="423"/>
    </row>
    <row r="64" spans="1:43">
      <c r="A64" s="427" t="s">
        <v>233</v>
      </c>
      <c r="B64" s="40" t="s">
        <v>20</v>
      </c>
      <c r="C64" s="41">
        <v>2000.72</v>
      </c>
      <c r="D64" s="42">
        <f>D52*$F$3</f>
        <v>114.75</v>
      </c>
      <c r="E64" s="42">
        <f>E52*$F$3</f>
        <v>91.800000000000011</v>
      </c>
      <c r="F64" s="42">
        <f>F52*$F$3</f>
        <v>153</v>
      </c>
      <c r="G64" s="42">
        <f>G52*$F$3</f>
        <v>84.15</v>
      </c>
      <c r="H64" s="42">
        <f>H52*$F$3</f>
        <v>76.5</v>
      </c>
      <c r="I64" s="42">
        <f>I52*$F$3</f>
        <v>99.45</v>
      </c>
      <c r="J64" s="42">
        <f>J52*$F$3</f>
        <v>114.75</v>
      </c>
      <c r="K64" s="42">
        <f>K52*$F$3</f>
        <v>107.10000000000001</v>
      </c>
      <c r="L64" s="42">
        <f>L52*$F$3</f>
        <v>107.10000000000001</v>
      </c>
      <c r="M64" s="42">
        <f>M52*$F$3</f>
        <v>122.4</v>
      </c>
      <c r="N64" s="42">
        <f>N52*$F$3</f>
        <v>91.800000000000011</v>
      </c>
      <c r="O64" s="42">
        <f>O52*$F$3</f>
        <v>107.10000000000001</v>
      </c>
      <c r="P64" s="39">
        <f>SUM(D64:O64)</f>
        <v>1269.9000000000001</v>
      </c>
      <c r="Q64" s="55"/>
      <c r="S64" s="423"/>
      <c r="Y64" s="40" t="s">
        <v>20</v>
      </c>
      <c r="Z64" s="41">
        <v>2000.72</v>
      </c>
      <c r="AA64" s="42">
        <f>AA52*$AC$3</f>
        <v>119.19333847440001</v>
      </c>
      <c r="AB64" s="42">
        <f>AB52*$AC$3</f>
        <v>95.354670779520006</v>
      </c>
      <c r="AC64" s="42">
        <f>AC52*$AC$3</f>
        <v>158.9244512992</v>
      </c>
      <c r="AD64" s="42">
        <f>AD52*$AC$3</f>
        <v>87.408448214559996</v>
      </c>
      <c r="AE64" s="42">
        <f>AE52*$AC$3</f>
        <v>79.462225649600001</v>
      </c>
      <c r="AF64" s="42">
        <f>AF52*$AC$3</f>
        <v>103.30089334448</v>
      </c>
      <c r="AG64" s="42">
        <f>AG52*$AC$3</f>
        <v>119.19333847440001</v>
      </c>
      <c r="AH64" s="42">
        <f>AH52*$AC$3</f>
        <v>111.24711590944</v>
      </c>
      <c r="AI64" s="42">
        <f>AI52*$AC$3</f>
        <v>111.24711590944</v>
      </c>
      <c r="AJ64" s="42">
        <f>AJ52*$AC$3</f>
        <v>127.13956103936</v>
      </c>
      <c r="AK64" s="42">
        <f>AK52*$AC$3</f>
        <v>95.354670779520006</v>
      </c>
      <c r="AL64" s="42">
        <f>AL52*$AC$3</f>
        <v>111.24711590944</v>
      </c>
      <c r="AM64" s="39">
        <f>SUM(AA64:AL64)</f>
        <v>1319.0729457833602</v>
      </c>
      <c r="AN64" s="55"/>
      <c r="AP64" s="423"/>
    </row>
    <row r="65" spans="1:42">
      <c r="A65" s="427"/>
      <c r="B65" s="40" t="s">
        <v>21</v>
      </c>
      <c r="C65" s="41">
        <v>5.0000000000000001E-3</v>
      </c>
      <c r="D65" s="42">
        <f>D53*$F$3</f>
        <v>2745546.75</v>
      </c>
      <c r="E65" s="42">
        <f>E53*$F$3</f>
        <v>2628432.9</v>
      </c>
      <c r="F65" s="42">
        <f>F53*$F$3</f>
        <v>3318302.25</v>
      </c>
      <c r="G65" s="42">
        <f>G53*$F$3</f>
        <v>2476733.4</v>
      </c>
      <c r="H65" s="42">
        <f>H53*$F$3</f>
        <v>1830364.5</v>
      </c>
      <c r="I65" s="42">
        <f>I53*$F$3</f>
        <v>2847468.9750000001</v>
      </c>
      <c r="J65" s="42">
        <f>J53*$F$3</f>
        <v>2488726.6875</v>
      </c>
      <c r="K65" s="42">
        <f>K53*$F$3</f>
        <v>3152206.1454545455</v>
      </c>
      <c r="L65" s="42">
        <f>L53*$F$3</f>
        <v>2562510.2999999998</v>
      </c>
      <c r="M65" s="42">
        <f>M53*$F$3</f>
        <v>3504577.2</v>
      </c>
      <c r="N65" s="42">
        <f>N53*$F$3</f>
        <v>1990981.35</v>
      </c>
      <c r="O65" s="42">
        <f>O53*$F$3</f>
        <v>3152206.1454545455</v>
      </c>
      <c r="P65" s="39">
        <f>SUM(D65:O65)</f>
        <v>32698056.603409089</v>
      </c>
      <c r="Q65" s="55"/>
      <c r="S65" s="423"/>
      <c r="Y65" s="40" t="s">
        <v>21</v>
      </c>
      <c r="Z65" s="41">
        <v>5.0000000000000001E-3</v>
      </c>
      <c r="AA65" s="42">
        <f>AA53*$AC$3</f>
        <v>2994454.5113795265</v>
      </c>
      <c r="AB65" s="42">
        <f>AB53*$AC$3</f>
        <v>2866726.9298703596</v>
      </c>
      <c r="AC65" s="42">
        <f>AC53*$AC$3</f>
        <v>3619138.852101292</v>
      </c>
      <c r="AD65" s="42">
        <f>AD53*$AC$3</f>
        <v>2701270.6836227621</v>
      </c>
      <c r="AE65" s="42">
        <f>AE53*$AC$3</f>
        <v>1996305.6563272059</v>
      </c>
      <c r="AF65" s="42">
        <f>AF53*$AC$3</f>
        <v>3105622.1650633169</v>
      </c>
      <c r="AG65" s="42">
        <f>AG53*$AC$3</f>
        <v>2714350.1659646863</v>
      </c>
      <c r="AH65" s="42">
        <f>AH53*$AC$3</f>
        <v>3437980.8700653338</v>
      </c>
      <c r="AI65" s="42">
        <f>AI53*$AC$3</f>
        <v>2794829.5081026014</v>
      </c>
      <c r="AJ65" s="42">
        <f>AJ53*$AC$3</f>
        <v>3822299.9244196243</v>
      </c>
      <c r="AK65" s="42">
        <f>AK53*$AC$3</f>
        <v>2171480.132771749</v>
      </c>
      <c r="AL65" s="42">
        <f>AL53*$AC$3</f>
        <v>3437980.8700653338</v>
      </c>
      <c r="AM65" s="39">
        <f>SUM(AA65:AL65)</f>
        <v>35662440.269753791</v>
      </c>
      <c r="AN65" s="55"/>
      <c r="AP65" s="423"/>
    </row>
    <row r="66" spans="1:42">
      <c r="A66" s="427" t="s">
        <v>232</v>
      </c>
      <c r="B66" s="40" t="s">
        <v>20</v>
      </c>
      <c r="C66" s="41">
        <v>2129.14</v>
      </c>
      <c r="D66" s="42"/>
      <c r="E66" s="42"/>
      <c r="F66" s="42"/>
      <c r="G66" s="42"/>
      <c r="H66" s="42"/>
      <c r="I66" s="42"/>
      <c r="J66" s="43"/>
      <c r="K66" s="43"/>
      <c r="L66" s="43"/>
      <c r="M66" s="43"/>
      <c r="N66" s="43"/>
      <c r="O66" s="43"/>
      <c r="S66" s="423"/>
      <c r="Y66" s="40" t="s">
        <v>20</v>
      </c>
      <c r="Z66" s="41">
        <v>2129.14</v>
      </c>
      <c r="AA66" s="42"/>
      <c r="AB66" s="42"/>
      <c r="AC66" s="42"/>
      <c r="AD66" s="42"/>
      <c r="AE66" s="42"/>
      <c r="AF66" s="42"/>
      <c r="AG66" s="43"/>
      <c r="AH66" s="43"/>
      <c r="AI66" s="43"/>
      <c r="AJ66" s="43"/>
      <c r="AK66" s="43"/>
      <c r="AL66" s="43"/>
      <c r="AP66" s="423"/>
    </row>
    <row r="67" spans="1:42">
      <c r="A67" s="427"/>
      <c r="B67" s="40" t="s">
        <v>21</v>
      </c>
      <c r="C67" s="41">
        <v>2E-3</v>
      </c>
      <c r="D67" s="42"/>
      <c r="E67" s="42"/>
      <c r="F67" s="42"/>
      <c r="G67" s="42"/>
      <c r="H67" s="42"/>
      <c r="I67" s="42"/>
      <c r="J67" s="43"/>
      <c r="K67" s="43"/>
      <c r="L67" s="43"/>
      <c r="M67" s="43"/>
      <c r="N67" s="43"/>
      <c r="O67" s="43"/>
      <c r="S67" s="423"/>
      <c r="Y67" s="40" t="s">
        <v>21</v>
      </c>
      <c r="Z67" s="41">
        <v>2E-3</v>
      </c>
      <c r="AA67" s="42"/>
      <c r="AB67" s="42"/>
      <c r="AC67" s="42"/>
      <c r="AD67" s="42"/>
      <c r="AE67" s="42"/>
      <c r="AF67" s="42"/>
      <c r="AG67" s="43"/>
      <c r="AH67" s="43"/>
      <c r="AI67" s="43"/>
      <c r="AJ67" s="43"/>
      <c r="AK67" s="43"/>
      <c r="AL67" s="43"/>
      <c r="AP67" s="423"/>
    </row>
    <row r="68" spans="1:42">
      <c r="A68" s="427" t="s">
        <v>231</v>
      </c>
      <c r="B68" s="40" t="s">
        <v>20</v>
      </c>
      <c r="C68" s="41">
        <v>2751.2</v>
      </c>
      <c r="D68" s="42"/>
      <c r="E68" s="42"/>
      <c r="F68" s="42"/>
      <c r="G68" s="42"/>
      <c r="H68" s="42"/>
      <c r="I68" s="42"/>
      <c r="J68" s="43"/>
      <c r="K68" s="43"/>
      <c r="L68" s="43"/>
      <c r="M68" s="43"/>
      <c r="N68" s="43"/>
      <c r="O68" s="43"/>
      <c r="S68" s="423"/>
      <c r="Y68" s="40" t="s">
        <v>20</v>
      </c>
      <c r="Z68" s="41">
        <v>2751.2</v>
      </c>
      <c r="AA68" s="42"/>
      <c r="AB68" s="42"/>
      <c r="AC68" s="42"/>
      <c r="AD68" s="42"/>
      <c r="AE68" s="42"/>
      <c r="AF68" s="42"/>
      <c r="AG68" s="43"/>
      <c r="AH68" s="43"/>
      <c r="AI68" s="43"/>
      <c r="AJ68" s="43"/>
      <c r="AK68" s="43"/>
      <c r="AL68" s="43"/>
      <c r="AP68" s="423"/>
    </row>
    <row r="69" spans="1:42">
      <c r="A69" s="427"/>
      <c r="B69" s="40" t="s">
        <v>21</v>
      </c>
      <c r="C69" s="41">
        <v>2E-3</v>
      </c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S69" s="423"/>
      <c r="Y69" s="40" t="s">
        <v>21</v>
      </c>
      <c r="Z69" s="41">
        <v>2E-3</v>
      </c>
      <c r="AA69" s="42"/>
      <c r="AB69" s="42"/>
      <c r="AC69" s="42"/>
      <c r="AD69" s="42"/>
      <c r="AE69" s="42"/>
      <c r="AF69" s="42"/>
      <c r="AG69" s="43"/>
      <c r="AH69" s="43"/>
      <c r="AI69" s="43"/>
      <c r="AJ69" s="43"/>
      <c r="AK69" s="43"/>
      <c r="AL69" s="43"/>
      <c r="AP69" s="423"/>
    </row>
    <row r="70" spans="1:42">
      <c r="D70" s="29">
        <f>D64*$C$42*$D$2</f>
        <v>4017695850</v>
      </c>
      <c r="E70" s="29">
        <f>E64*$C$42*$D$2</f>
        <v>3214156680.0000005</v>
      </c>
      <c r="F70" s="29">
        <f>F64*$C$42*$D$2</f>
        <v>5356927800.000001</v>
      </c>
      <c r="G70" s="29">
        <f>G64*$C$42*$D$2</f>
        <v>2946310290.0000005</v>
      </c>
      <c r="H70" s="29">
        <f>H64*$C$42*$D$2</f>
        <v>2678463900.0000005</v>
      </c>
      <c r="I70" s="29">
        <f>I64*$C$42*$D$2</f>
        <v>3482003070.0000005</v>
      </c>
      <c r="J70" s="29">
        <f>J64*$C$42*$D$2</f>
        <v>4017695850</v>
      </c>
      <c r="K70" s="29">
        <f>K64*$C$42*$D$2</f>
        <v>3749849460.0000005</v>
      </c>
      <c r="L70" s="29">
        <f>L64*$C$42*$D$2</f>
        <v>3749849460.0000005</v>
      </c>
      <c r="M70" s="29">
        <f>M64*$C$42*$D$2</f>
        <v>4285542240.0000005</v>
      </c>
      <c r="N70" s="29">
        <f>N64*$C$42*$D$2</f>
        <v>3214156680.0000005</v>
      </c>
      <c r="O70" s="29">
        <f>O64*$C$42*$D$2</f>
        <v>3749849460.0000005</v>
      </c>
      <c r="P70" s="39">
        <f>SUM(D70:O70)</f>
        <v>44462500740</v>
      </c>
      <c r="Q70" s="402"/>
      <c r="R70" s="54" t="e">
        <f>P70/Q70</f>
        <v>#DIV/0!</v>
      </c>
      <c r="S70" s="424"/>
      <c r="AA70" s="29">
        <f>AA64*$C$42*$D$2</f>
        <v>4173268682.6687775</v>
      </c>
      <c r="AB70" s="29">
        <f>AB64*$C$42*$D$2</f>
        <v>3338614946.1350222</v>
      </c>
      <c r="AC70" s="29">
        <f>AC64*$C$42*$D$2</f>
        <v>5564358243.5583696</v>
      </c>
      <c r="AD70" s="29">
        <f>AD64*$C$42*$D$2</f>
        <v>3060397033.9571033</v>
      </c>
      <c r="AE70" s="29">
        <f>AE64*$C$42*$D$2</f>
        <v>2782179121.7791848</v>
      </c>
      <c r="AF70" s="29">
        <f>AF64*$C$42*$D$2</f>
        <v>3616832858.3129406</v>
      </c>
      <c r="AG70" s="29">
        <f>AG64*$C$42*$D$2</f>
        <v>4173268682.6687775</v>
      </c>
      <c r="AH70" s="29">
        <f>AH64*$C$42*$D$2</f>
        <v>3895050770.4908586</v>
      </c>
      <c r="AI70" s="29">
        <f>AI64*$C$42*$D$2</f>
        <v>3895050770.4908586</v>
      </c>
      <c r="AJ70" s="29">
        <f>AJ64*$C$42*$D$2</f>
        <v>4451486594.8466959</v>
      </c>
      <c r="AK70" s="29">
        <f>AK64*$C$42*$D$2</f>
        <v>3338614946.1350222</v>
      </c>
      <c r="AL70" s="29">
        <f>AL64*$C$42*$D$2</f>
        <v>3895050770.4908586</v>
      </c>
      <c r="AM70" s="39">
        <f>SUM(AA70:AL70)</f>
        <v>46184173421.534477</v>
      </c>
      <c r="AN70" s="402"/>
      <c r="AO70" s="54"/>
      <c r="AP70" s="424"/>
    </row>
    <row r="71" spans="1:42">
      <c r="D71" s="29">
        <f>D65*$C$43*$D$2</f>
        <v>240235340.625</v>
      </c>
      <c r="E71" s="29">
        <f>E65*$C$43*$D$2</f>
        <v>229987878.74999997</v>
      </c>
      <c r="F71" s="29">
        <f>F65*$C$43*$D$2</f>
        <v>290351446.875</v>
      </c>
      <c r="G71" s="29">
        <f>G65*$C$43*$D$2</f>
        <v>216714172.5</v>
      </c>
      <c r="H71" s="29">
        <f>H65*$C$43*$D$2</f>
        <v>160156893.75</v>
      </c>
      <c r="I71" s="29">
        <f>I65*$C$43*$D$2</f>
        <v>249153535.3125</v>
      </c>
      <c r="J71" s="29">
        <f>J65*$C$43*$D$2</f>
        <v>217763585.15625</v>
      </c>
      <c r="K71" s="29">
        <f>K65*$C$43*$D$2</f>
        <v>275818037.72727275</v>
      </c>
      <c r="L71" s="29">
        <f>L65*$C$43*$D$2</f>
        <v>224219651.25</v>
      </c>
      <c r="M71" s="29">
        <f>M65*$C$43*$D$2</f>
        <v>306650505.00000006</v>
      </c>
      <c r="N71" s="29">
        <f>N65*$C$43*$D$2</f>
        <v>174210868.125</v>
      </c>
      <c r="O71" s="29">
        <f>O65*$C$43*$D$2</f>
        <v>275818037.72727275</v>
      </c>
      <c r="P71" s="39">
        <f>SUM(D71:O71)</f>
        <v>2861079952.798296</v>
      </c>
      <c r="Q71" s="402"/>
      <c r="R71" s="54" t="e">
        <f>P71/Q71</f>
        <v>#DIV/0!</v>
      </c>
      <c r="S71" s="424"/>
      <c r="AA71" s="29">
        <f>AA65*$C$43*$D$2</f>
        <v>262014769.74570858</v>
      </c>
      <c r="AB71" s="29">
        <f>AB65*$C$43*$D$2</f>
        <v>250838606.36365646</v>
      </c>
      <c r="AC71" s="29">
        <f>AC65*$C$43*$D$2</f>
        <v>316674649.5588631</v>
      </c>
      <c r="AD71" s="29">
        <f>AD65*$C$43*$D$2</f>
        <v>236361184.81699169</v>
      </c>
      <c r="AE71" s="29">
        <f>AE65*$C$43*$D$2</f>
        <v>174676744.92863053</v>
      </c>
      <c r="AF71" s="29">
        <f>AF65*$C$43*$D$2</f>
        <v>271741939.44304025</v>
      </c>
      <c r="AG71" s="29">
        <f>AG65*$C$43*$D$2</f>
        <v>237505639.52191004</v>
      </c>
      <c r="AH71" s="29">
        <f>AH65*$C$43*$D$2</f>
        <v>300823326.13071674</v>
      </c>
      <c r="AI71" s="29">
        <f>AI65*$C$43*$D$2</f>
        <v>244547581.95897764</v>
      </c>
      <c r="AJ71" s="29">
        <f>AJ65*$C$43*$D$2</f>
        <v>334451243.38671714</v>
      </c>
      <c r="AK71" s="29">
        <f>AK65*$C$43*$D$2</f>
        <v>190004511.61752805</v>
      </c>
      <c r="AL71" s="29">
        <f>AL65*$C$43*$D$2</f>
        <v>300823326.13071674</v>
      </c>
      <c r="AM71" s="39">
        <f>SUM(AA71:AL71)</f>
        <v>3120463523.603457</v>
      </c>
      <c r="AN71" s="402"/>
      <c r="AO71" s="54"/>
      <c r="AP71" s="424"/>
    </row>
    <row r="72" spans="1:42">
      <c r="A72" s="44"/>
      <c r="B72" s="44"/>
      <c r="C72" s="44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8"/>
      <c r="Q72" s="44"/>
      <c r="R72" s="44"/>
      <c r="S72" s="423"/>
      <c r="Y72" s="44"/>
      <c r="Z72" s="44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8"/>
      <c r="AN72" s="44"/>
      <c r="AO72" s="44"/>
      <c r="AP72" s="423"/>
    </row>
    <row r="73" spans="1:42">
      <c r="A73" s="44"/>
      <c r="B73" s="44"/>
      <c r="C73" s="44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8"/>
      <c r="Q73" s="44"/>
      <c r="R73" s="44"/>
      <c r="S73" s="423"/>
      <c r="Y73" s="44"/>
      <c r="Z73" s="44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8"/>
      <c r="AN73" s="44"/>
      <c r="AO73" s="44"/>
      <c r="AP73" s="423"/>
    </row>
    <row r="74" spans="1:42">
      <c r="B74" t="s">
        <v>215</v>
      </c>
      <c r="D74" s="436">
        <f>'[1]PANDU PELSUS'!C26</f>
        <v>16</v>
      </c>
      <c r="E74" s="436">
        <f>'[1]PANDU PELSUS'!D26</f>
        <v>23</v>
      </c>
      <c r="F74" s="436">
        <f>'[1]PANDU PELSUS'!E26</f>
        <v>22</v>
      </c>
      <c r="G74" s="436">
        <f>'[1]PANDU PELSUS'!F26</f>
        <v>17</v>
      </c>
      <c r="H74" s="436">
        <f>'[1]PANDU PELSUS'!G26</f>
        <v>12</v>
      </c>
      <c r="I74" s="436">
        <f>'[1]PANDU PELSUS'!H26</f>
        <v>16</v>
      </c>
      <c r="J74" s="98">
        <f>'[1]PANDU PELSUS'!I26</f>
        <v>18</v>
      </c>
      <c r="K74" s="98">
        <f>'[1]PANDU PELSUS'!J26</f>
        <v>23</v>
      </c>
      <c r="L74" s="98">
        <f>'[1]PANDU PELSUS'!K26</f>
        <v>18</v>
      </c>
      <c r="M74" s="98">
        <f>'[1]PANDU PELSUS'!L26</f>
        <v>16</v>
      </c>
      <c r="N74" s="98">
        <f>'[1]PANDU PELSUS'!M26</f>
        <v>21</v>
      </c>
      <c r="O74" s="98">
        <f>'[1]PANDU PELSUS'!N26</f>
        <v>23</v>
      </c>
      <c r="P74" s="39">
        <f>SUM(D74:O74)</f>
        <v>225</v>
      </c>
      <c r="Q74">
        <f>P75/P74</f>
        <v>7430.5605912061792</v>
      </c>
      <c r="S74" s="423"/>
      <c r="Y74" t="s">
        <v>215</v>
      </c>
      <c r="AA74" s="428">
        <f>'[1]PANDU PELSUS'!U26</f>
        <v>16</v>
      </c>
      <c r="AB74" s="428">
        <f>'[1]PANDU PELSUS'!V26</f>
        <v>23</v>
      </c>
      <c r="AC74" s="428">
        <f>'[1]PANDU PELSUS'!W26</f>
        <v>22</v>
      </c>
      <c r="AD74" s="428">
        <f>'[1]PANDU PELSUS'!X26</f>
        <v>17</v>
      </c>
      <c r="AE74" s="428">
        <f>'[1]PANDU PELSUS'!Y26</f>
        <v>12</v>
      </c>
      <c r="AF74" s="428">
        <f>'[1]PANDU PELSUS'!Z26</f>
        <v>16</v>
      </c>
      <c r="AG74" s="428">
        <f>'[1]PANDU PELSUS'!AA26</f>
        <v>18</v>
      </c>
      <c r="AH74" s="428">
        <f>'[1]PANDU PELSUS'!AB26</f>
        <v>23</v>
      </c>
      <c r="AI74" s="428">
        <f>'[1]PANDU PELSUS'!AC26</f>
        <v>18</v>
      </c>
      <c r="AJ74" s="428">
        <f>'[1]PANDU PELSUS'!AD26</f>
        <v>16</v>
      </c>
      <c r="AK74" s="428">
        <f>'[1]PANDU PELSUS'!AE26</f>
        <v>21</v>
      </c>
      <c r="AL74" s="428">
        <f>'[1]PANDU PELSUS'!AF26</f>
        <v>23</v>
      </c>
      <c r="AM74" s="39">
        <f>SUM(AA74:AL74)</f>
        <v>225</v>
      </c>
      <c r="AP74" s="423"/>
    </row>
    <row r="75" spans="1:42">
      <c r="D75" s="436">
        <f>'[1]PANDU PELSUS'!C27</f>
        <v>128975</v>
      </c>
      <c r="E75" s="436">
        <f>'[1]PANDU PELSUS'!D27</f>
        <v>198191</v>
      </c>
      <c r="F75" s="436">
        <f>'[1]PANDU PELSUS'!E27</f>
        <v>177563</v>
      </c>
      <c r="G75" s="436">
        <f>'[1]PANDU PELSUS'!F27</f>
        <v>90344</v>
      </c>
      <c r="H75" s="436">
        <f>'[1]PANDU PELSUS'!G27</f>
        <v>96731.25</v>
      </c>
      <c r="I75" s="436">
        <f>'[1]PANDU PELSUS'!H27</f>
        <v>137872</v>
      </c>
      <c r="J75" s="98">
        <f>'[1]PANDU PELSUS'!I27</f>
        <v>145278.81818181818</v>
      </c>
      <c r="K75" s="98">
        <f>'[1]PANDU PELSUS'!J27</f>
        <v>122230.11764705881</v>
      </c>
      <c r="L75" s="98">
        <f>'[1]PANDU PELSUS'!K27</f>
        <v>145096.875</v>
      </c>
      <c r="M75" s="98">
        <f>'[1]PANDU PELSUS'!L27</f>
        <v>137872</v>
      </c>
      <c r="N75" s="98">
        <f>'[1]PANDU PELSUS'!M27</f>
        <v>169491.95454545456</v>
      </c>
      <c r="O75" s="98">
        <f>'[1]PANDU PELSUS'!N27</f>
        <v>122230.11764705881</v>
      </c>
      <c r="P75" s="39">
        <f>SUM(D75:O75)</f>
        <v>1671876.1330213903</v>
      </c>
      <c r="S75" s="423"/>
      <c r="AA75" s="428">
        <f>'[1]PANDU PELSUS'!U27</f>
        <v>135424</v>
      </c>
      <c r="AB75" s="428">
        <f>'[1]PANDU PELSUS'!V27</f>
        <v>208101</v>
      </c>
      <c r="AC75" s="428">
        <f>'[1]PANDU PELSUS'!W27</f>
        <v>186442</v>
      </c>
      <c r="AD75" s="428">
        <f>'[1]PANDU PELSUS'!X27</f>
        <v>94862</v>
      </c>
      <c r="AE75" s="428">
        <f>'[1]PANDU PELSUS'!Y27</f>
        <v>101568</v>
      </c>
      <c r="AF75" s="428">
        <f>'[1]PANDU PELSUS'!Z27</f>
        <v>144766</v>
      </c>
      <c r="AG75" s="428">
        <f>'[1]PANDU PELSUS'!AA27</f>
        <v>152543</v>
      </c>
      <c r="AH75" s="428">
        <f>'[1]PANDU PELSUS'!AB27</f>
        <v>128342</v>
      </c>
      <c r="AI75" s="428">
        <f>'[1]PANDU PELSUS'!AC27</f>
        <v>152352</v>
      </c>
      <c r="AJ75" s="428">
        <f>'[1]PANDU PELSUS'!AD27</f>
        <v>144766</v>
      </c>
      <c r="AK75" s="428">
        <f>'[1]PANDU PELSUS'!AE27</f>
        <v>177967</v>
      </c>
      <c r="AL75" s="428">
        <f>'[1]PANDU PELSUS'!AF27</f>
        <v>128342</v>
      </c>
      <c r="AM75" s="39">
        <f>SUM(AA75:AL75)</f>
        <v>1755475</v>
      </c>
      <c r="AP75" s="423"/>
    </row>
    <row r="76" spans="1:42">
      <c r="A76" s="427" t="s">
        <v>238</v>
      </c>
      <c r="B76" s="40" t="s">
        <v>20</v>
      </c>
      <c r="C76" s="41">
        <v>389</v>
      </c>
      <c r="D76" s="42"/>
      <c r="E76" s="42"/>
      <c r="F76" s="42"/>
      <c r="G76" s="42"/>
      <c r="H76" s="42"/>
      <c r="I76" s="42"/>
      <c r="J76" s="43"/>
      <c r="K76" s="43"/>
      <c r="L76" s="43"/>
      <c r="M76" s="43"/>
      <c r="N76" s="43"/>
      <c r="O76" s="43"/>
      <c r="S76" s="423"/>
      <c r="Y76" s="40" t="s">
        <v>20</v>
      </c>
      <c r="Z76" s="41">
        <v>389</v>
      </c>
      <c r="AA76" s="42"/>
      <c r="AB76" s="42"/>
      <c r="AC76" s="42"/>
      <c r="AD76" s="42"/>
      <c r="AE76" s="42"/>
      <c r="AF76" s="42"/>
      <c r="AG76" s="43"/>
      <c r="AH76" s="43"/>
      <c r="AI76" s="43"/>
      <c r="AJ76" s="43"/>
      <c r="AK76" s="43"/>
      <c r="AL76" s="43"/>
      <c r="AP76" s="423"/>
    </row>
    <row r="77" spans="1:42">
      <c r="A77" s="427"/>
      <c r="B77" s="40" t="s">
        <v>21</v>
      </c>
      <c r="C77" s="41">
        <v>0.01</v>
      </c>
      <c r="D77" s="42"/>
      <c r="E77" s="42"/>
      <c r="F77" s="42"/>
      <c r="G77" s="42"/>
      <c r="H77" s="42"/>
      <c r="I77" s="42"/>
      <c r="J77" s="43"/>
      <c r="K77" s="43"/>
      <c r="L77" s="43"/>
      <c r="M77" s="43"/>
      <c r="N77" s="43"/>
      <c r="O77" s="43"/>
      <c r="S77" s="423"/>
      <c r="Y77" s="40" t="s">
        <v>21</v>
      </c>
      <c r="Z77" s="41">
        <v>0.01</v>
      </c>
      <c r="AA77" s="42"/>
      <c r="AB77" s="42"/>
      <c r="AC77" s="42"/>
      <c r="AD77" s="42"/>
      <c r="AE77" s="42"/>
      <c r="AF77" s="42"/>
      <c r="AG77" s="43"/>
      <c r="AH77" s="43"/>
      <c r="AI77" s="43"/>
      <c r="AJ77" s="43"/>
      <c r="AK77" s="43"/>
      <c r="AL77" s="43"/>
      <c r="AP77" s="423"/>
    </row>
    <row r="78" spans="1:42">
      <c r="A78" s="427" t="s">
        <v>237</v>
      </c>
      <c r="B78" s="40" t="s">
        <v>20</v>
      </c>
      <c r="C78" s="41">
        <v>859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39">
        <f>SUM(D78:O78)</f>
        <v>0</v>
      </c>
      <c r="Q78" s="437" t="e">
        <f>P79/P78</f>
        <v>#DIV/0!</v>
      </c>
      <c r="R78" t="e">
        <f>Q78*3</f>
        <v>#DIV/0!</v>
      </c>
      <c r="S78" s="423"/>
      <c r="Y78" s="40" t="s">
        <v>20</v>
      </c>
      <c r="Z78" s="41">
        <v>859</v>
      </c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39"/>
      <c r="AN78" s="437"/>
      <c r="AP78" s="423"/>
    </row>
    <row r="79" spans="1:42">
      <c r="A79" s="427"/>
      <c r="B79" s="40" t="s">
        <v>21</v>
      </c>
      <c r="C79" s="41">
        <v>0.01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39">
        <f>SUM(D79:O79)</f>
        <v>0</v>
      </c>
      <c r="S79" s="423"/>
      <c r="Y79" s="40" t="s">
        <v>21</v>
      </c>
      <c r="Z79" s="41">
        <v>0.01</v>
      </c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39"/>
      <c r="AP79" s="423"/>
    </row>
    <row r="80" spans="1:42">
      <c r="A80" s="427" t="s">
        <v>236</v>
      </c>
      <c r="B80" s="40" t="s">
        <v>20</v>
      </c>
      <c r="C80" s="41">
        <v>1342.72</v>
      </c>
      <c r="D80" s="42">
        <f>D$74*$F$3</f>
        <v>122.4</v>
      </c>
      <c r="E80" s="42">
        <f>E$74*$F$3</f>
        <v>175.95000000000002</v>
      </c>
      <c r="F80" s="42">
        <f>F$74*$F$3</f>
        <v>168.3</v>
      </c>
      <c r="G80" s="42">
        <f>G$74*$F$3</f>
        <v>130.05000000000001</v>
      </c>
      <c r="H80" s="42">
        <f>H$74*$F$3</f>
        <v>91.800000000000011</v>
      </c>
      <c r="I80" s="42">
        <f>I$74*$F$3</f>
        <v>122.4</v>
      </c>
      <c r="J80" s="42">
        <f>J$74*$F$3</f>
        <v>137.70000000000002</v>
      </c>
      <c r="K80" s="42">
        <f>K$74*$F$3</f>
        <v>175.95000000000002</v>
      </c>
      <c r="L80" s="42">
        <f>L$74*$F$3</f>
        <v>137.70000000000002</v>
      </c>
      <c r="M80" s="42">
        <f>M$74*$F$3</f>
        <v>122.4</v>
      </c>
      <c r="N80" s="42">
        <f>N$74*$F$3</f>
        <v>160.65</v>
      </c>
      <c r="O80" s="42">
        <f>O$74*$F$3</f>
        <v>175.95000000000002</v>
      </c>
      <c r="S80" s="423"/>
      <c r="Y80" s="40" t="s">
        <v>20</v>
      </c>
      <c r="Z80" s="41">
        <v>1342.72</v>
      </c>
      <c r="AA80" s="42">
        <f>AA$74*$AC$3</f>
        <v>127.13956103936</v>
      </c>
      <c r="AB80" s="42">
        <f>AB$74*$AC$3</f>
        <v>182.76311899408</v>
      </c>
      <c r="AC80" s="42">
        <f>AC$74*$AC$3</f>
        <v>174.81689642911999</v>
      </c>
      <c r="AD80" s="42">
        <f>AD$74*$AC$3</f>
        <v>135.08578360432</v>
      </c>
      <c r="AE80" s="42">
        <f>AE$74*$AC$3</f>
        <v>95.354670779520006</v>
      </c>
      <c r="AF80" s="42">
        <f>AF$74*$AC$3</f>
        <v>127.13956103936</v>
      </c>
      <c r="AG80" s="42">
        <f>AG$74*$AC$3</f>
        <v>143.03200616928001</v>
      </c>
      <c r="AH80" s="42">
        <f>AH$74*$AC$3</f>
        <v>182.76311899408</v>
      </c>
      <c r="AI80" s="42">
        <f>AI$74*$AC$3</f>
        <v>143.03200616928001</v>
      </c>
      <c r="AJ80" s="42">
        <f>AJ$74*$AC$3</f>
        <v>127.13956103936</v>
      </c>
      <c r="AK80" s="42">
        <f>AK$74*$AC$3</f>
        <v>166.87067386416001</v>
      </c>
      <c r="AL80" s="42">
        <f>AL$74*$AC$3</f>
        <v>182.76311899408</v>
      </c>
      <c r="AM80" s="39">
        <f>SUM(AA80:AL80)</f>
        <v>1787.9000771160001</v>
      </c>
      <c r="AP80" s="423"/>
    </row>
    <row r="81" spans="1:43">
      <c r="A81" s="427"/>
      <c r="B81" s="40" t="s">
        <v>21</v>
      </c>
      <c r="C81" s="41">
        <v>0.01</v>
      </c>
      <c r="D81" s="42">
        <f>D$75*$F$3</f>
        <v>986658.75</v>
      </c>
      <c r="E81" s="42">
        <f>E$75*$F$3</f>
        <v>1516161.1500000001</v>
      </c>
      <c r="F81" s="42">
        <f>F$75*$F$3</f>
        <v>1358356.95</v>
      </c>
      <c r="G81" s="42">
        <f>G$75*$F$3</f>
        <v>691131.6</v>
      </c>
      <c r="H81" s="42">
        <f>H$75*$F$3</f>
        <v>739994.0625</v>
      </c>
      <c r="I81" s="42">
        <f>I$75*$F$3</f>
        <v>1054720.8</v>
      </c>
      <c r="J81" s="42">
        <f>J$75*$F$3</f>
        <v>1111382.959090909</v>
      </c>
      <c r="K81" s="42">
        <f>K$75*$F$3</f>
        <v>935060.39999999991</v>
      </c>
      <c r="L81" s="42">
        <f>L$75*$F$3</f>
        <v>1109991.09375</v>
      </c>
      <c r="M81" s="42">
        <f>M$75*$F$3</f>
        <v>1054720.8</v>
      </c>
      <c r="N81" s="42">
        <f>N$75*$F$3</f>
        <v>1296613.4522727274</v>
      </c>
      <c r="O81" s="42">
        <f>O$75*$F$3</f>
        <v>935060.39999999991</v>
      </c>
      <c r="S81" s="423"/>
      <c r="Y81" s="40" t="s">
        <v>21</v>
      </c>
      <c r="Z81" s="41">
        <v>0.01</v>
      </c>
      <c r="AA81" s="42">
        <f>AA$75*$AC$3</f>
        <v>1076109.2446371431</v>
      </c>
      <c r="AB81" s="42">
        <f>AB$75*$AC$3</f>
        <v>1653616.861990741</v>
      </c>
      <c r="AC81" s="42">
        <f>AC$75*$AC$3</f>
        <v>1481509.6274562723</v>
      </c>
      <c r="AD81" s="42">
        <f>AD$75*$AC$3</f>
        <v>753794.56495723559</v>
      </c>
      <c r="AE81" s="42">
        <f>AE$75*$AC$3</f>
        <v>807081.93347785727</v>
      </c>
      <c r="AF81" s="42">
        <f>AF$75*$AC$3</f>
        <v>1150342.8558389994</v>
      </c>
      <c r="AG81" s="42">
        <f>AG$75*$AC$3</f>
        <v>1212140.6287266933</v>
      </c>
      <c r="AH81" s="42">
        <f>AH$75*$AC$3</f>
        <v>1019834.0964320963</v>
      </c>
      <c r="AI81" s="42">
        <f>AI$75*$AC$3</f>
        <v>1210622.900216786</v>
      </c>
      <c r="AJ81" s="42">
        <f>AJ$75*$AC$3</f>
        <v>1150342.8558389994</v>
      </c>
      <c r="AK81" s="42">
        <f>AK$75*$AC$3</f>
        <v>1414165.3912182364</v>
      </c>
      <c r="AL81" s="42">
        <f>AL$75*$AC$3</f>
        <v>1019834.0964320963</v>
      </c>
      <c r="AM81" s="39">
        <f>SUM(AA81:AL81)</f>
        <v>13949395.057223156</v>
      </c>
      <c r="AP81" s="423"/>
    </row>
    <row r="82" spans="1:43">
      <c r="A82" s="427" t="s">
        <v>235</v>
      </c>
      <c r="B82" s="40" t="s">
        <v>20</v>
      </c>
      <c r="C82" s="41">
        <v>1700.12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>
        <f>Q75*18</f>
        <v>0</v>
      </c>
      <c r="S82" s="423"/>
      <c r="Y82" s="40" t="s">
        <v>20</v>
      </c>
      <c r="Z82" s="41">
        <v>1700.12</v>
      </c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>
        <f>AN75*18</f>
        <v>0</v>
      </c>
      <c r="AP82" s="423"/>
    </row>
    <row r="83" spans="1:43">
      <c r="A83" s="427"/>
      <c r="B83" s="40" t="s">
        <v>21</v>
      </c>
      <c r="C83" s="41">
        <v>7.0000000000000001E-3</v>
      </c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S83" s="423"/>
      <c r="Y83" s="40" t="s">
        <v>21</v>
      </c>
      <c r="Z83" s="41">
        <v>7.0000000000000001E-3</v>
      </c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P83" s="423"/>
    </row>
    <row r="84" spans="1:43">
      <c r="A84" s="427" t="s">
        <v>234</v>
      </c>
      <c r="B84" s="40" t="s">
        <v>20</v>
      </c>
      <c r="C84" s="41">
        <v>1921.86</v>
      </c>
      <c r="D84" s="42"/>
      <c r="E84" s="42"/>
      <c r="F84" s="42"/>
      <c r="G84" s="42"/>
      <c r="H84" s="42"/>
      <c r="I84" s="42"/>
      <c r="J84" s="43"/>
      <c r="K84" s="43"/>
      <c r="L84" s="43"/>
      <c r="M84" s="43"/>
      <c r="N84" s="43"/>
      <c r="O84" s="43"/>
      <c r="S84" s="423"/>
      <c r="Y84" s="40" t="s">
        <v>20</v>
      </c>
      <c r="Z84" s="41">
        <v>1921.86</v>
      </c>
      <c r="AA84" s="42"/>
      <c r="AB84" s="42"/>
      <c r="AC84" s="42"/>
      <c r="AD84" s="42"/>
      <c r="AE84" s="42"/>
      <c r="AF84" s="42"/>
      <c r="AG84" s="43"/>
      <c r="AH84" s="43"/>
      <c r="AI84" s="43"/>
      <c r="AJ84" s="43"/>
      <c r="AK84" s="43"/>
      <c r="AL84" s="43"/>
      <c r="AP84" s="423"/>
    </row>
    <row r="85" spans="1:43">
      <c r="A85" s="427"/>
      <c r="B85" s="40" t="s">
        <v>21</v>
      </c>
      <c r="C85" s="41">
        <v>5.0000000000000001E-3</v>
      </c>
      <c r="D85" s="42"/>
      <c r="E85" s="42"/>
      <c r="F85" s="42"/>
      <c r="G85" s="42"/>
      <c r="H85" s="42"/>
      <c r="I85" s="42"/>
      <c r="J85" s="43"/>
      <c r="K85" s="43"/>
      <c r="L85" s="43"/>
      <c r="M85" s="43"/>
      <c r="N85" s="43"/>
      <c r="O85" s="43"/>
      <c r="S85" s="423"/>
      <c r="Y85" s="40" t="s">
        <v>21</v>
      </c>
      <c r="Z85" s="41">
        <v>5.0000000000000001E-3</v>
      </c>
      <c r="AA85" s="42"/>
      <c r="AB85" s="42"/>
      <c r="AC85" s="42"/>
      <c r="AD85" s="42"/>
      <c r="AE85" s="42"/>
      <c r="AF85" s="42"/>
      <c r="AG85" s="43"/>
      <c r="AH85" s="43"/>
      <c r="AI85" s="43"/>
      <c r="AJ85" s="43"/>
      <c r="AK85" s="43"/>
      <c r="AL85" s="43"/>
      <c r="AP85" s="423"/>
    </row>
    <row r="86" spans="1:43">
      <c r="A86" s="427" t="s">
        <v>233</v>
      </c>
      <c r="B86" s="40" t="s">
        <v>20</v>
      </c>
      <c r="C86" s="41">
        <v>2000.72</v>
      </c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S86" s="423"/>
      <c r="Y86" s="40" t="s">
        <v>20</v>
      </c>
      <c r="Z86" s="41">
        <v>2000.72</v>
      </c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P86" s="423"/>
    </row>
    <row r="87" spans="1:43">
      <c r="A87" s="427"/>
      <c r="B87" s="40" t="s">
        <v>21</v>
      </c>
      <c r="C87" s="41">
        <v>5.0000000000000001E-3</v>
      </c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S87" s="423"/>
      <c r="Y87" s="40" t="s">
        <v>21</v>
      </c>
      <c r="Z87" s="41">
        <v>5.0000000000000001E-3</v>
      </c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P87" s="423"/>
    </row>
    <row r="88" spans="1:43">
      <c r="A88" s="427" t="s">
        <v>232</v>
      </c>
      <c r="B88" s="40" t="s">
        <v>20</v>
      </c>
      <c r="C88" s="41">
        <v>2129.14</v>
      </c>
      <c r="D88" s="42"/>
      <c r="E88" s="42"/>
      <c r="F88" s="42"/>
      <c r="G88" s="42"/>
      <c r="H88" s="42"/>
      <c r="I88" s="42"/>
      <c r="J88" s="43"/>
      <c r="K88" s="43"/>
      <c r="L88" s="43"/>
      <c r="M88" s="43"/>
      <c r="N88" s="43"/>
      <c r="O88" s="43"/>
      <c r="S88" s="423"/>
      <c r="Y88" s="40" t="s">
        <v>20</v>
      </c>
      <c r="Z88" s="41">
        <v>2129.14</v>
      </c>
      <c r="AA88" s="42"/>
      <c r="AB88" s="42"/>
      <c r="AC88" s="42"/>
      <c r="AD88" s="42"/>
      <c r="AE88" s="42"/>
      <c r="AF88" s="42"/>
      <c r="AG88" s="43"/>
      <c r="AH88" s="43"/>
      <c r="AI88" s="43"/>
      <c r="AJ88" s="43"/>
      <c r="AK88" s="43"/>
      <c r="AL88" s="43"/>
      <c r="AP88" s="423"/>
    </row>
    <row r="89" spans="1:43">
      <c r="A89" s="427"/>
      <c r="B89" s="40" t="s">
        <v>21</v>
      </c>
      <c r="C89" s="41">
        <v>2E-3</v>
      </c>
      <c r="D89" s="42"/>
      <c r="E89" s="42"/>
      <c r="F89" s="42"/>
      <c r="G89" s="42"/>
      <c r="H89" s="42"/>
      <c r="I89" s="42"/>
      <c r="J89" s="43"/>
      <c r="K89" s="43"/>
      <c r="L89" s="43"/>
      <c r="M89" s="43"/>
      <c r="N89" s="43"/>
      <c r="O89" s="43"/>
      <c r="S89" s="423"/>
      <c r="Y89" s="40" t="s">
        <v>21</v>
      </c>
      <c r="Z89" s="41">
        <v>2E-3</v>
      </c>
      <c r="AA89" s="42"/>
      <c r="AB89" s="42"/>
      <c r="AC89" s="42"/>
      <c r="AD89" s="42"/>
      <c r="AE89" s="42"/>
      <c r="AF89" s="42"/>
      <c r="AG89" s="43"/>
      <c r="AH89" s="43"/>
      <c r="AI89" s="43"/>
      <c r="AJ89" s="43"/>
      <c r="AK89" s="43"/>
      <c r="AL89" s="43"/>
      <c r="AP89" s="423"/>
    </row>
    <row r="90" spans="1:43">
      <c r="A90" s="427" t="s">
        <v>231</v>
      </c>
      <c r="B90" s="40" t="s">
        <v>20</v>
      </c>
      <c r="C90" s="41">
        <v>2751.2</v>
      </c>
      <c r="D90" s="42"/>
      <c r="E90" s="42"/>
      <c r="F90" s="42"/>
      <c r="G90" s="42"/>
      <c r="H90" s="42"/>
      <c r="I90" s="42"/>
      <c r="J90" s="43"/>
      <c r="K90" s="43"/>
      <c r="L90" s="43"/>
      <c r="M90" s="43"/>
      <c r="N90" s="43"/>
      <c r="O90" s="43"/>
      <c r="S90" s="423"/>
      <c r="Y90" s="40" t="s">
        <v>20</v>
      </c>
      <c r="Z90" s="41">
        <v>2751.2</v>
      </c>
      <c r="AA90" s="42"/>
      <c r="AB90" s="42"/>
      <c r="AC90" s="42"/>
      <c r="AD90" s="42"/>
      <c r="AE90" s="42"/>
      <c r="AF90" s="42"/>
      <c r="AG90" s="43"/>
      <c r="AH90" s="43"/>
      <c r="AI90" s="43"/>
      <c r="AJ90" s="43"/>
      <c r="AK90" s="43"/>
      <c r="AL90" s="43"/>
      <c r="AP90" s="423"/>
    </row>
    <row r="91" spans="1:43">
      <c r="A91" s="427"/>
      <c r="B91" s="40" t="s">
        <v>21</v>
      </c>
      <c r="C91" s="41">
        <v>2E-3</v>
      </c>
      <c r="D91" s="42"/>
      <c r="E91" s="42"/>
      <c r="F91" s="42"/>
      <c r="G91" s="42"/>
      <c r="H91" s="42"/>
      <c r="I91" s="42"/>
      <c r="J91" s="43"/>
      <c r="K91" s="43"/>
      <c r="L91" s="43"/>
      <c r="M91" s="43"/>
      <c r="N91" s="43"/>
      <c r="O91" s="43"/>
      <c r="S91" s="423"/>
      <c r="Y91" s="40" t="s">
        <v>21</v>
      </c>
      <c r="Z91" s="41">
        <v>2E-3</v>
      </c>
      <c r="AA91" s="42"/>
      <c r="AB91" s="42"/>
      <c r="AC91" s="42"/>
      <c r="AD91" s="42"/>
      <c r="AE91" s="42"/>
      <c r="AF91" s="42"/>
      <c r="AG91" s="43"/>
      <c r="AH91" s="43"/>
      <c r="AI91" s="43"/>
      <c r="AJ91" s="43"/>
      <c r="AK91" s="43"/>
      <c r="AL91" s="43"/>
      <c r="AP91" s="423"/>
    </row>
    <row r="92" spans="1:43">
      <c r="D92" s="29">
        <f>D80*$C$80*$D$2</f>
        <v>2876106240.0000005</v>
      </c>
      <c r="E92" s="29">
        <f>E80*$C$80*$D$2</f>
        <v>4134402720.0000005</v>
      </c>
      <c r="F92" s="29">
        <f>F80*$C$80*$D$2</f>
        <v>3954646080</v>
      </c>
      <c r="G92" s="29">
        <f>G80*$C$80*$D$2</f>
        <v>3055862880</v>
      </c>
      <c r="H92" s="29">
        <f>H80*$C$80*$D$2</f>
        <v>2157079680</v>
      </c>
      <c r="I92" s="29">
        <f>I80*$C$80*$D$2</f>
        <v>2876106240.0000005</v>
      </c>
      <c r="J92" s="29">
        <f>J80*$C$80*$D$2</f>
        <v>3235619520.0000005</v>
      </c>
      <c r="K92" s="29">
        <f>K80*$C$80*$D$2</f>
        <v>4134402720.0000005</v>
      </c>
      <c r="L92" s="29">
        <f>L80*$C$80*$D$2</f>
        <v>3235619520.0000005</v>
      </c>
      <c r="M92" s="29">
        <f>M80*$C$80*$D$2</f>
        <v>2876106240.0000005</v>
      </c>
      <c r="N92" s="29">
        <f>N80*$C$80*$D$2</f>
        <v>3774889440.0000005</v>
      </c>
      <c r="O92" s="29">
        <f>O80*$C$80*$D$2</f>
        <v>4134402720.0000005</v>
      </c>
      <c r="P92" s="39">
        <f>SUM(D92:O92)</f>
        <v>40445244000</v>
      </c>
      <c r="Q92" s="84"/>
      <c r="R92" s="54" t="e">
        <f>P92/Q92</f>
        <v>#DIV/0!</v>
      </c>
      <c r="S92" s="424"/>
      <c r="AA92" s="29">
        <f>AA80*$Z$80*$D$2</f>
        <v>2987474549.4784656</v>
      </c>
      <c r="AB92" s="29">
        <f>AB80*$Z$80*$D$2</f>
        <v>4294494664.8752942</v>
      </c>
      <c r="AC92" s="29">
        <f>AC80*$Z$80*$D$2</f>
        <v>4107777505.5328898</v>
      </c>
      <c r="AD92" s="29">
        <f>AD80*$Z$80*$D$2</f>
        <v>3174191708.8208699</v>
      </c>
      <c r="AE92" s="29">
        <f>AE80*$Z$80*$D$2</f>
        <v>2240605912.1088495</v>
      </c>
      <c r="AF92" s="29">
        <f>AF80*$Z$80*$D$2</f>
        <v>2987474549.4784656</v>
      </c>
      <c r="AG92" s="29">
        <f>AG80*$Z$80*$D$2</f>
        <v>3360908868.1632738</v>
      </c>
      <c r="AH92" s="29">
        <f>AH80*$Z$80*$D$2</f>
        <v>4294494664.8752942</v>
      </c>
      <c r="AI92" s="29">
        <f>AI80*$Z$80*$D$2</f>
        <v>3360908868.1632738</v>
      </c>
      <c r="AJ92" s="29">
        <f>AJ80*$Z$80*$D$2</f>
        <v>2987474549.4784656</v>
      </c>
      <c r="AK92" s="29">
        <f>AK80*$Z$80*$D$2</f>
        <v>3921060346.1904864</v>
      </c>
      <c r="AL92" s="29">
        <f>AL80*$Z$80*$D$2</f>
        <v>4294494664.8752942</v>
      </c>
      <c r="AM92" s="39">
        <f>SUM(AA92:AL92)</f>
        <v>42011360852.040924</v>
      </c>
      <c r="AN92" s="84"/>
      <c r="AO92" s="54"/>
      <c r="AP92" s="424"/>
    </row>
    <row r="93" spans="1:43">
      <c r="D93" s="29">
        <f>D81*$C$81*$D$2</f>
        <v>172665281.25</v>
      </c>
      <c r="E93" s="29">
        <f>E81*$C$81*$D$2</f>
        <v>265328201.25000003</v>
      </c>
      <c r="F93" s="29">
        <f>F81*$C$81*$D$2</f>
        <v>237712466.25</v>
      </c>
      <c r="G93" s="29">
        <f>G81*$C$81*$D$2</f>
        <v>120948030</v>
      </c>
      <c r="H93" s="29">
        <f>H81*$C$81*$D$2</f>
        <v>129498960.9375</v>
      </c>
      <c r="I93" s="29">
        <f>I81*$C$81*$D$2</f>
        <v>184576140</v>
      </c>
      <c r="J93" s="29">
        <f>J81*$C$81*$D$2</f>
        <v>194492017.84090909</v>
      </c>
      <c r="K93" s="29">
        <f>K81*$C$81*$D$2</f>
        <v>163635570</v>
      </c>
      <c r="L93" s="29">
        <f>L81*$C$81*$D$2</f>
        <v>194248441.40625</v>
      </c>
      <c r="M93" s="29">
        <f>M81*$C$81*$D$2</f>
        <v>184576140</v>
      </c>
      <c r="N93" s="29">
        <f>N81*$C$81*$D$2</f>
        <v>226907354.14772731</v>
      </c>
      <c r="O93" s="29">
        <f>O81*$C$81*$D$2</f>
        <v>163635570</v>
      </c>
      <c r="P93" s="39">
        <f>SUM(D93:O93)</f>
        <v>2238224173.082386</v>
      </c>
      <c r="Q93" s="402"/>
      <c r="R93" s="54" t="e">
        <f>P93/Q93</f>
        <v>#DIV/0!</v>
      </c>
      <c r="S93" s="424"/>
      <c r="AA93" s="29">
        <f>AA81*$Z$81*$D$2</f>
        <v>188319117.81150004</v>
      </c>
      <c r="AB93" s="29">
        <f>AB81*$Z$81*$D$2</f>
        <v>289382950.84837967</v>
      </c>
      <c r="AC93" s="29">
        <f>AC81*$Z$81*$D$2</f>
        <v>259264184.80484763</v>
      </c>
      <c r="AD93" s="29">
        <f>AD81*$Z$81*$D$2</f>
        <v>131914048.86751623</v>
      </c>
      <c r="AE93" s="29">
        <f>AE81*$Z$81*$D$2</f>
        <v>141239338.35862502</v>
      </c>
      <c r="AF93" s="29">
        <f>AF81*$Z$81*$D$2</f>
        <v>201309999.7718249</v>
      </c>
      <c r="AG93" s="29">
        <f>AG81*$Z$81*$D$2</f>
        <v>212124610.02717131</v>
      </c>
      <c r="AH93" s="29">
        <f>AH81*$Z$81*$D$2</f>
        <v>178470966.87561685</v>
      </c>
      <c r="AI93" s="29">
        <f>AI81*$Z$81*$D$2</f>
        <v>211859007.53793755</v>
      </c>
      <c r="AJ93" s="29">
        <f>AJ81*$Z$81*$D$2</f>
        <v>201309999.7718249</v>
      </c>
      <c r="AK93" s="29">
        <f>AK81*$Z$81*$D$2</f>
        <v>247478943.46319139</v>
      </c>
      <c r="AL93" s="29">
        <f>AL81*$Z$81*$D$2</f>
        <v>178470966.87561685</v>
      </c>
      <c r="AM93" s="39">
        <f>SUM(AA93:AL93)</f>
        <v>2441144135.0140524</v>
      </c>
      <c r="AN93" s="402"/>
      <c r="AO93" s="54"/>
      <c r="AP93" s="424"/>
    </row>
    <row r="94" spans="1:43">
      <c r="A94" s="44"/>
      <c r="B94" s="44"/>
      <c r="C94" s="44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8">
        <f>P92+P93</f>
        <v>42683468173.082382</v>
      </c>
      <c r="Q94" s="44"/>
      <c r="R94" s="44"/>
      <c r="S94" s="424">
        <f>P94/$P$277</f>
        <v>0.19975196072991042</v>
      </c>
      <c r="T94" s="430">
        <f>$P$279*S94</f>
        <v>0</v>
      </c>
      <c r="Y94" s="44"/>
      <c r="Z94" s="44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8">
        <f>AM92+AM93</f>
        <v>44452504987.054977</v>
      </c>
      <c r="AN94" s="44"/>
      <c r="AO94" s="44"/>
      <c r="AP94" s="424">
        <f>AM94/$P$277</f>
        <v>0.20803077656468519</v>
      </c>
      <c r="AQ94" s="430">
        <f>$P$279*AP94</f>
        <v>0</v>
      </c>
    </row>
    <row r="95" spans="1:43">
      <c r="A95" s="44"/>
      <c r="B95" s="44"/>
      <c r="C95" s="44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8"/>
      <c r="Q95" s="44"/>
      <c r="R95" s="44"/>
      <c r="S95" s="423"/>
      <c r="Y95" s="44"/>
      <c r="Z95" s="44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8"/>
      <c r="AN95" s="44"/>
      <c r="AO95" s="44"/>
      <c r="AP95" s="423"/>
    </row>
    <row r="96" spans="1:43">
      <c r="B96" t="s">
        <v>57</v>
      </c>
      <c r="D96" s="436">
        <f>'[1]PANDU PELSUS'!C32</f>
        <v>0</v>
      </c>
      <c r="E96" s="436">
        <f>'[1]PANDU PELSUS'!D32</f>
        <v>0</v>
      </c>
      <c r="F96" s="436">
        <f>'[1]PANDU PELSUS'!E32</f>
        <v>0</v>
      </c>
      <c r="G96" s="436">
        <f>'[1]PANDU PELSUS'!F32</f>
        <v>1</v>
      </c>
      <c r="H96" s="436">
        <f>'[1]PANDU PELSUS'!G32</f>
        <v>0</v>
      </c>
      <c r="I96" s="436">
        <f>'[1]PANDU PELSUS'!H32</f>
        <v>0</v>
      </c>
      <c r="J96" s="98">
        <f>'[1]PANDU PELSUS'!I32</f>
        <v>0</v>
      </c>
      <c r="K96" s="98">
        <f>'[1]PANDU PELSUS'!J32</f>
        <v>1</v>
      </c>
      <c r="L96" s="98">
        <f>'[1]PANDU PELSUS'!K32</f>
        <v>0</v>
      </c>
      <c r="M96" s="98">
        <f>'[1]PANDU PELSUS'!L32</f>
        <v>0</v>
      </c>
      <c r="N96" s="98">
        <f>'[1]PANDU PELSUS'!M32</f>
        <v>0</v>
      </c>
      <c r="O96" s="98">
        <f>'[1]PANDU PELSUS'!N32</f>
        <v>1</v>
      </c>
      <c r="P96" s="39">
        <f>SUM(D96:O96)</f>
        <v>3</v>
      </c>
      <c r="Q96">
        <f>P97/P96</f>
        <v>34986</v>
      </c>
      <c r="S96" s="423"/>
      <c r="Y96" t="s">
        <v>57</v>
      </c>
      <c r="AA96" s="428">
        <f>'[1]PANDU PELSUS'!U32</f>
        <v>0</v>
      </c>
      <c r="AB96" s="428">
        <f>'[1]PANDU PELSUS'!V32</f>
        <v>0</v>
      </c>
      <c r="AC96" s="428">
        <f>'[1]PANDU PELSUS'!W32</f>
        <v>0</v>
      </c>
      <c r="AD96" s="428">
        <f>'[1]PANDU PELSUS'!X32</f>
        <v>1</v>
      </c>
      <c r="AE96" s="428">
        <f>'[1]PANDU PELSUS'!Y32</f>
        <v>0</v>
      </c>
      <c r="AF96" s="428">
        <f>'[1]PANDU PELSUS'!Z32</f>
        <v>0</v>
      </c>
      <c r="AG96" s="428">
        <f>'[1]PANDU PELSUS'!AA32</f>
        <v>0</v>
      </c>
      <c r="AH96" s="428">
        <f>'[1]PANDU PELSUS'!AB32</f>
        <v>1</v>
      </c>
      <c r="AI96" s="428">
        <f>'[1]PANDU PELSUS'!AC32</f>
        <v>0</v>
      </c>
      <c r="AJ96" s="428">
        <f>'[1]PANDU PELSUS'!AD32</f>
        <v>0</v>
      </c>
      <c r="AK96" s="428">
        <f>'[1]PANDU PELSUS'!AE32</f>
        <v>0</v>
      </c>
      <c r="AL96" s="428">
        <f>'[1]PANDU PELSUS'!AF32</f>
        <v>1</v>
      </c>
      <c r="AM96" s="39">
        <f>SUM(AA96:AL96)</f>
        <v>3</v>
      </c>
      <c r="AP96" s="423"/>
    </row>
    <row r="97" spans="1:42">
      <c r="D97" s="436">
        <f>'[1]PANDU PELSUS'!C33</f>
        <v>0</v>
      </c>
      <c r="E97" s="436">
        <f>'[1]PANDU PELSUS'!D33</f>
        <v>0</v>
      </c>
      <c r="F97" s="436">
        <f>'[1]PANDU PELSUS'!E33</f>
        <v>0</v>
      </c>
      <c r="G97" s="436">
        <f>'[1]PANDU PELSUS'!F33</f>
        <v>34986</v>
      </c>
      <c r="H97" s="436">
        <f>'[1]PANDU PELSUS'!G33</f>
        <v>0</v>
      </c>
      <c r="I97" s="436">
        <f>'[1]PANDU PELSUS'!H33</f>
        <v>0</v>
      </c>
      <c r="J97" s="98">
        <f>'[1]PANDU PELSUS'!I33</f>
        <v>0</v>
      </c>
      <c r="K97" s="98">
        <f>'[1]PANDU PELSUS'!J33</f>
        <v>34986</v>
      </c>
      <c r="L97" s="98">
        <f>'[1]PANDU PELSUS'!K33</f>
        <v>0</v>
      </c>
      <c r="M97" s="98">
        <f>'[1]PANDU PELSUS'!L33</f>
        <v>0</v>
      </c>
      <c r="N97" s="98">
        <f>'[1]PANDU PELSUS'!M33</f>
        <v>0</v>
      </c>
      <c r="O97" s="98">
        <f>'[1]PANDU PELSUS'!N33</f>
        <v>34986</v>
      </c>
      <c r="P97" s="39">
        <f>SUM(D97:O97)</f>
        <v>104958</v>
      </c>
      <c r="S97" s="423"/>
      <c r="AA97" s="428">
        <f>'[1]PANDU PELSUS'!U33</f>
        <v>0</v>
      </c>
      <c r="AB97" s="428">
        <f>'[1]PANDU PELSUS'!V33</f>
        <v>0</v>
      </c>
      <c r="AC97" s="428">
        <f>'[1]PANDU PELSUS'!W33</f>
        <v>0</v>
      </c>
      <c r="AD97" s="428">
        <f>'[1]PANDU PELSUS'!X33</f>
        <v>36736</v>
      </c>
      <c r="AE97" s="428">
        <f>'[1]PANDU PELSUS'!Y33</f>
        <v>0</v>
      </c>
      <c r="AF97" s="428">
        <f>'[1]PANDU PELSUS'!Z33</f>
        <v>0</v>
      </c>
      <c r="AG97" s="428">
        <f>'[1]PANDU PELSUS'!AA33</f>
        <v>0</v>
      </c>
      <c r="AH97" s="428">
        <f>'[1]PANDU PELSUS'!AB33</f>
        <v>36736</v>
      </c>
      <c r="AI97" s="428">
        <f>'[1]PANDU PELSUS'!AC33</f>
        <v>0</v>
      </c>
      <c r="AJ97" s="428">
        <f>'[1]PANDU PELSUS'!AD33</f>
        <v>0</v>
      </c>
      <c r="AK97" s="428">
        <f>'[1]PANDU PELSUS'!AE33</f>
        <v>0</v>
      </c>
      <c r="AL97" s="428">
        <f>'[1]PANDU PELSUS'!AF33</f>
        <v>36736</v>
      </c>
      <c r="AM97" s="39">
        <f>SUM(AA97:AL97)</f>
        <v>110208</v>
      </c>
      <c r="AP97" s="423"/>
    </row>
    <row r="98" spans="1:42">
      <c r="A98" s="427" t="s">
        <v>238</v>
      </c>
      <c r="B98" s="40" t="s">
        <v>20</v>
      </c>
      <c r="C98" s="41">
        <v>389</v>
      </c>
      <c r="D98" s="42"/>
      <c r="E98" s="42"/>
      <c r="F98" s="42"/>
      <c r="G98" s="42"/>
      <c r="H98" s="42"/>
      <c r="I98" s="42"/>
      <c r="J98" s="43"/>
      <c r="K98" s="43"/>
      <c r="L98" s="43"/>
      <c r="M98" s="43"/>
      <c r="N98" s="43"/>
      <c r="O98" s="43"/>
      <c r="S98" s="423"/>
      <c r="Y98" s="40" t="s">
        <v>20</v>
      </c>
      <c r="Z98" s="41">
        <v>389</v>
      </c>
      <c r="AA98" s="42"/>
      <c r="AB98" s="42"/>
      <c r="AC98" s="42"/>
      <c r="AD98" s="42"/>
      <c r="AE98" s="42"/>
      <c r="AF98" s="42"/>
      <c r="AG98" s="43"/>
      <c r="AH98" s="43"/>
      <c r="AI98" s="43"/>
      <c r="AJ98" s="43"/>
      <c r="AK98" s="43"/>
      <c r="AL98" s="43"/>
      <c r="AP98" s="423"/>
    </row>
    <row r="99" spans="1:42">
      <c r="A99" s="427"/>
      <c r="B99" s="40" t="s">
        <v>21</v>
      </c>
      <c r="C99" s="41">
        <v>0.01</v>
      </c>
      <c r="D99" s="42"/>
      <c r="E99" s="42"/>
      <c r="F99" s="42"/>
      <c r="G99" s="42"/>
      <c r="H99" s="42"/>
      <c r="I99" s="42"/>
      <c r="J99" s="43"/>
      <c r="K99" s="43"/>
      <c r="L99" s="43"/>
      <c r="M99" s="43"/>
      <c r="N99" s="43"/>
      <c r="O99" s="43"/>
      <c r="S99" s="423"/>
      <c r="Y99" s="40" t="s">
        <v>21</v>
      </c>
      <c r="Z99" s="41">
        <v>0.01</v>
      </c>
      <c r="AA99" s="42"/>
      <c r="AB99" s="42"/>
      <c r="AC99" s="42"/>
      <c r="AD99" s="42"/>
      <c r="AE99" s="42"/>
      <c r="AF99" s="42"/>
      <c r="AG99" s="43"/>
      <c r="AH99" s="43"/>
      <c r="AI99" s="43"/>
      <c r="AJ99" s="43"/>
      <c r="AK99" s="43"/>
      <c r="AL99" s="43"/>
      <c r="AP99" s="423"/>
    </row>
    <row r="100" spans="1:42">
      <c r="A100" s="427" t="s">
        <v>237</v>
      </c>
      <c r="B100" s="40" t="s">
        <v>20</v>
      </c>
      <c r="C100" s="41">
        <v>859</v>
      </c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S100" s="423"/>
      <c r="Y100" s="40" t="s">
        <v>20</v>
      </c>
      <c r="Z100" s="41">
        <v>859</v>
      </c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P100" s="423"/>
    </row>
    <row r="101" spans="1:42">
      <c r="A101" s="427"/>
      <c r="B101" s="40" t="s">
        <v>21</v>
      </c>
      <c r="C101" s="41">
        <v>0.01</v>
      </c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S101" s="423"/>
      <c r="Y101" s="40" t="s">
        <v>21</v>
      </c>
      <c r="Z101" s="41">
        <v>0.01</v>
      </c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P101" s="423"/>
    </row>
    <row r="102" spans="1:42">
      <c r="A102" s="427" t="s">
        <v>236</v>
      </c>
      <c r="B102" s="40" t="s">
        <v>20</v>
      </c>
      <c r="C102" s="41">
        <v>1342.72</v>
      </c>
      <c r="D102" s="42"/>
      <c r="E102" s="42"/>
      <c r="F102" s="42"/>
      <c r="G102" s="42"/>
      <c r="H102" s="42"/>
      <c r="I102" s="42"/>
      <c r="J102" s="43"/>
      <c r="K102" s="43"/>
      <c r="L102" s="43"/>
      <c r="M102" s="43"/>
      <c r="N102" s="43"/>
      <c r="O102" s="43"/>
      <c r="S102" s="423"/>
      <c r="Y102" s="40" t="s">
        <v>20</v>
      </c>
      <c r="Z102" s="41">
        <v>1342.72</v>
      </c>
      <c r="AA102" s="42"/>
      <c r="AB102" s="42"/>
      <c r="AC102" s="42"/>
      <c r="AD102" s="42"/>
      <c r="AE102" s="42"/>
      <c r="AF102" s="42"/>
      <c r="AG102" s="43"/>
      <c r="AH102" s="43"/>
      <c r="AI102" s="43"/>
      <c r="AJ102" s="43"/>
      <c r="AK102" s="43"/>
      <c r="AL102" s="43"/>
      <c r="AP102" s="423"/>
    </row>
    <row r="103" spans="1:42">
      <c r="A103" s="427"/>
      <c r="B103" s="40" t="s">
        <v>21</v>
      </c>
      <c r="C103" s="41">
        <v>0.01</v>
      </c>
      <c r="D103" s="42"/>
      <c r="E103" s="42"/>
      <c r="F103" s="42"/>
      <c r="G103" s="42"/>
      <c r="H103" s="42"/>
      <c r="I103" s="42"/>
      <c r="J103" s="43"/>
      <c r="K103" s="43"/>
      <c r="L103" s="43"/>
      <c r="M103" s="43"/>
      <c r="N103" s="43"/>
      <c r="O103" s="43"/>
      <c r="S103" s="423"/>
      <c r="Y103" s="40" t="s">
        <v>21</v>
      </c>
      <c r="Z103" s="41">
        <v>0.01</v>
      </c>
      <c r="AA103" s="42"/>
      <c r="AB103" s="42"/>
      <c r="AC103" s="42"/>
      <c r="AD103" s="42"/>
      <c r="AE103" s="42"/>
      <c r="AF103" s="42"/>
      <c r="AG103" s="43"/>
      <c r="AH103" s="43"/>
      <c r="AI103" s="43"/>
      <c r="AJ103" s="43"/>
      <c r="AK103" s="43"/>
      <c r="AL103" s="43"/>
      <c r="AP103" s="423"/>
    </row>
    <row r="104" spans="1:42">
      <c r="A104" s="427" t="s">
        <v>235</v>
      </c>
      <c r="B104" s="40" t="s">
        <v>20</v>
      </c>
      <c r="C104" s="41">
        <v>1700.12</v>
      </c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S104" s="423"/>
      <c r="Y104" s="40" t="s">
        <v>20</v>
      </c>
      <c r="Z104" s="41">
        <v>1700.12</v>
      </c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P104" s="423"/>
    </row>
    <row r="105" spans="1:42">
      <c r="A105" s="427"/>
      <c r="B105" s="40" t="s">
        <v>21</v>
      </c>
      <c r="C105" s="41">
        <v>7.0000000000000001E-3</v>
      </c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S105" s="423"/>
      <c r="Y105" s="40" t="s">
        <v>21</v>
      </c>
      <c r="Z105" s="41">
        <v>7.0000000000000001E-3</v>
      </c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P105" s="423"/>
    </row>
    <row r="106" spans="1:42">
      <c r="A106" s="427" t="s">
        <v>234</v>
      </c>
      <c r="B106" s="40" t="s">
        <v>20</v>
      </c>
      <c r="C106" s="41">
        <v>1921.86</v>
      </c>
      <c r="D106" s="42"/>
      <c r="E106" s="42"/>
      <c r="F106" s="42"/>
      <c r="G106" s="42"/>
      <c r="H106" s="42"/>
      <c r="I106" s="42"/>
      <c r="J106" s="43"/>
      <c r="K106" s="43"/>
      <c r="L106" s="43"/>
      <c r="M106" s="43"/>
      <c r="N106" s="43"/>
      <c r="O106" s="43"/>
      <c r="S106" s="423"/>
      <c r="Y106" s="40" t="s">
        <v>20</v>
      </c>
      <c r="Z106" s="41">
        <v>1921.86</v>
      </c>
      <c r="AA106" s="42"/>
      <c r="AB106" s="42"/>
      <c r="AC106" s="42"/>
      <c r="AD106" s="42"/>
      <c r="AE106" s="42"/>
      <c r="AF106" s="42"/>
      <c r="AG106" s="43"/>
      <c r="AH106" s="43"/>
      <c r="AI106" s="43"/>
      <c r="AJ106" s="43"/>
      <c r="AK106" s="43"/>
      <c r="AL106" s="43"/>
      <c r="AP106" s="423"/>
    </row>
    <row r="107" spans="1:42">
      <c r="A107" s="427"/>
      <c r="B107" s="40" t="s">
        <v>21</v>
      </c>
      <c r="C107" s="41">
        <v>5.0000000000000001E-3</v>
      </c>
      <c r="D107" s="42"/>
      <c r="E107" s="42"/>
      <c r="F107" s="42"/>
      <c r="G107" s="42"/>
      <c r="H107" s="42"/>
      <c r="I107" s="42"/>
      <c r="J107" s="43"/>
      <c r="K107" s="43"/>
      <c r="L107" s="43"/>
      <c r="M107" s="43"/>
      <c r="N107" s="43"/>
      <c r="O107" s="43"/>
      <c r="S107" s="423"/>
      <c r="Y107" s="40" t="s">
        <v>21</v>
      </c>
      <c r="Z107" s="41">
        <v>5.0000000000000001E-3</v>
      </c>
      <c r="AA107" s="42"/>
      <c r="AB107" s="42"/>
      <c r="AC107" s="42"/>
      <c r="AD107" s="42"/>
      <c r="AE107" s="42"/>
      <c r="AF107" s="42"/>
      <c r="AG107" s="43"/>
      <c r="AH107" s="43"/>
      <c r="AI107" s="43"/>
      <c r="AJ107" s="43"/>
      <c r="AK107" s="43"/>
      <c r="AL107" s="43"/>
      <c r="AP107" s="423"/>
    </row>
    <row r="108" spans="1:42">
      <c r="A108" s="427" t="s">
        <v>233</v>
      </c>
      <c r="B108" s="40" t="s">
        <v>20</v>
      </c>
      <c r="C108" s="41">
        <v>2000.72</v>
      </c>
      <c r="D108" s="42">
        <f>D96*$F$3</f>
        <v>0</v>
      </c>
      <c r="E108" s="42">
        <f>E96*$F$3</f>
        <v>0</v>
      </c>
      <c r="F108" s="42">
        <f>F96*$F$3</f>
        <v>0</v>
      </c>
      <c r="G108" s="42">
        <f>G96*$F$3</f>
        <v>7.65</v>
      </c>
      <c r="H108" s="42">
        <f>H96*$F$3</f>
        <v>0</v>
      </c>
      <c r="I108" s="42">
        <f>I96*$F$3</f>
        <v>0</v>
      </c>
      <c r="J108" s="42">
        <f>J96*$F$3</f>
        <v>0</v>
      </c>
      <c r="K108" s="42">
        <f>K96*$F$3</f>
        <v>7.65</v>
      </c>
      <c r="L108" s="42">
        <f>L96*$F$3</f>
        <v>0</v>
      </c>
      <c r="M108" s="42">
        <f>M96*$F$3</f>
        <v>0</v>
      </c>
      <c r="N108" s="42">
        <f>N96*$F$3</f>
        <v>0</v>
      </c>
      <c r="O108" s="42">
        <f>O96*$F$3</f>
        <v>7.65</v>
      </c>
      <c r="P108" s="39">
        <f>SUM(D108:O108)</f>
        <v>22.950000000000003</v>
      </c>
      <c r="S108" s="423"/>
      <c r="Y108" s="40" t="s">
        <v>20</v>
      </c>
      <c r="Z108" s="41">
        <v>2000.72</v>
      </c>
      <c r="AA108" s="42">
        <f>AA96*$AC$3</f>
        <v>0</v>
      </c>
      <c r="AB108" s="42">
        <f>AB96*$AC$3</f>
        <v>0</v>
      </c>
      <c r="AC108" s="42">
        <f>AC96*$AC$3</f>
        <v>0</v>
      </c>
      <c r="AD108" s="42">
        <f>AD96*$AC$3</f>
        <v>7.9462225649600002</v>
      </c>
      <c r="AE108" s="42">
        <f>AE96*$AC$3</f>
        <v>0</v>
      </c>
      <c r="AF108" s="42">
        <f>AF96*$AC$3</f>
        <v>0</v>
      </c>
      <c r="AG108" s="42">
        <f>AG96*$AC$3</f>
        <v>0</v>
      </c>
      <c r="AH108" s="42">
        <f>AH96*$AC$3</f>
        <v>7.9462225649600002</v>
      </c>
      <c r="AI108" s="42">
        <f>AI96*$AC$3</f>
        <v>0</v>
      </c>
      <c r="AJ108" s="42">
        <f>AJ96*$AC$3</f>
        <v>0</v>
      </c>
      <c r="AK108" s="42">
        <f>AK96*$AC$3</f>
        <v>0</v>
      </c>
      <c r="AL108" s="42">
        <f>AL96*$AC$3</f>
        <v>7.9462225649600002</v>
      </c>
      <c r="AM108" s="39">
        <f>SUM(AA108:AL108)</f>
        <v>23.838667694880002</v>
      </c>
      <c r="AP108" s="423"/>
    </row>
    <row r="109" spans="1:42">
      <c r="A109" s="427"/>
      <c r="B109" s="40" t="s">
        <v>21</v>
      </c>
      <c r="C109" s="41">
        <v>5.0000000000000001E-3</v>
      </c>
      <c r="D109" s="42">
        <f>D97*$F$3</f>
        <v>0</v>
      </c>
      <c r="E109" s="42">
        <f>E97*$F$3</f>
        <v>0</v>
      </c>
      <c r="F109" s="42">
        <f>F97*$F$3</f>
        <v>0</v>
      </c>
      <c r="G109" s="42">
        <f>G97*$F$3</f>
        <v>267642.90000000002</v>
      </c>
      <c r="H109" s="42">
        <f>H97*$F$3</f>
        <v>0</v>
      </c>
      <c r="I109" s="42">
        <f>I97*$F$3</f>
        <v>0</v>
      </c>
      <c r="J109" s="42">
        <f>J97*$F$3</f>
        <v>0</v>
      </c>
      <c r="K109" s="42">
        <f>K97*$F$3</f>
        <v>267642.90000000002</v>
      </c>
      <c r="L109" s="42">
        <f>L97*$F$3</f>
        <v>0</v>
      </c>
      <c r="M109" s="42">
        <f>M97*$F$3</f>
        <v>0</v>
      </c>
      <c r="N109" s="42">
        <f>N97*$F$3</f>
        <v>0</v>
      </c>
      <c r="O109" s="42">
        <f>O97*$F$3</f>
        <v>267642.90000000002</v>
      </c>
      <c r="P109" s="39">
        <f>SUM(D109:O109)</f>
        <v>802928.70000000007</v>
      </c>
      <c r="S109" s="423"/>
      <c r="Y109" s="40" t="s">
        <v>21</v>
      </c>
      <c r="Z109" s="41">
        <v>5.0000000000000001E-3</v>
      </c>
      <c r="AA109" s="42">
        <f>AA97*$AC$3</f>
        <v>0</v>
      </c>
      <c r="AB109" s="42">
        <f>AB97*$AC$3</f>
        <v>0</v>
      </c>
      <c r="AC109" s="42">
        <f>AC97*$AC$3</f>
        <v>0</v>
      </c>
      <c r="AD109" s="42">
        <f>AD97*$AC$3</f>
        <v>291912.43214637059</v>
      </c>
      <c r="AE109" s="42">
        <f>AE97*$AC$3</f>
        <v>0</v>
      </c>
      <c r="AF109" s="42">
        <f>AF97*$AC$3</f>
        <v>0</v>
      </c>
      <c r="AG109" s="42">
        <f>AG97*$AC$3</f>
        <v>0</v>
      </c>
      <c r="AH109" s="42">
        <f>AH97*$AC$3</f>
        <v>291912.43214637059</v>
      </c>
      <c r="AI109" s="42">
        <f>AI97*$AC$3</f>
        <v>0</v>
      </c>
      <c r="AJ109" s="42">
        <f>AJ97*$AC$3</f>
        <v>0</v>
      </c>
      <c r="AK109" s="42">
        <f>AK97*$AC$3</f>
        <v>0</v>
      </c>
      <c r="AL109" s="42">
        <f>AL97*$AC$3</f>
        <v>291912.43214637059</v>
      </c>
      <c r="AM109" s="39">
        <f>SUM(AA109:AL109)</f>
        <v>875737.2964391117</v>
      </c>
      <c r="AP109" s="423"/>
    </row>
    <row r="110" spans="1:42">
      <c r="A110" s="427" t="s">
        <v>232</v>
      </c>
      <c r="B110" s="40" t="s">
        <v>20</v>
      </c>
      <c r="C110" s="41">
        <v>2129.14</v>
      </c>
      <c r="D110" s="42"/>
      <c r="E110" s="42"/>
      <c r="F110" s="42"/>
      <c r="G110" s="42"/>
      <c r="H110" s="42"/>
      <c r="I110" s="42"/>
      <c r="J110" s="43"/>
      <c r="K110" s="43"/>
      <c r="L110" s="43"/>
      <c r="M110" s="43"/>
      <c r="N110" s="43"/>
      <c r="O110" s="43"/>
      <c r="S110" s="423"/>
      <c r="Y110" s="40" t="s">
        <v>20</v>
      </c>
      <c r="Z110" s="41">
        <v>2129.14</v>
      </c>
      <c r="AA110" s="42"/>
      <c r="AB110" s="42"/>
      <c r="AC110" s="42"/>
      <c r="AD110" s="42"/>
      <c r="AE110" s="42"/>
      <c r="AF110" s="42"/>
      <c r="AG110" s="43"/>
      <c r="AH110" s="43"/>
      <c r="AI110" s="43"/>
      <c r="AJ110" s="43"/>
      <c r="AK110" s="43"/>
      <c r="AL110" s="43"/>
      <c r="AP110" s="423"/>
    </row>
    <row r="111" spans="1:42">
      <c r="A111" s="427"/>
      <c r="B111" s="40" t="s">
        <v>21</v>
      </c>
      <c r="C111" s="41">
        <v>2E-3</v>
      </c>
      <c r="D111" s="42"/>
      <c r="E111" s="42"/>
      <c r="F111" s="42"/>
      <c r="G111" s="42"/>
      <c r="H111" s="42"/>
      <c r="I111" s="42"/>
      <c r="J111" s="43"/>
      <c r="K111" s="43"/>
      <c r="L111" s="43"/>
      <c r="M111" s="43"/>
      <c r="N111" s="43"/>
      <c r="O111" s="43"/>
      <c r="S111" s="423"/>
      <c r="Y111" s="40" t="s">
        <v>21</v>
      </c>
      <c r="Z111" s="41">
        <v>2E-3</v>
      </c>
      <c r="AA111" s="42"/>
      <c r="AB111" s="42"/>
      <c r="AC111" s="42"/>
      <c r="AD111" s="42"/>
      <c r="AE111" s="42"/>
      <c r="AF111" s="42"/>
      <c r="AG111" s="43"/>
      <c r="AH111" s="43"/>
      <c r="AI111" s="43"/>
      <c r="AJ111" s="43"/>
      <c r="AK111" s="43"/>
      <c r="AL111" s="43"/>
      <c r="AP111" s="423"/>
    </row>
    <row r="112" spans="1:42">
      <c r="A112" s="427" t="s">
        <v>231</v>
      </c>
      <c r="B112" s="40" t="s">
        <v>20</v>
      </c>
      <c r="C112" s="41">
        <v>2751.2</v>
      </c>
      <c r="D112" s="42"/>
      <c r="E112" s="42"/>
      <c r="F112" s="42"/>
      <c r="G112" s="42"/>
      <c r="H112" s="42"/>
      <c r="I112" s="42"/>
      <c r="J112" s="43"/>
      <c r="K112" s="43"/>
      <c r="L112" s="43"/>
      <c r="M112" s="43"/>
      <c r="N112" s="43"/>
      <c r="O112" s="43"/>
      <c r="S112" s="423"/>
      <c r="Y112" s="40" t="s">
        <v>20</v>
      </c>
      <c r="Z112" s="41">
        <v>2751.2</v>
      </c>
      <c r="AA112" s="42"/>
      <c r="AB112" s="42"/>
      <c r="AC112" s="42"/>
      <c r="AD112" s="42"/>
      <c r="AE112" s="42"/>
      <c r="AF112" s="42"/>
      <c r="AG112" s="43"/>
      <c r="AH112" s="43"/>
      <c r="AI112" s="43"/>
      <c r="AJ112" s="43"/>
      <c r="AK112" s="43"/>
      <c r="AL112" s="43"/>
      <c r="AP112" s="423"/>
    </row>
    <row r="113" spans="1:43">
      <c r="A113" s="427"/>
      <c r="B113" s="40" t="s">
        <v>21</v>
      </c>
      <c r="C113" s="41">
        <v>2E-3</v>
      </c>
      <c r="D113" s="42"/>
      <c r="E113" s="42"/>
      <c r="F113" s="42"/>
      <c r="G113" s="42"/>
      <c r="H113" s="42"/>
      <c r="I113" s="42"/>
      <c r="J113" s="43"/>
      <c r="K113" s="43"/>
      <c r="L113" s="43"/>
      <c r="M113" s="43"/>
      <c r="N113" s="43"/>
      <c r="O113" s="43"/>
      <c r="S113" s="423"/>
      <c r="Y113" s="40" t="s">
        <v>21</v>
      </c>
      <c r="Z113" s="41">
        <v>2E-3</v>
      </c>
      <c r="AA113" s="42"/>
      <c r="AB113" s="42"/>
      <c r="AC113" s="42"/>
      <c r="AD113" s="42"/>
      <c r="AE113" s="42"/>
      <c r="AF113" s="42"/>
      <c r="AG113" s="43"/>
      <c r="AH113" s="43"/>
      <c r="AI113" s="43"/>
      <c r="AJ113" s="43"/>
      <c r="AK113" s="43"/>
      <c r="AL113" s="43"/>
      <c r="AP113" s="423"/>
    </row>
    <row r="114" spans="1:43">
      <c r="C114" t="s">
        <v>67</v>
      </c>
      <c r="D114" s="29">
        <f>D108*$C$108*$D$2</f>
        <v>0</v>
      </c>
      <c r="E114" s="29">
        <f>E108*$C$108*$D$2</f>
        <v>0</v>
      </c>
      <c r="F114" s="29">
        <f>F108*$C$108*$D$2</f>
        <v>0</v>
      </c>
      <c r="G114" s="29">
        <f>G108*$C$108*$D$2</f>
        <v>267846390.00000003</v>
      </c>
      <c r="H114" s="29">
        <f>H108*$C$108*$D$2</f>
        <v>0</v>
      </c>
      <c r="I114" s="29">
        <f>I108*$C$108*$D$2</f>
        <v>0</v>
      </c>
      <c r="J114" s="29">
        <f>J108*$C$108*$D$2</f>
        <v>0</v>
      </c>
      <c r="K114" s="29">
        <f>K108*$C$108*$D$2</f>
        <v>267846390.00000003</v>
      </c>
      <c r="L114" s="29">
        <f>L108*$C$108*$D$2</f>
        <v>0</v>
      </c>
      <c r="M114" s="29">
        <f>M108*$C$108*$D$2</f>
        <v>0</v>
      </c>
      <c r="N114" s="29">
        <f>N108*$C$108*$D$2</f>
        <v>0</v>
      </c>
      <c r="O114" s="29">
        <f>O108*$C$108*$D$2</f>
        <v>267846390.00000003</v>
      </c>
      <c r="P114" s="39">
        <f>SUM(D114:O114)</f>
        <v>803539170.00000012</v>
      </c>
      <c r="Q114" s="84"/>
      <c r="R114" s="54" t="e">
        <f>P114/Q114</f>
        <v>#DIV/0!</v>
      </c>
      <c r="S114" s="424"/>
      <c r="Z114" t="s">
        <v>67</v>
      </c>
      <c r="AA114" s="29">
        <f>AA108*$C$108*$D$2</f>
        <v>0</v>
      </c>
      <c r="AB114" s="29">
        <f>AB108*$C$108*$D$2</f>
        <v>0</v>
      </c>
      <c r="AC114" s="29">
        <f>AC108*$C$108*$D$2</f>
        <v>0</v>
      </c>
      <c r="AD114" s="29">
        <f>AD108*$C$108*$D$2</f>
        <v>278217912.17791849</v>
      </c>
      <c r="AE114" s="29">
        <f>AE108*$C$108*$D$2</f>
        <v>0</v>
      </c>
      <c r="AF114" s="29">
        <f>AF108*$C$108*$D$2</f>
        <v>0</v>
      </c>
      <c r="AG114" s="29">
        <f>AG108*$C$108*$D$2</f>
        <v>0</v>
      </c>
      <c r="AH114" s="29">
        <f>AH108*$C$108*$D$2</f>
        <v>278217912.17791849</v>
      </c>
      <c r="AI114" s="29">
        <f>AI108*$C$108*$D$2</f>
        <v>0</v>
      </c>
      <c r="AJ114" s="29">
        <f>AJ108*$C$108*$D$2</f>
        <v>0</v>
      </c>
      <c r="AK114" s="29">
        <f>AK108*$C$108*$D$2</f>
        <v>0</v>
      </c>
      <c r="AL114" s="29">
        <f>AL108*$C$108*$D$2</f>
        <v>278217912.17791849</v>
      </c>
      <c r="AM114" s="39">
        <f>SUM(AA114:AL114)</f>
        <v>834653736.53375554</v>
      </c>
      <c r="AN114" s="84"/>
      <c r="AO114" s="54"/>
      <c r="AP114" s="424"/>
    </row>
    <row r="115" spans="1:43">
      <c r="D115" s="29">
        <f>D109*$C$109*$D$2</f>
        <v>0</v>
      </c>
      <c r="E115" s="29">
        <f>E109*$C$109*$D$2</f>
        <v>0</v>
      </c>
      <c r="F115" s="29">
        <f>F109*$C$109*$D$2</f>
        <v>0</v>
      </c>
      <c r="G115" s="29">
        <f>G109*$C$109*$D$2</f>
        <v>23418753.75</v>
      </c>
      <c r="H115" s="29">
        <f>H109*$C$109*$D$2</f>
        <v>0</v>
      </c>
      <c r="I115" s="29">
        <f>I109*$C$109*$D$2</f>
        <v>0</v>
      </c>
      <c r="J115" s="29">
        <f>J109*$C$109*$D$2</f>
        <v>0</v>
      </c>
      <c r="K115" s="29">
        <f>K109*$C$109*$D$2</f>
        <v>23418753.75</v>
      </c>
      <c r="L115" s="29">
        <f>L109*$C$109*$D$2</f>
        <v>0</v>
      </c>
      <c r="M115" s="29">
        <f>M109*$C$109*$D$2</f>
        <v>0</v>
      </c>
      <c r="N115" s="29">
        <f>N109*$C$109*$D$2</f>
        <v>0</v>
      </c>
      <c r="O115" s="29">
        <f>O109*$C$109*$D$2</f>
        <v>23418753.75</v>
      </c>
      <c r="P115" s="39">
        <f>SUM(D115:O115)</f>
        <v>70256261.25</v>
      </c>
      <c r="Q115" s="84"/>
      <c r="R115" s="54" t="e">
        <f>P115/Q115</f>
        <v>#DIV/0!</v>
      </c>
      <c r="S115" s="424"/>
      <c r="AA115" s="29">
        <f>AA109*$C$109*$D$2</f>
        <v>0</v>
      </c>
      <c r="AB115" s="29">
        <f>AB109*$C$109*$D$2</f>
        <v>0</v>
      </c>
      <c r="AC115" s="29">
        <f>AC109*$C$109*$D$2</f>
        <v>0</v>
      </c>
      <c r="AD115" s="29">
        <f>AD109*$C$109*$D$2</f>
        <v>25542337.81280743</v>
      </c>
      <c r="AE115" s="29">
        <f>AE109*$C$109*$D$2</f>
        <v>0</v>
      </c>
      <c r="AF115" s="29">
        <f>AF109*$C$109*$D$2</f>
        <v>0</v>
      </c>
      <c r="AG115" s="29">
        <f>AG109*$C$109*$D$2</f>
        <v>0</v>
      </c>
      <c r="AH115" s="29">
        <f>AH109*$C$109*$D$2</f>
        <v>25542337.81280743</v>
      </c>
      <c r="AI115" s="29">
        <f>AI109*$C$109*$D$2</f>
        <v>0</v>
      </c>
      <c r="AJ115" s="29">
        <f>AJ109*$C$109*$D$2</f>
        <v>0</v>
      </c>
      <c r="AK115" s="29">
        <f>AK109*$C$109*$D$2</f>
        <v>0</v>
      </c>
      <c r="AL115" s="29">
        <f>AL109*$C$109*$D$2</f>
        <v>25542337.81280743</v>
      </c>
      <c r="AM115" s="39">
        <f>SUM(AA115:AL115)</f>
        <v>76627013.438422292</v>
      </c>
      <c r="AN115" s="84"/>
      <c r="AO115" s="54"/>
      <c r="AP115" s="424"/>
    </row>
    <row r="116" spans="1:43">
      <c r="A116" s="435"/>
      <c r="B116" s="47"/>
      <c r="C116" s="47"/>
      <c r="D116" s="45"/>
      <c r="E116" s="45"/>
      <c r="F116" s="45"/>
      <c r="G116" s="45"/>
      <c r="H116" s="45"/>
      <c r="I116" s="45"/>
      <c r="J116" s="46"/>
      <c r="K116" s="46"/>
      <c r="L116" s="46"/>
      <c r="M116" s="46"/>
      <c r="N116" s="46"/>
      <c r="O116" s="46"/>
      <c r="P116" s="48">
        <f>P26+P48+P92+P114</f>
        <v>88925440590</v>
      </c>
      <c r="Q116" s="402"/>
      <c r="R116" s="44"/>
      <c r="S116" s="424">
        <f>P116/$P$277</f>
        <v>0.4161571652189599</v>
      </c>
      <c r="T116" s="430">
        <f>$P$279*S116</f>
        <v>0</v>
      </c>
      <c r="Y116" s="47"/>
      <c r="Z116" s="47"/>
      <c r="AA116" s="45"/>
      <c r="AB116" s="45"/>
      <c r="AC116" s="45"/>
      <c r="AD116" s="45"/>
      <c r="AE116" s="45"/>
      <c r="AF116" s="45"/>
      <c r="AG116" s="46"/>
      <c r="AH116" s="46"/>
      <c r="AI116" s="46"/>
      <c r="AJ116" s="46"/>
      <c r="AK116" s="46"/>
      <c r="AL116" s="46"/>
      <c r="AM116" s="48">
        <f>AM26+AM48+AM92+AM114</f>
        <v>92368802956.244171</v>
      </c>
      <c r="AN116" s="395">
        <f>AM114+AM115</f>
        <v>911280749.97217786</v>
      </c>
      <c r="AO116" s="44"/>
      <c r="AP116" s="424">
        <f>AM116/$P$277</f>
        <v>0.43227156298466485</v>
      </c>
      <c r="AQ116" s="430">
        <f>$P$279*AP116</f>
        <v>0</v>
      </c>
    </row>
    <row r="117" spans="1:43">
      <c r="A117" s="44"/>
      <c r="B117" s="44"/>
      <c r="C117" s="44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8">
        <f>P27+P49+P93+P115</f>
        <v>4961386643.8907223</v>
      </c>
      <c r="Q117" s="402"/>
      <c r="R117" s="44"/>
      <c r="S117" s="423"/>
      <c r="Y117" s="44"/>
      <c r="Z117" s="44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8">
        <f>AM27+AM49+AM93+AM115</f>
        <v>5411187652.0184584</v>
      </c>
      <c r="AN117" s="402"/>
      <c r="AO117" s="44"/>
      <c r="AP117" s="423"/>
    </row>
    <row r="118" spans="1:43">
      <c r="B118" s="28" t="s">
        <v>58</v>
      </c>
      <c r="C118" s="28"/>
      <c r="D118" t="s">
        <v>38</v>
      </c>
      <c r="E118" t="s">
        <v>39</v>
      </c>
      <c r="F118" t="s">
        <v>40</v>
      </c>
      <c r="G118" t="s">
        <v>41</v>
      </c>
      <c r="H118" t="s">
        <v>42</v>
      </c>
      <c r="I118" t="s">
        <v>43</v>
      </c>
      <c r="J118" t="s">
        <v>44</v>
      </c>
      <c r="K118" t="s">
        <v>45</v>
      </c>
      <c r="L118" t="s">
        <v>46</v>
      </c>
      <c r="M118" t="s">
        <v>47</v>
      </c>
      <c r="N118" t="s">
        <v>48</v>
      </c>
      <c r="O118" t="s">
        <v>49</v>
      </c>
      <c r="S118" s="423"/>
      <c r="Y118" s="28" t="s">
        <v>58</v>
      </c>
      <c r="Z118" s="28"/>
      <c r="AA118" t="s">
        <v>38</v>
      </c>
      <c r="AB118" t="s">
        <v>39</v>
      </c>
      <c r="AC118" t="s">
        <v>40</v>
      </c>
      <c r="AD118" t="s">
        <v>41</v>
      </c>
      <c r="AE118" t="s">
        <v>42</v>
      </c>
      <c r="AF118" t="s">
        <v>43</v>
      </c>
      <c r="AG118" t="s">
        <v>44</v>
      </c>
      <c r="AH118" t="s">
        <v>45</v>
      </c>
      <c r="AI118" t="s">
        <v>46</v>
      </c>
      <c r="AJ118" t="s">
        <v>47</v>
      </c>
      <c r="AK118" t="s">
        <v>48</v>
      </c>
      <c r="AL118" t="s">
        <v>49</v>
      </c>
      <c r="AP118" s="423"/>
    </row>
    <row r="119" spans="1:43">
      <c r="B119" t="s">
        <v>51</v>
      </c>
      <c r="D119" s="429">
        <f>'[1]PANDU PELSUS'!C41</f>
        <v>0</v>
      </c>
      <c r="E119" s="429">
        <f>'[1]PANDU PELSUS'!D41</f>
        <v>0</v>
      </c>
      <c r="F119" s="429">
        <f>'[1]PANDU PELSUS'!E41</f>
        <v>0</v>
      </c>
      <c r="G119" s="429">
        <f>'[1]PANDU PELSUS'!F41</f>
        <v>1</v>
      </c>
      <c r="H119" s="429">
        <f>'[1]PANDU PELSUS'!G41</f>
        <v>0</v>
      </c>
      <c r="I119" s="429">
        <f>'[1]PANDU PELSUS'!H41</f>
        <v>0</v>
      </c>
      <c r="J119" s="103">
        <f>'[1]PANDU PELSUS'!I41</f>
        <v>0</v>
      </c>
      <c r="K119" s="103">
        <f>'[1]PANDU PELSUS'!J41</f>
        <v>1</v>
      </c>
      <c r="L119" s="103">
        <f>'[1]PANDU PELSUS'!K41</f>
        <v>0</v>
      </c>
      <c r="M119" s="103">
        <f>'[1]PANDU PELSUS'!L41</f>
        <v>0</v>
      </c>
      <c r="N119" s="103">
        <f>'[1]PANDU PELSUS'!M41</f>
        <v>0</v>
      </c>
      <c r="O119" s="103">
        <f>'[1]PANDU PELSUS'!N41</f>
        <v>1</v>
      </c>
      <c r="P119" s="39">
        <f>SUM(D119:O119)</f>
        <v>3</v>
      </c>
      <c r="Q119">
        <f>P120/P119</f>
        <v>39737</v>
      </c>
      <c r="S119" s="423"/>
      <c r="Y119" t="s">
        <v>51</v>
      </c>
      <c r="AA119" s="428">
        <f>'[1]PANDU PELSUS'!U41</f>
        <v>0</v>
      </c>
      <c r="AB119" s="428">
        <f>'[1]PANDU PELSUS'!V41</f>
        <v>0</v>
      </c>
      <c r="AC119" s="428">
        <f>'[1]PANDU PELSUS'!W41</f>
        <v>0</v>
      </c>
      <c r="AD119" s="428">
        <f>'[1]PANDU PELSUS'!X41</f>
        <v>1</v>
      </c>
      <c r="AE119" s="428">
        <f>'[1]PANDU PELSUS'!Y41</f>
        <v>0</v>
      </c>
      <c r="AF119" s="428">
        <f>'[1]PANDU PELSUS'!Z41</f>
        <v>0</v>
      </c>
      <c r="AG119" s="428">
        <f>'[1]PANDU PELSUS'!AA41</f>
        <v>0</v>
      </c>
      <c r="AH119" s="428">
        <f>'[1]PANDU PELSUS'!AB41</f>
        <v>1</v>
      </c>
      <c r="AI119" s="428">
        <f>'[1]PANDU PELSUS'!AC41</f>
        <v>0</v>
      </c>
      <c r="AJ119" s="428">
        <f>'[1]PANDU PELSUS'!AD41</f>
        <v>0</v>
      </c>
      <c r="AK119" s="428">
        <f>'[1]PANDU PELSUS'!AE41</f>
        <v>0</v>
      </c>
      <c r="AL119" s="428">
        <f>'[1]PANDU PELSUS'!AF41</f>
        <v>1</v>
      </c>
      <c r="AM119" s="39">
        <f>SUM(AA119:AL119)</f>
        <v>3</v>
      </c>
      <c r="AP119" s="423"/>
    </row>
    <row r="120" spans="1:43">
      <c r="D120" s="429">
        <f>'[1]PANDU PELSUS'!C42</f>
        <v>0</v>
      </c>
      <c r="E120" s="429">
        <f>'[1]PANDU PELSUS'!D42</f>
        <v>0</v>
      </c>
      <c r="F120" s="429">
        <f>'[1]PANDU PELSUS'!E42</f>
        <v>0</v>
      </c>
      <c r="G120" s="429">
        <f>'[1]PANDU PELSUS'!F42</f>
        <v>39737</v>
      </c>
      <c r="H120" s="429">
        <f>'[1]PANDU PELSUS'!G42</f>
        <v>0</v>
      </c>
      <c r="I120" s="429">
        <f>'[1]PANDU PELSUS'!H42</f>
        <v>0</v>
      </c>
      <c r="J120" s="103">
        <f>'[1]PANDU PELSUS'!I42</f>
        <v>0</v>
      </c>
      <c r="K120" s="103">
        <f>'[1]PANDU PELSUS'!J42</f>
        <v>39737</v>
      </c>
      <c r="L120" s="103">
        <f>'[1]PANDU PELSUS'!K42</f>
        <v>0</v>
      </c>
      <c r="M120" s="103">
        <f>'[1]PANDU PELSUS'!L42</f>
        <v>0</v>
      </c>
      <c r="N120" s="103">
        <f>'[1]PANDU PELSUS'!M42</f>
        <v>0</v>
      </c>
      <c r="O120" s="103">
        <f>'[1]PANDU PELSUS'!N42</f>
        <v>39737</v>
      </c>
      <c r="P120" s="39">
        <f>SUM(D120:O120)</f>
        <v>119211</v>
      </c>
      <c r="S120" s="423"/>
      <c r="AA120" s="428">
        <f>'[1]PANDU PELSUS'!U42</f>
        <v>0</v>
      </c>
      <c r="AB120" s="428">
        <f>'[1]PANDU PELSUS'!V42</f>
        <v>0</v>
      </c>
      <c r="AC120" s="428">
        <f>'[1]PANDU PELSUS'!W42</f>
        <v>0</v>
      </c>
      <c r="AD120" s="428">
        <f>'[1]PANDU PELSUS'!X42</f>
        <v>41724</v>
      </c>
      <c r="AE120" s="428">
        <f>'[1]PANDU PELSUS'!Y42</f>
        <v>0</v>
      </c>
      <c r="AF120" s="428">
        <f>'[1]PANDU PELSUS'!Z42</f>
        <v>0</v>
      </c>
      <c r="AG120" s="428">
        <f>'[1]PANDU PELSUS'!AA42</f>
        <v>0</v>
      </c>
      <c r="AH120" s="428">
        <f>'[1]PANDU PELSUS'!AB42</f>
        <v>41724</v>
      </c>
      <c r="AI120" s="428">
        <f>'[1]PANDU PELSUS'!AC42</f>
        <v>0</v>
      </c>
      <c r="AJ120" s="428">
        <f>'[1]PANDU PELSUS'!AD42</f>
        <v>0</v>
      </c>
      <c r="AK120" s="428">
        <f>'[1]PANDU PELSUS'!AE42</f>
        <v>0</v>
      </c>
      <c r="AL120" s="428">
        <f>'[1]PANDU PELSUS'!AF42</f>
        <v>41724</v>
      </c>
      <c r="AM120" s="39">
        <f>SUM(AA120:AL120)</f>
        <v>125172</v>
      </c>
      <c r="AP120" s="423"/>
    </row>
    <row r="121" spans="1:43">
      <c r="A121" s="427" t="s">
        <v>222</v>
      </c>
      <c r="B121" s="40" t="s">
        <v>20</v>
      </c>
      <c r="C121" s="49">
        <v>2102150</v>
      </c>
      <c r="D121" s="35"/>
      <c r="E121" s="35"/>
      <c r="F121" s="35"/>
      <c r="G121" s="35"/>
      <c r="H121" s="35"/>
      <c r="I121" s="35"/>
      <c r="J121" s="30"/>
      <c r="K121" s="30"/>
      <c r="L121" s="30"/>
      <c r="M121" s="30"/>
      <c r="N121" s="30"/>
      <c r="O121" s="30"/>
      <c r="P121" s="39"/>
      <c r="S121" s="423"/>
      <c r="Y121" s="40" t="s">
        <v>20</v>
      </c>
      <c r="Z121" s="49">
        <v>2102150</v>
      </c>
      <c r="AA121" s="35"/>
      <c r="AB121" s="35"/>
      <c r="AC121" s="35"/>
      <c r="AD121" s="35"/>
      <c r="AE121" s="35"/>
      <c r="AF121" s="35"/>
      <c r="AG121" s="30"/>
      <c r="AH121" s="30"/>
      <c r="AI121" s="30"/>
      <c r="AJ121" s="30"/>
      <c r="AK121" s="30"/>
      <c r="AL121" s="30"/>
      <c r="AM121" s="39"/>
      <c r="AP121" s="423"/>
    </row>
    <row r="122" spans="1:43">
      <c r="A122" s="427"/>
      <c r="B122" s="40" t="s">
        <v>21</v>
      </c>
      <c r="C122" s="49">
        <v>7.06</v>
      </c>
      <c r="D122" s="35"/>
      <c r="E122" s="35"/>
      <c r="F122" s="35"/>
      <c r="G122" s="35"/>
      <c r="H122" s="35"/>
      <c r="I122" s="35"/>
      <c r="J122" s="30"/>
      <c r="K122" s="30"/>
      <c r="L122" s="30"/>
      <c r="M122" s="30"/>
      <c r="N122" s="30"/>
      <c r="O122" s="30"/>
      <c r="P122" s="39"/>
      <c r="S122" s="423"/>
      <c r="Y122" s="40" t="s">
        <v>21</v>
      </c>
      <c r="Z122" s="49">
        <v>7.06</v>
      </c>
      <c r="AA122" s="35"/>
      <c r="AB122" s="35"/>
      <c r="AC122" s="35"/>
      <c r="AD122" s="35"/>
      <c r="AE122" s="35"/>
      <c r="AF122" s="35"/>
      <c r="AG122" s="30"/>
      <c r="AH122" s="30"/>
      <c r="AI122" s="30"/>
      <c r="AJ122" s="30"/>
      <c r="AK122" s="30"/>
      <c r="AL122" s="30"/>
      <c r="AM122" s="39"/>
      <c r="AP122" s="423"/>
    </row>
    <row r="123" spans="1:43">
      <c r="A123" s="427" t="s">
        <v>230</v>
      </c>
      <c r="B123" s="40" t="s">
        <v>20</v>
      </c>
      <c r="C123" s="49">
        <v>3243950</v>
      </c>
      <c r="D123" s="35">
        <f>D119*$F$3</f>
        <v>0</v>
      </c>
      <c r="E123" s="35">
        <f>E119*$F$3</f>
        <v>0</v>
      </c>
      <c r="F123" s="35">
        <f>F119*$F$3</f>
        <v>0</v>
      </c>
      <c r="G123" s="35">
        <f>G119*$F$3</f>
        <v>7.65</v>
      </c>
      <c r="H123" s="35">
        <f>H119*$F$3</f>
        <v>0</v>
      </c>
      <c r="I123" s="35">
        <f>I119*$F$3</f>
        <v>0</v>
      </c>
      <c r="J123" s="35">
        <f>J119*$F$3</f>
        <v>0</v>
      </c>
      <c r="K123" s="35">
        <f>K119*$F$3</f>
        <v>7.65</v>
      </c>
      <c r="L123" s="35">
        <f>L119*$F$3</f>
        <v>0</v>
      </c>
      <c r="M123" s="35">
        <f>M119*$F$3</f>
        <v>0</v>
      </c>
      <c r="N123" s="35">
        <f>N119*$F$3</f>
        <v>0</v>
      </c>
      <c r="O123" s="35">
        <f>O119*$F$3</f>
        <v>7.65</v>
      </c>
      <c r="P123" s="39">
        <f>SUM(D123:O123)</f>
        <v>22.950000000000003</v>
      </c>
      <c r="S123" s="423"/>
      <c r="Y123" s="40" t="s">
        <v>20</v>
      </c>
      <c r="Z123" s="49">
        <v>3243950</v>
      </c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9">
        <f>SUM(AA123:AL123)</f>
        <v>0</v>
      </c>
      <c r="AP123" s="423"/>
    </row>
    <row r="124" spans="1:43">
      <c r="A124" s="427"/>
      <c r="B124" s="40" t="s">
        <v>21</v>
      </c>
      <c r="C124" s="49">
        <v>7.06</v>
      </c>
      <c r="D124" s="35">
        <f>D120*$F$3</f>
        <v>0</v>
      </c>
      <c r="E124" s="35">
        <f>E120*$F$3</f>
        <v>0</v>
      </c>
      <c r="F124" s="35">
        <f>F120*$F$3</f>
        <v>0</v>
      </c>
      <c r="G124" s="35">
        <f>G120*$F$3</f>
        <v>303988.05</v>
      </c>
      <c r="H124" s="35">
        <f>H120*$F$3</f>
        <v>0</v>
      </c>
      <c r="I124" s="35">
        <f>I120*$F$3</f>
        <v>0</v>
      </c>
      <c r="J124" s="35">
        <f>J120*$F$3</f>
        <v>0</v>
      </c>
      <c r="K124" s="35">
        <f>K120*$F$3</f>
        <v>303988.05</v>
      </c>
      <c r="L124" s="35">
        <f>L120*$F$3</f>
        <v>0</v>
      </c>
      <c r="M124" s="35">
        <f>M120*$F$3</f>
        <v>0</v>
      </c>
      <c r="N124" s="35">
        <f>N120*$F$3</f>
        <v>0</v>
      </c>
      <c r="O124" s="35">
        <f>O120*$F$3</f>
        <v>303988.05</v>
      </c>
      <c r="P124" s="39">
        <f>SUM(D124:O124)</f>
        <v>911964.14999999991</v>
      </c>
      <c r="S124" s="423"/>
      <c r="Y124" s="40" t="s">
        <v>21</v>
      </c>
      <c r="Z124" s="49">
        <v>7.06</v>
      </c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9">
        <f>SUM(AA124:AL124)</f>
        <v>0</v>
      </c>
      <c r="AP124" s="423"/>
    </row>
    <row r="125" spans="1:43">
      <c r="A125" s="427" t="s">
        <v>224</v>
      </c>
      <c r="B125" s="40" t="s">
        <v>20</v>
      </c>
      <c r="C125" s="49">
        <v>3898120</v>
      </c>
      <c r="D125" s="35"/>
      <c r="E125" s="35"/>
      <c r="F125" s="35"/>
      <c r="G125" s="35"/>
      <c r="H125" s="35"/>
      <c r="I125" s="35"/>
      <c r="J125" s="30"/>
      <c r="K125" s="30"/>
      <c r="L125" s="30"/>
      <c r="M125" s="30"/>
      <c r="N125" s="30"/>
      <c r="O125" s="30"/>
      <c r="P125" s="39"/>
      <c r="S125" s="423"/>
      <c r="Y125" s="40" t="s">
        <v>20</v>
      </c>
      <c r="Z125" s="49">
        <v>3898120</v>
      </c>
      <c r="AA125" s="35">
        <f>AA119*$AC$3</f>
        <v>0</v>
      </c>
      <c r="AB125" s="35">
        <f>AB119*$AC$3</f>
        <v>0</v>
      </c>
      <c r="AC125" s="35">
        <f>AC119*$AC$3</f>
        <v>0</v>
      </c>
      <c r="AD125" s="35">
        <f>AD119*$AC$3</f>
        <v>7.9462225649600002</v>
      </c>
      <c r="AE125" s="35">
        <f>AE119*$AC$3</f>
        <v>0</v>
      </c>
      <c r="AF125" s="35">
        <f>AF119*$AC$3</f>
        <v>0</v>
      </c>
      <c r="AG125" s="35">
        <f>AG119*$AC$3</f>
        <v>0</v>
      </c>
      <c r="AH125" s="35">
        <f>AH119*$AC$3</f>
        <v>7.9462225649600002</v>
      </c>
      <c r="AI125" s="35">
        <f>AI119*$AC$3</f>
        <v>0</v>
      </c>
      <c r="AJ125" s="35">
        <f>AJ119*$AC$3</f>
        <v>0</v>
      </c>
      <c r="AK125" s="35">
        <f>AK119*$AC$3</f>
        <v>0</v>
      </c>
      <c r="AL125" s="35">
        <f>AL119*$AC$3</f>
        <v>7.9462225649600002</v>
      </c>
      <c r="AM125" s="39">
        <f>SUM(AA125:AL125)</f>
        <v>23.838667694880002</v>
      </c>
      <c r="AP125" s="423"/>
    </row>
    <row r="126" spans="1:43">
      <c r="A126" s="427"/>
      <c r="B126" s="40" t="s">
        <v>21</v>
      </c>
      <c r="C126" s="49">
        <v>7.46</v>
      </c>
      <c r="D126" s="35"/>
      <c r="E126" s="35"/>
      <c r="F126" s="35"/>
      <c r="G126" s="35"/>
      <c r="H126" s="35"/>
      <c r="I126" s="35"/>
      <c r="J126" s="30"/>
      <c r="K126" s="30"/>
      <c r="L126" s="30"/>
      <c r="M126" s="30"/>
      <c r="N126" s="30"/>
      <c r="O126" s="30"/>
      <c r="P126" s="39"/>
      <c r="S126" s="423"/>
      <c r="Y126" s="40" t="s">
        <v>21</v>
      </c>
      <c r="Z126" s="49">
        <v>7.46</v>
      </c>
      <c r="AA126" s="35">
        <f>AA120*$AC$3</f>
        <v>0</v>
      </c>
      <c r="AB126" s="35">
        <f>AB120*$AC$3</f>
        <v>0</v>
      </c>
      <c r="AC126" s="35">
        <f>AC120*$AC$3</f>
        <v>0</v>
      </c>
      <c r="AD126" s="35">
        <f>AD120*$AC$3</f>
        <v>331548.19030039106</v>
      </c>
      <c r="AE126" s="35">
        <f>AE120*$AC$3</f>
        <v>0</v>
      </c>
      <c r="AF126" s="35">
        <f>AF120*$AC$3</f>
        <v>0</v>
      </c>
      <c r="AG126" s="35">
        <f>AG120*$AC$3</f>
        <v>0</v>
      </c>
      <c r="AH126" s="35">
        <f>AH120*$AC$3</f>
        <v>331548.19030039106</v>
      </c>
      <c r="AI126" s="35">
        <f>AI120*$AC$3</f>
        <v>0</v>
      </c>
      <c r="AJ126" s="35">
        <f>AJ120*$AC$3</f>
        <v>0</v>
      </c>
      <c r="AK126" s="35">
        <f>AK120*$AC$3</f>
        <v>0</v>
      </c>
      <c r="AL126" s="35">
        <f>AL120*$AC$3</f>
        <v>331548.19030039106</v>
      </c>
      <c r="AM126" s="39">
        <f>SUM(AA126:AL126)</f>
        <v>994644.57090117317</v>
      </c>
      <c r="AP126" s="423"/>
    </row>
    <row r="127" spans="1:43">
      <c r="A127" s="427" t="s">
        <v>229</v>
      </c>
      <c r="B127" s="40" t="s">
        <v>20</v>
      </c>
      <c r="C127" s="49">
        <v>4239050</v>
      </c>
      <c r="D127" s="35"/>
      <c r="E127" s="35"/>
      <c r="F127" s="35"/>
      <c r="G127" s="35"/>
      <c r="H127" s="35"/>
      <c r="I127" s="35"/>
      <c r="J127" s="30"/>
      <c r="K127" s="30"/>
      <c r="L127" s="30"/>
      <c r="M127" s="30"/>
      <c r="N127" s="30"/>
      <c r="O127" s="30"/>
      <c r="P127" s="39"/>
      <c r="S127" s="423"/>
      <c r="Y127" s="40" t="s">
        <v>20</v>
      </c>
      <c r="Z127" s="49">
        <v>4239050</v>
      </c>
      <c r="AA127" s="35"/>
      <c r="AB127" s="35"/>
      <c r="AC127" s="35"/>
      <c r="AD127" s="35"/>
      <c r="AE127" s="35"/>
      <c r="AF127" s="35"/>
      <c r="AG127" s="30"/>
      <c r="AH127" s="30"/>
      <c r="AI127" s="30"/>
      <c r="AJ127" s="30"/>
      <c r="AK127" s="30"/>
      <c r="AL127" s="30"/>
      <c r="AM127" s="39"/>
      <c r="AP127" s="423"/>
    </row>
    <row r="128" spans="1:43">
      <c r="A128" s="427"/>
      <c r="B128" s="40" t="s">
        <v>21</v>
      </c>
      <c r="C128" s="49">
        <v>7.46</v>
      </c>
      <c r="D128" s="35"/>
      <c r="E128" s="35"/>
      <c r="F128" s="35"/>
      <c r="G128" s="35"/>
      <c r="H128" s="35"/>
      <c r="I128" s="35"/>
      <c r="J128" s="30"/>
      <c r="K128" s="30"/>
      <c r="L128" s="30"/>
      <c r="M128" s="30"/>
      <c r="N128" s="30"/>
      <c r="O128" s="30"/>
      <c r="P128" s="39"/>
      <c r="S128" s="423"/>
      <c r="Y128" s="40" t="s">
        <v>21</v>
      </c>
      <c r="Z128" s="49">
        <v>7.46</v>
      </c>
      <c r="AA128" s="35"/>
      <c r="AB128" s="35"/>
      <c r="AC128" s="35"/>
      <c r="AD128" s="35"/>
      <c r="AE128" s="35"/>
      <c r="AF128" s="35"/>
      <c r="AG128" s="30"/>
      <c r="AH128" s="30"/>
      <c r="AI128" s="30"/>
      <c r="AJ128" s="30"/>
      <c r="AK128" s="30"/>
      <c r="AL128" s="30"/>
      <c r="AM128" s="39"/>
      <c r="AP128" s="423"/>
    </row>
    <row r="129" spans="1:43">
      <c r="A129" s="427" t="s">
        <v>228</v>
      </c>
      <c r="B129" s="40" t="s">
        <v>20</v>
      </c>
      <c r="C129" s="49">
        <v>4371600</v>
      </c>
      <c r="D129" s="35"/>
      <c r="E129" s="35"/>
      <c r="F129" s="35"/>
      <c r="G129" s="35"/>
      <c r="H129" s="35"/>
      <c r="I129" s="35"/>
      <c r="J129" s="30"/>
      <c r="K129" s="30"/>
      <c r="L129" s="30"/>
      <c r="M129" s="30"/>
      <c r="N129" s="30"/>
      <c r="O129" s="30"/>
      <c r="P129" s="39"/>
      <c r="S129" s="423"/>
      <c r="Y129" s="40" t="s">
        <v>20</v>
      </c>
      <c r="Z129" s="49">
        <v>4371600</v>
      </c>
      <c r="AA129" s="35"/>
      <c r="AB129" s="35"/>
      <c r="AC129" s="35"/>
      <c r="AD129" s="35"/>
      <c r="AE129" s="35"/>
      <c r="AF129" s="35"/>
      <c r="AG129" s="30"/>
      <c r="AH129" s="30"/>
      <c r="AI129" s="30"/>
      <c r="AJ129" s="30"/>
      <c r="AK129" s="30"/>
      <c r="AL129" s="30"/>
      <c r="AM129" s="39"/>
      <c r="AP129" s="423"/>
    </row>
    <row r="130" spans="1:43">
      <c r="A130" s="427"/>
      <c r="B130" s="40" t="s">
        <v>21</v>
      </c>
      <c r="C130" s="49">
        <v>5.97</v>
      </c>
      <c r="D130" s="35"/>
      <c r="E130" s="35"/>
      <c r="F130" s="35"/>
      <c r="G130" s="35"/>
      <c r="H130" s="35"/>
      <c r="I130" s="35"/>
      <c r="J130" s="30"/>
      <c r="K130" s="30"/>
      <c r="L130" s="30"/>
      <c r="M130" s="30"/>
      <c r="N130" s="30"/>
      <c r="O130" s="30"/>
      <c r="P130" s="39"/>
      <c r="S130" s="423"/>
      <c r="Y130" s="40" t="s">
        <v>21</v>
      </c>
      <c r="Z130" s="49">
        <v>5.97</v>
      </c>
      <c r="AA130" s="35"/>
      <c r="AB130" s="35"/>
      <c r="AC130" s="35"/>
      <c r="AD130" s="35"/>
      <c r="AE130" s="35"/>
      <c r="AF130" s="35"/>
      <c r="AG130" s="30"/>
      <c r="AH130" s="30"/>
      <c r="AI130" s="30"/>
      <c r="AJ130" s="30"/>
      <c r="AK130" s="30"/>
      <c r="AL130" s="30"/>
      <c r="AM130" s="39"/>
      <c r="AP130" s="423"/>
    </row>
    <row r="131" spans="1:43">
      <c r="A131" s="427" t="s">
        <v>225</v>
      </c>
      <c r="B131" s="40" t="s">
        <v>20</v>
      </c>
      <c r="C131" s="49">
        <v>5120900</v>
      </c>
      <c r="D131" s="35"/>
      <c r="E131" s="35"/>
      <c r="F131" s="35"/>
      <c r="G131" s="35"/>
      <c r="H131" s="35"/>
      <c r="I131" s="35"/>
      <c r="J131" s="30"/>
      <c r="K131" s="30"/>
      <c r="L131" s="30"/>
      <c r="M131" s="30"/>
      <c r="N131" s="30"/>
      <c r="O131" s="30"/>
      <c r="P131" s="39"/>
      <c r="S131" s="423"/>
      <c r="Y131" s="40" t="s">
        <v>20</v>
      </c>
      <c r="Z131" s="49">
        <v>5120900</v>
      </c>
      <c r="AA131" s="35"/>
      <c r="AB131" s="35"/>
      <c r="AC131" s="35"/>
      <c r="AD131" s="35"/>
      <c r="AE131" s="35"/>
      <c r="AF131" s="35"/>
      <c r="AG131" s="30"/>
      <c r="AH131" s="30"/>
      <c r="AI131" s="30"/>
      <c r="AJ131" s="30"/>
      <c r="AK131" s="30"/>
      <c r="AL131" s="30"/>
      <c r="AM131" s="39"/>
      <c r="AP131" s="423"/>
    </row>
    <row r="132" spans="1:43">
      <c r="A132" s="427"/>
      <c r="B132" s="40" t="s">
        <v>21</v>
      </c>
      <c r="C132" s="49">
        <v>5.97</v>
      </c>
      <c r="D132" s="35"/>
      <c r="E132" s="35"/>
      <c r="F132" s="35"/>
      <c r="G132" s="35"/>
      <c r="H132" s="35"/>
      <c r="I132" s="35"/>
      <c r="J132" s="30"/>
      <c r="K132" s="30"/>
      <c r="L132" s="30"/>
      <c r="M132" s="30"/>
      <c r="N132" s="30"/>
      <c r="O132" s="30"/>
      <c r="P132" s="39"/>
      <c r="S132" s="423"/>
      <c r="Y132" s="40" t="s">
        <v>21</v>
      </c>
      <c r="Z132" s="49">
        <v>5.97</v>
      </c>
      <c r="AA132" s="35"/>
      <c r="AB132" s="35"/>
      <c r="AC132" s="35"/>
      <c r="AD132" s="35"/>
      <c r="AE132" s="35"/>
      <c r="AF132" s="35"/>
      <c r="AG132" s="30"/>
      <c r="AH132" s="30"/>
      <c r="AI132" s="30"/>
      <c r="AJ132" s="30"/>
      <c r="AK132" s="30"/>
      <c r="AL132" s="30"/>
      <c r="AM132" s="39"/>
      <c r="AP132" s="423"/>
    </row>
    <row r="133" spans="1:43">
      <c r="A133" s="427" t="s">
        <v>227</v>
      </c>
      <c r="B133" s="40" t="s">
        <v>20</v>
      </c>
      <c r="C133" s="49">
        <v>4937500</v>
      </c>
      <c r="D133" s="35"/>
      <c r="E133" s="35"/>
      <c r="F133" s="35"/>
      <c r="G133" s="35"/>
      <c r="H133" s="35"/>
      <c r="I133" s="35"/>
      <c r="J133" s="30"/>
      <c r="K133" s="30"/>
      <c r="L133" s="30"/>
      <c r="M133" s="30"/>
      <c r="N133" s="30"/>
      <c r="O133" s="30"/>
      <c r="P133" s="39"/>
      <c r="S133" s="423"/>
      <c r="Y133" s="40" t="s">
        <v>20</v>
      </c>
      <c r="Z133" s="49">
        <v>4937500</v>
      </c>
      <c r="AA133" s="35"/>
      <c r="AB133" s="35"/>
      <c r="AC133" s="35"/>
      <c r="AD133" s="35"/>
      <c r="AE133" s="35"/>
      <c r="AF133" s="35"/>
      <c r="AG133" s="30"/>
      <c r="AH133" s="30"/>
      <c r="AI133" s="30"/>
      <c r="AJ133" s="30"/>
      <c r="AK133" s="30"/>
      <c r="AL133" s="30"/>
      <c r="AM133" s="39"/>
      <c r="AP133" s="423"/>
    </row>
    <row r="134" spans="1:43">
      <c r="A134" s="427"/>
      <c r="B134" s="40" t="s">
        <v>21</v>
      </c>
      <c r="C134" s="49">
        <v>5.97</v>
      </c>
      <c r="D134" s="35"/>
      <c r="E134" s="35"/>
      <c r="F134" s="35"/>
      <c r="G134" s="35"/>
      <c r="H134" s="35"/>
      <c r="I134" s="35"/>
      <c r="J134" s="30"/>
      <c r="K134" s="30"/>
      <c r="L134" s="30"/>
      <c r="M134" s="30"/>
      <c r="N134" s="30"/>
      <c r="O134" s="30"/>
      <c r="P134" s="39"/>
      <c r="S134" s="423"/>
      <c r="Y134" s="40" t="s">
        <v>21</v>
      </c>
      <c r="Z134" s="49">
        <v>5.97</v>
      </c>
      <c r="AA134" s="35"/>
      <c r="AB134" s="35"/>
      <c r="AC134" s="35"/>
      <c r="AD134" s="35"/>
      <c r="AE134" s="35"/>
      <c r="AF134" s="35"/>
      <c r="AG134" s="30"/>
      <c r="AH134" s="30"/>
      <c r="AI134" s="30"/>
      <c r="AJ134" s="30"/>
      <c r="AK134" s="30"/>
      <c r="AL134" s="30"/>
      <c r="AM134" s="39"/>
      <c r="AP134" s="423"/>
    </row>
    <row r="135" spans="1:43">
      <c r="A135" s="427" t="s">
        <v>226</v>
      </c>
      <c r="B135" s="40" t="s">
        <v>20</v>
      </c>
      <c r="C135" s="49">
        <v>6248800</v>
      </c>
      <c r="D135" s="35"/>
      <c r="E135" s="35"/>
      <c r="F135" s="35"/>
      <c r="G135" s="35"/>
      <c r="H135" s="35"/>
      <c r="I135" s="35"/>
      <c r="J135" s="30"/>
      <c r="K135" s="30"/>
      <c r="L135" s="30"/>
      <c r="M135" s="30"/>
      <c r="N135" s="30"/>
      <c r="O135" s="30"/>
      <c r="P135" s="39"/>
      <c r="S135" s="423"/>
      <c r="Y135" s="40" t="s">
        <v>20</v>
      </c>
      <c r="Z135" s="49">
        <v>6248800</v>
      </c>
      <c r="AA135" s="35"/>
      <c r="AB135" s="35"/>
      <c r="AC135" s="35"/>
      <c r="AD135" s="35"/>
      <c r="AE135" s="35"/>
      <c r="AF135" s="35"/>
      <c r="AG135" s="30"/>
      <c r="AH135" s="30"/>
      <c r="AI135" s="30"/>
      <c r="AJ135" s="30"/>
      <c r="AK135" s="30"/>
      <c r="AL135" s="30"/>
      <c r="AM135" s="39"/>
      <c r="AP135" s="423"/>
    </row>
    <row r="136" spans="1:43">
      <c r="A136" s="427"/>
      <c r="B136" s="40" t="s">
        <v>21</v>
      </c>
      <c r="C136" s="49">
        <v>5.97</v>
      </c>
      <c r="D136" s="35"/>
      <c r="E136" s="35"/>
      <c r="F136" s="35"/>
      <c r="G136" s="35"/>
      <c r="H136" s="35"/>
      <c r="I136" s="35"/>
      <c r="J136" s="30"/>
      <c r="K136" s="30"/>
      <c r="L136" s="30"/>
      <c r="M136" s="30"/>
      <c r="N136" s="30"/>
      <c r="O136" s="30"/>
      <c r="P136" s="39"/>
      <c r="S136" s="423"/>
      <c r="Y136" s="40" t="s">
        <v>21</v>
      </c>
      <c r="Z136" s="49">
        <v>5.97</v>
      </c>
      <c r="AA136" s="35"/>
      <c r="AB136" s="35"/>
      <c r="AC136" s="35"/>
      <c r="AD136" s="35"/>
      <c r="AE136" s="35"/>
      <c r="AF136" s="35"/>
      <c r="AG136" s="30"/>
      <c r="AH136" s="30"/>
      <c r="AI136" s="30"/>
      <c r="AJ136" s="30"/>
      <c r="AK136" s="30"/>
      <c r="AL136" s="30"/>
      <c r="AM136" s="39"/>
      <c r="AP136" s="423"/>
    </row>
    <row r="137" spans="1:43">
      <c r="C137" t="s">
        <v>67</v>
      </c>
      <c r="D137" s="35">
        <f>D123*$C$123</f>
        <v>0</v>
      </c>
      <c r="E137" s="35">
        <f>E123*$C$123</f>
        <v>0</v>
      </c>
      <c r="F137" s="35">
        <f>F123*$C$123</f>
        <v>0</v>
      </c>
      <c r="G137" s="35">
        <f>G123*$C$123</f>
        <v>24816217.5</v>
      </c>
      <c r="H137" s="35">
        <f>H123*$C$123</f>
        <v>0</v>
      </c>
      <c r="I137" s="35">
        <f>I123*$C$123</f>
        <v>0</v>
      </c>
      <c r="J137" s="35">
        <f>J123*$C$123</f>
        <v>0</v>
      </c>
      <c r="K137" s="35">
        <f>K123*$C$123</f>
        <v>24816217.5</v>
      </c>
      <c r="L137" s="35">
        <f>L123*$C$123</f>
        <v>0</v>
      </c>
      <c r="M137" s="35">
        <f>M123*$C$123</f>
        <v>0</v>
      </c>
      <c r="N137" s="35">
        <f>N123*$C$123</f>
        <v>0</v>
      </c>
      <c r="O137" s="35">
        <f>O123*$C$123</f>
        <v>24816217.5</v>
      </c>
      <c r="P137" s="39">
        <f>SUM(D137:O137)</f>
        <v>74448652.5</v>
      </c>
      <c r="Q137" s="402"/>
      <c r="R137" s="54" t="e">
        <f>P137/Q137</f>
        <v>#DIV/0!</v>
      </c>
      <c r="S137" s="424"/>
      <c r="Z137" t="s">
        <v>67</v>
      </c>
      <c r="AA137" s="35">
        <f>AA125*$Z$125</f>
        <v>0</v>
      </c>
      <c r="AB137" s="35">
        <f>AB125*$Z$125</f>
        <v>0</v>
      </c>
      <c r="AC137" s="35">
        <f>AC125*$Z$125</f>
        <v>0</v>
      </c>
      <c r="AD137" s="35">
        <f>AD125*$Z$125</f>
        <v>30975329.104921877</v>
      </c>
      <c r="AE137" s="35">
        <f>AE125*$Z$125</f>
        <v>0</v>
      </c>
      <c r="AF137" s="35">
        <f>AF125*$Z$125</f>
        <v>0</v>
      </c>
      <c r="AG137" s="35">
        <f>AG125*$Z$125</f>
        <v>0</v>
      </c>
      <c r="AH137" s="35">
        <f>AH125*$Z$125</f>
        <v>30975329.104921877</v>
      </c>
      <c r="AI137" s="35">
        <f>AI125*$Z$125</f>
        <v>0</v>
      </c>
      <c r="AJ137" s="35">
        <f>AJ125*$Z$125</f>
        <v>0</v>
      </c>
      <c r="AK137" s="35">
        <f>AK125*$Z$125</f>
        <v>0</v>
      </c>
      <c r="AL137" s="35">
        <f>AL125*$Z$125</f>
        <v>30975329.104921877</v>
      </c>
      <c r="AM137" s="39">
        <f>SUM(AA137:AL137)</f>
        <v>92925987.314765632</v>
      </c>
      <c r="AN137" s="402"/>
      <c r="AO137" s="54"/>
      <c r="AP137" s="424"/>
    </row>
    <row r="138" spans="1:43">
      <c r="D138" s="35">
        <f>D124*$C$124</f>
        <v>0</v>
      </c>
      <c r="E138" s="35">
        <f>E124*$C$124</f>
        <v>0</v>
      </c>
      <c r="F138" s="35">
        <f>F124*$C$124</f>
        <v>0</v>
      </c>
      <c r="G138" s="35">
        <f>G124*$C$124</f>
        <v>2146155.6329999999</v>
      </c>
      <c r="H138" s="35">
        <f>H124*$C$124</f>
        <v>0</v>
      </c>
      <c r="I138" s="35">
        <f>I124*$C$124</f>
        <v>0</v>
      </c>
      <c r="J138" s="35">
        <f>J124*$C$124</f>
        <v>0</v>
      </c>
      <c r="K138" s="35">
        <f>K124*$C$124</f>
        <v>2146155.6329999999</v>
      </c>
      <c r="L138" s="35">
        <f>L124*$C$124</f>
        <v>0</v>
      </c>
      <c r="M138" s="35">
        <f>M124*$C$124</f>
        <v>0</v>
      </c>
      <c r="N138" s="35">
        <f>N124*$C$124</f>
        <v>0</v>
      </c>
      <c r="O138" s="35">
        <f>O124*$C$124</f>
        <v>2146155.6329999999</v>
      </c>
      <c r="P138" s="39">
        <f>SUM(D138:O138)</f>
        <v>6438466.8990000002</v>
      </c>
      <c r="Q138" s="84"/>
      <c r="R138" s="54" t="e">
        <f>P138/Q138</f>
        <v>#DIV/0!</v>
      </c>
      <c r="S138" s="424"/>
      <c r="AA138" s="35">
        <f>AA126*$Z$126</f>
        <v>0</v>
      </c>
      <c r="AB138" s="35">
        <f>AB126*$Z$126</f>
        <v>0</v>
      </c>
      <c r="AC138" s="35">
        <f>AC126*$Z$126</f>
        <v>0</v>
      </c>
      <c r="AD138" s="35">
        <f>AD126*$Z$126</f>
        <v>2473349.4996409174</v>
      </c>
      <c r="AE138" s="35">
        <f>AE126*$Z$126</f>
        <v>0</v>
      </c>
      <c r="AF138" s="35">
        <f>AF126*$Z$126</f>
        <v>0</v>
      </c>
      <c r="AG138" s="35">
        <f>AG126*$Z$126</f>
        <v>0</v>
      </c>
      <c r="AH138" s="35">
        <f>AH126*$Z$126</f>
        <v>2473349.4996409174</v>
      </c>
      <c r="AI138" s="35">
        <f>AI126*$Z$126</f>
        <v>0</v>
      </c>
      <c r="AJ138" s="35">
        <f>AJ126*$Z$126</f>
        <v>0</v>
      </c>
      <c r="AK138" s="35">
        <f>AK126*$Z$126</f>
        <v>0</v>
      </c>
      <c r="AL138" s="35">
        <f>AL126*$Z$126</f>
        <v>2473349.4996409174</v>
      </c>
      <c r="AM138" s="39">
        <f>SUM(AA138:AL138)</f>
        <v>7420048.4989227522</v>
      </c>
      <c r="AN138" s="84"/>
      <c r="AO138" s="54"/>
      <c r="AP138" s="424"/>
    </row>
    <row r="139" spans="1:43">
      <c r="A139" s="44"/>
      <c r="B139" s="44"/>
      <c r="C139" s="44"/>
      <c r="D139" s="50"/>
      <c r="E139" s="50"/>
      <c r="F139" s="50"/>
      <c r="G139" s="50"/>
      <c r="H139" s="50"/>
      <c r="I139" s="50"/>
      <c r="J139" s="46"/>
      <c r="K139" s="46"/>
      <c r="L139" s="46"/>
      <c r="M139" s="46"/>
      <c r="N139" s="46"/>
      <c r="O139" s="46"/>
      <c r="P139" s="48">
        <f>P137+P138</f>
        <v>80887119.399000004</v>
      </c>
      <c r="Q139" s="44"/>
      <c r="R139" s="44"/>
      <c r="S139" s="424">
        <f>P139/$P$277</f>
        <v>3.7853907822640322E-4</v>
      </c>
      <c r="T139" s="430">
        <f>$P$279*S139</f>
        <v>0</v>
      </c>
      <c r="Y139" s="44"/>
      <c r="Z139" s="44"/>
      <c r="AA139" s="50"/>
      <c r="AB139" s="50"/>
      <c r="AC139" s="50"/>
      <c r="AD139" s="50"/>
      <c r="AE139" s="50"/>
      <c r="AF139" s="50"/>
      <c r="AG139" s="46"/>
      <c r="AH139" s="46"/>
      <c r="AI139" s="46"/>
      <c r="AJ139" s="46"/>
      <c r="AK139" s="46"/>
      <c r="AL139" s="46"/>
      <c r="AM139" s="48">
        <f>AM137+AM138</f>
        <v>100346035.81368838</v>
      </c>
      <c r="AN139" s="44"/>
      <c r="AO139" s="44"/>
      <c r="AP139" s="424">
        <f>AM139/$P$277</f>
        <v>4.696037661227042E-4</v>
      </c>
      <c r="AQ139" s="430">
        <f>$P$279*AP139</f>
        <v>0</v>
      </c>
    </row>
    <row r="140" spans="1:43">
      <c r="A140" s="44"/>
      <c r="B140" s="44"/>
      <c r="C140" s="44"/>
      <c r="D140" s="50"/>
      <c r="E140" s="50"/>
      <c r="F140" s="50"/>
      <c r="G140" s="50"/>
      <c r="H140" s="50"/>
      <c r="I140" s="50"/>
      <c r="J140" s="46"/>
      <c r="K140" s="46"/>
      <c r="L140" s="46"/>
      <c r="M140" s="46"/>
      <c r="N140" s="46"/>
      <c r="O140" s="46"/>
      <c r="P140" s="48"/>
      <c r="Q140" s="44"/>
      <c r="R140" s="44"/>
      <c r="S140" s="423"/>
      <c r="Y140" s="44"/>
      <c r="Z140" s="44"/>
      <c r="AA140" s="50"/>
      <c r="AB140" s="50"/>
      <c r="AC140" s="50"/>
      <c r="AD140" s="50"/>
      <c r="AE140" s="50"/>
      <c r="AF140" s="50"/>
      <c r="AG140" s="46"/>
      <c r="AH140" s="46"/>
      <c r="AI140" s="46"/>
      <c r="AJ140" s="46"/>
      <c r="AK140" s="46"/>
      <c r="AL140" s="46"/>
      <c r="AM140" s="48"/>
      <c r="AN140" s="44"/>
      <c r="AO140" s="44"/>
      <c r="AP140" s="423"/>
    </row>
    <row r="141" spans="1:43">
      <c r="B141" t="s">
        <v>213</v>
      </c>
      <c r="C141">
        <v>6.5</v>
      </c>
      <c r="D141" s="429">
        <f>'[1]PANDU PELSUS'!C47</f>
        <v>55</v>
      </c>
      <c r="E141" s="429">
        <f>'[1]PANDU PELSUS'!D47</f>
        <v>42</v>
      </c>
      <c r="F141" s="429">
        <f>'[1]PANDU PELSUS'!E47</f>
        <v>57</v>
      </c>
      <c r="G141" s="429">
        <f>'[1]PANDU PELSUS'!F47</f>
        <v>61</v>
      </c>
      <c r="H141" s="429">
        <f>'[1]PANDU PELSUS'!G47</f>
        <v>50</v>
      </c>
      <c r="I141" s="429">
        <f>'[1]PANDU PELSUS'!H47</f>
        <v>48</v>
      </c>
      <c r="J141" s="103">
        <f>'[1]PANDU PELSUS'!I47</f>
        <v>50</v>
      </c>
      <c r="K141" s="103">
        <f>'[1]PANDU PELSUS'!J47</f>
        <v>52</v>
      </c>
      <c r="L141" s="103">
        <f>'[1]PANDU PELSUS'!K47</f>
        <v>52</v>
      </c>
      <c r="M141" s="103">
        <f>'[1]PANDU PELSUS'!L47</f>
        <v>48</v>
      </c>
      <c r="N141" s="103">
        <f>'[1]PANDU PELSUS'!M47</f>
        <v>51</v>
      </c>
      <c r="O141" s="103">
        <f>'[1]PANDU PELSUS'!N47</f>
        <v>73</v>
      </c>
      <c r="P141" s="39">
        <f>SUM(D141:O141)</f>
        <v>639</v>
      </c>
      <c r="Q141">
        <f>P142/P141</f>
        <v>7999.8011512073053</v>
      </c>
      <c r="S141" s="423"/>
      <c r="Y141" t="s">
        <v>213</v>
      </c>
      <c r="Z141">
        <v>6.5</v>
      </c>
      <c r="AA141" s="428">
        <f>'[1]PANDU PELSUS'!U47</f>
        <v>55</v>
      </c>
      <c r="AB141" s="428">
        <f>'[1]PANDU PELSUS'!V47</f>
        <v>42</v>
      </c>
      <c r="AC141" s="428">
        <f>'[1]PANDU PELSUS'!W47</f>
        <v>57</v>
      </c>
      <c r="AD141" s="428">
        <f>'[1]PANDU PELSUS'!X47</f>
        <v>61</v>
      </c>
      <c r="AE141" s="428">
        <f>'[1]PANDU PELSUS'!Y47</f>
        <v>50</v>
      </c>
      <c r="AF141" s="428">
        <f>'[1]PANDU PELSUS'!Z47</f>
        <v>48</v>
      </c>
      <c r="AG141" s="428">
        <f>'[1]PANDU PELSUS'!AA47</f>
        <v>50</v>
      </c>
      <c r="AH141" s="428">
        <f>'[1]PANDU PELSUS'!AB47</f>
        <v>52</v>
      </c>
      <c r="AI141" s="428">
        <f>'[1]PANDU PELSUS'!AC47</f>
        <v>52</v>
      </c>
      <c r="AJ141" s="428">
        <f>'[1]PANDU PELSUS'!AD47</f>
        <v>48</v>
      </c>
      <c r="AK141" s="428">
        <f>'[1]PANDU PELSUS'!AE47</f>
        <v>51</v>
      </c>
      <c r="AL141" s="428">
        <f>'[1]PANDU PELSUS'!AF47</f>
        <v>73</v>
      </c>
      <c r="AM141" s="39">
        <f>SUM(AA141:AL141)</f>
        <v>639</v>
      </c>
      <c r="AP141" s="423"/>
    </row>
    <row r="142" spans="1:43">
      <c r="D142" s="429">
        <f>'[1]PANDU PELSUS'!C48</f>
        <v>443900</v>
      </c>
      <c r="E142" s="429">
        <f>'[1]PANDU PELSUS'!D48</f>
        <v>316905</v>
      </c>
      <c r="F142" s="429">
        <f>'[1]PANDU PELSUS'!E48</f>
        <v>483500</v>
      </c>
      <c r="G142" s="429">
        <f>'[1]PANDU PELSUS'!F48</f>
        <v>479884</v>
      </c>
      <c r="H142" s="429">
        <f>'[1]PANDU PELSUS'!G48</f>
        <v>403545.45454545453</v>
      </c>
      <c r="I142" s="429">
        <f>'[1]PANDU PELSUS'!H48</f>
        <v>362177.14285714284</v>
      </c>
      <c r="J142" s="103">
        <f>'[1]PANDU PELSUS'!I48</f>
        <v>424122.80701754388</v>
      </c>
      <c r="K142" s="103">
        <f>'[1]PANDU PELSUS'!J48</f>
        <v>409081.44262295082</v>
      </c>
      <c r="L142" s="103">
        <f>'[1]PANDU PELSUS'!K48</f>
        <v>419687.27272727271</v>
      </c>
      <c r="M142" s="103">
        <f>'[1]PANDU PELSUS'!L48</f>
        <v>362177.14285714284</v>
      </c>
      <c r="N142" s="103">
        <f>'[1]PANDU PELSUS'!M48</f>
        <v>432605.26315789478</v>
      </c>
      <c r="O142" s="103">
        <f>'[1]PANDU PELSUS'!N48</f>
        <v>574287.40983606561</v>
      </c>
      <c r="P142" s="39">
        <f>SUM(D142:O142)</f>
        <v>5111872.9356214684</v>
      </c>
      <c r="S142" s="423"/>
      <c r="AA142" s="428">
        <f>'[1]PANDU PELSUS'!U48</f>
        <v>466095</v>
      </c>
      <c r="AB142" s="428">
        <f>'[1]PANDU PELSUS'!V48</f>
        <v>332751</v>
      </c>
      <c r="AC142" s="428">
        <f>'[1]PANDU PELSUS'!W48</f>
        <v>507675</v>
      </c>
      <c r="AD142" s="428">
        <f>'[1]PANDU PELSUS'!X48</f>
        <v>503879</v>
      </c>
      <c r="AE142" s="428">
        <f>'[1]PANDU PELSUS'!Y48</f>
        <v>423723</v>
      </c>
      <c r="AF142" s="428">
        <f>'[1]PANDU PELSUS'!Z48</f>
        <v>380286</v>
      </c>
      <c r="AG142" s="428">
        <f>'[1]PANDU PELSUS'!AA48</f>
        <v>445329</v>
      </c>
      <c r="AH142" s="428">
        <f>'[1]PANDU PELSUS'!AB48</f>
        <v>429536</v>
      </c>
      <c r="AI142" s="428">
        <f>'[1]PANDU PELSUS'!AC48</f>
        <v>440672</v>
      </c>
      <c r="AJ142" s="428">
        <f>'[1]PANDU PELSUS'!AD48</f>
        <v>380286</v>
      </c>
      <c r="AK142" s="428">
        <f>'[1]PANDU PELSUS'!AE48</f>
        <v>454236</v>
      </c>
      <c r="AL142" s="428">
        <f>'[1]PANDU PELSUS'!AF48</f>
        <v>603002</v>
      </c>
      <c r="AM142" s="39">
        <f>SUM(AA142:AL142)</f>
        <v>5367470</v>
      </c>
      <c r="AP142" s="423"/>
    </row>
    <row r="143" spans="1:43">
      <c r="A143" s="427" t="s">
        <v>222</v>
      </c>
      <c r="B143" s="40" t="s">
        <v>20</v>
      </c>
      <c r="C143" s="49">
        <v>2102150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9"/>
      <c r="S143" s="423"/>
      <c r="Y143" s="40" t="s">
        <v>20</v>
      </c>
      <c r="Z143" s="49">
        <v>2102150</v>
      </c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9"/>
      <c r="AP143" s="423"/>
    </row>
    <row r="144" spans="1:43">
      <c r="A144" s="427"/>
      <c r="B144" s="40" t="s">
        <v>21</v>
      </c>
      <c r="C144" s="49">
        <v>7.06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9"/>
      <c r="S144" s="423"/>
      <c r="Y144" s="40" t="s">
        <v>21</v>
      </c>
      <c r="Z144" s="49">
        <v>7.06</v>
      </c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9"/>
      <c r="AP144" s="423"/>
    </row>
    <row r="145" spans="1:42">
      <c r="A145" s="427" t="s">
        <v>230</v>
      </c>
      <c r="B145" s="40" t="s">
        <v>20</v>
      </c>
      <c r="C145" s="49">
        <v>3243950</v>
      </c>
      <c r="D145" s="35">
        <f>D141*$F$3</f>
        <v>420.75</v>
      </c>
      <c r="E145" s="35">
        <f>E141*$F$3</f>
        <v>321.3</v>
      </c>
      <c r="F145" s="35">
        <f>F141*$F$3</f>
        <v>436.05</v>
      </c>
      <c r="G145" s="35">
        <f>G141*$F$3</f>
        <v>466.65000000000003</v>
      </c>
      <c r="H145" s="35">
        <f>H141*$F$3</f>
        <v>382.5</v>
      </c>
      <c r="I145" s="35">
        <f>I141*$F$3</f>
        <v>367.20000000000005</v>
      </c>
      <c r="J145" s="35">
        <f>J141*$F$3</f>
        <v>382.5</v>
      </c>
      <c r="K145" s="35">
        <f>K141*$F$3</f>
        <v>397.8</v>
      </c>
      <c r="L145" s="35">
        <f>L141*$F$3</f>
        <v>397.8</v>
      </c>
      <c r="M145" s="35">
        <f>M141*$F$3</f>
        <v>367.20000000000005</v>
      </c>
      <c r="N145" s="35">
        <f>N141*$F$3</f>
        <v>390.15000000000003</v>
      </c>
      <c r="O145" s="35">
        <f>O141*$F$3</f>
        <v>558.45000000000005</v>
      </c>
      <c r="P145" s="39">
        <f>SUM(D145:O145)</f>
        <v>4888.3499999999995</v>
      </c>
      <c r="S145" s="423"/>
      <c r="Y145" s="40" t="s">
        <v>20</v>
      </c>
      <c r="Z145" s="49">
        <v>3243950</v>
      </c>
      <c r="AA145" s="35">
        <f>AA141*$AC$3</f>
        <v>437.04224107280004</v>
      </c>
      <c r="AB145" s="35">
        <f>AB141*$AC$3</f>
        <v>333.74134772832002</v>
      </c>
      <c r="AC145" s="35">
        <f>AC141*$AC$3</f>
        <v>452.93468620272</v>
      </c>
      <c r="AD145" s="35">
        <f>AD141*$AC$3</f>
        <v>484.71957646256004</v>
      </c>
      <c r="AE145" s="35">
        <f>AE141*$AC$3</f>
        <v>397.31112824799999</v>
      </c>
      <c r="AF145" s="35">
        <f>AF141*$AC$3</f>
        <v>381.41868311808003</v>
      </c>
      <c r="AG145" s="35">
        <f>AG141*$AC$3</f>
        <v>397.31112824799999</v>
      </c>
      <c r="AH145" s="35">
        <f>AH141*$AC$3</f>
        <v>413.20357337792001</v>
      </c>
      <c r="AI145" s="35">
        <f>AI141*$AC$3</f>
        <v>413.20357337792001</v>
      </c>
      <c r="AJ145" s="35">
        <f>AJ141*$AC$3</f>
        <v>381.41868311808003</v>
      </c>
      <c r="AK145" s="35">
        <f>AK141*$AC$3</f>
        <v>405.25735081296</v>
      </c>
      <c r="AL145" s="35">
        <f>AL141*$AC$3</f>
        <v>580.07424724207999</v>
      </c>
      <c r="AM145" s="39">
        <f>SUM(AA145:AL145)</f>
        <v>5077.6362190094396</v>
      </c>
      <c r="AP145" s="423"/>
    </row>
    <row r="146" spans="1:42">
      <c r="A146" s="427"/>
      <c r="B146" s="40" t="s">
        <v>21</v>
      </c>
      <c r="C146" s="49">
        <v>7.06</v>
      </c>
      <c r="D146" s="35">
        <f>D142*$F$3</f>
        <v>3395835</v>
      </c>
      <c r="E146" s="35">
        <f>E142*$F$3</f>
        <v>2424323.25</v>
      </c>
      <c r="F146" s="35">
        <f>F142*$F$3</f>
        <v>3698775</v>
      </c>
      <c r="G146" s="35">
        <f>G142*$F$3</f>
        <v>3671112.6</v>
      </c>
      <c r="H146" s="35">
        <f>H142*$F$3</f>
        <v>3087122.7272727275</v>
      </c>
      <c r="I146" s="35">
        <f>I142*$F$3</f>
        <v>2770655.1428571427</v>
      </c>
      <c r="J146" s="35">
        <f>J142*$F$3</f>
        <v>3244539.4736842108</v>
      </c>
      <c r="K146" s="35">
        <f>K142*$F$3</f>
        <v>3129473.0360655738</v>
      </c>
      <c r="L146" s="35">
        <f>L142*$F$3</f>
        <v>3210607.6363636362</v>
      </c>
      <c r="M146" s="35">
        <f>M142*$F$3</f>
        <v>2770655.1428571427</v>
      </c>
      <c r="N146" s="35">
        <f>N142*$F$3</f>
        <v>3309430.2631578953</v>
      </c>
      <c r="O146" s="35">
        <f>O142*$F$3</f>
        <v>4393298.6852459023</v>
      </c>
      <c r="P146" s="39">
        <f>SUM(D146:O146)</f>
        <v>39105827.957504228</v>
      </c>
      <c r="S146" s="423"/>
      <c r="Y146" s="40" t="s">
        <v>21</v>
      </c>
      <c r="Z146" s="49">
        <v>7.06</v>
      </c>
      <c r="AA146" s="35">
        <f>AA142*$AC$3</f>
        <v>3703694.6064150315</v>
      </c>
      <c r="AB146" s="35">
        <f>AB142*$AC$3</f>
        <v>2644113.5047130049</v>
      </c>
      <c r="AC146" s="35">
        <f>AC142*$AC$3</f>
        <v>4034098.540666068</v>
      </c>
      <c r="AD146" s="35">
        <f>AD142*$AC$3</f>
        <v>4003934.67980948</v>
      </c>
      <c r="AE146" s="35">
        <f>AE142*$AC$3</f>
        <v>3366997.2638925463</v>
      </c>
      <c r="AF146" s="35">
        <f>AF142*$AC$3</f>
        <v>3021837.1943383785</v>
      </c>
      <c r="AG146" s="35">
        <f>AG142*$AC$3</f>
        <v>3538683.3486310719</v>
      </c>
      <c r="AH146" s="35">
        <f>AH142*$AC$3</f>
        <v>3413188.6556626586</v>
      </c>
      <c r="AI146" s="35">
        <f>AI142*$AC$3</f>
        <v>3501677.7901460533</v>
      </c>
      <c r="AJ146" s="35">
        <f>AJ142*$AC$3</f>
        <v>3021837.1943383785</v>
      </c>
      <c r="AK146" s="35">
        <f>AK142*$AC$3</f>
        <v>3609460.3530171704</v>
      </c>
      <c r="AL146" s="35">
        <f>AL142*$AC$3</f>
        <v>4791588.0991160097</v>
      </c>
      <c r="AM146" s="39">
        <f>SUM(AA146:AL146)</f>
        <v>42651111.230745859</v>
      </c>
      <c r="AP146" s="423"/>
    </row>
    <row r="147" spans="1:42">
      <c r="A147" s="427" t="s">
        <v>224</v>
      </c>
      <c r="B147" s="40" t="s">
        <v>20</v>
      </c>
      <c r="C147" s="49">
        <v>3898120</v>
      </c>
      <c r="D147" s="35"/>
      <c r="E147" s="35"/>
      <c r="F147" s="35"/>
      <c r="G147" s="35"/>
      <c r="H147" s="35"/>
      <c r="I147" s="35"/>
      <c r="J147" s="30"/>
      <c r="K147" s="30"/>
      <c r="L147" s="30"/>
      <c r="M147" s="30"/>
      <c r="N147" s="30"/>
      <c r="O147" s="30"/>
      <c r="P147" s="39"/>
      <c r="S147" s="423"/>
      <c r="Y147" s="40" t="s">
        <v>20</v>
      </c>
      <c r="Z147" s="49">
        <v>3898120</v>
      </c>
      <c r="AA147" s="35"/>
      <c r="AB147" s="35"/>
      <c r="AC147" s="35"/>
      <c r="AD147" s="35"/>
      <c r="AE147" s="35"/>
      <c r="AF147" s="35"/>
      <c r="AG147" s="30"/>
      <c r="AH147" s="30"/>
      <c r="AI147" s="30"/>
      <c r="AJ147" s="30"/>
      <c r="AK147" s="30"/>
      <c r="AL147" s="30"/>
      <c r="AM147" s="39"/>
      <c r="AP147" s="423"/>
    </row>
    <row r="148" spans="1:42">
      <c r="A148" s="427"/>
      <c r="B148" s="40" t="s">
        <v>21</v>
      </c>
      <c r="C148" s="49">
        <v>7.46</v>
      </c>
      <c r="D148" s="35"/>
      <c r="E148" s="35"/>
      <c r="F148" s="35"/>
      <c r="G148" s="35"/>
      <c r="H148" s="35"/>
      <c r="I148" s="35"/>
      <c r="J148" s="30"/>
      <c r="K148" s="30"/>
      <c r="L148" s="30"/>
      <c r="M148" s="30"/>
      <c r="N148" s="30"/>
      <c r="O148" s="30"/>
      <c r="P148" s="39"/>
      <c r="S148" s="423"/>
      <c r="Y148" s="40" t="s">
        <v>21</v>
      </c>
      <c r="Z148" s="49">
        <v>7.46</v>
      </c>
      <c r="AA148" s="35"/>
      <c r="AB148" s="35"/>
      <c r="AC148" s="35"/>
      <c r="AD148" s="35"/>
      <c r="AE148" s="35"/>
      <c r="AF148" s="35"/>
      <c r="AG148" s="30"/>
      <c r="AH148" s="30"/>
      <c r="AI148" s="30"/>
      <c r="AJ148" s="30"/>
      <c r="AK148" s="30"/>
      <c r="AL148" s="30"/>
      <c r="AM148" s="39"/>
      <c r="AP148" s="423"/>
    </row>
    <row r="149" spans="1:42">
      <c r="A149" s="427" t="s">
        <v>229</v>
      </c>
      <c r="B149" s="40" t="s">
        <v>20</v>
      </c>
      <c r="C149" s="49">
        <v>4239050</v>
      </c>
      <c r="D149" s="35"/>
      <c r="E149" s="35"/>
      <c r="F149" s="35"/>
      <c r="G149" s="35"/>
      <c r="H149" s="35"/>
      <c r="I149" s="35"/>
      <c r="J149" s="30"/>
      <c r="K149" s="30"/>
      <c r="L149" s="30"/>
      <c r="M149" s="30"/>
      <c r="N149" s="30"/>
      <c r="O149" s="30"/>
      <c r="P149" s="39"/>
      <c r="S149" s="423"/>
      <c r="Y149" s="40" t="s">
        <v>20</v>
      </c>
      <c r="Z149" s="49">
        <v>4239050</v>
      </c>
      <c r="AA149" s="35"/>
      <c r="AB149" s="35"/>
      <c r="AC149" s="35"/>
      <c r="AD149" s="35"/>
      <c r="AE149" s="35"/>
      <c r="AF149" s="35"/>
      <c r="AG149" s="30"/>
      <c r="AH149" s="30"/>
      <c r="AI149" s="30"/>
      <c r="AJ149" s="30"/>
      <c r="AK149" s="30"/>
      <c r="AL149" s="30"/>
      <c r="AM149" s="39"/>
      <c r="AP149" s="423"/>
    </row>
    <row r="150" spans="1:42">
      <c r="A150" s="427"/>
      <c r="B150" s="40" t="s">
        <v>21</v>
      </c>
      <c r="C150" s="49">
        <v>7.46</v>
      </c>
      <c r="D150" s="35"/>
      <c r="E150" s="35"/>
      <c r="F150" s="35"/>
      <c r="G150" s="35"/>
      <c r="H150" s="35"/>
      <c r="I150" s="35"/>
      <c r="J150" s="30"/>
      <c r="K150" s="30"/>
      <c r="L150" s="30"/>
      <c r="M150" s="30"/>
      <c r="N150" s="30"/>
      <c r="O150" s="30"/>
      <c r="P150" s="39"/>
      <c r="S150" s="423"/>
      <c r="Y150" s="40" t="s">
        <v>21</v>
      </c>
      <c r="Z150" s="49">
        <v>7.46</v>
      </c>
      <c r="AA150" s="35"/>
      <c r="AB150" s="35"/>
      <c r="AC150" s="35"/>
      <c r="AD150" s="35"/>
      <c r="AE150" s="35"/>
      <c r="AF150" s="35"/>
      <c r="AG150" s="30"/>
      <c r="AH150" s="30"/>
      <c r="AI150" s="30"/>
      <c r="AJ150" s="30"/>
      <c r="AK150" s="30"/>
      <c r="AL150" s="30"/>
      <c r="AM150" s="39"/>
      <c r="AP150" s="423"/>
    </row>
    <row r="151" spans="1:42">
      <c r="A151" s="427" t="s">
        <v>228</v>
      </c>
      <c r="B151" s="40" t="s">
        <v>20</v>
      </c>
      <c r="C151" s="49">
        <v>4371600</v>
      </c>
      <c r="D151" s="35"/>
      <c r="E151" s="35"/>
      <c r="F151" s="35"/>
      <c r="G151" s="35"/>
      <c r="H151" s="35"/>
      <c r="I151" s="35"/>
      <c r="J151" s="30"/>
      <c r="K151" s="30"/>
      <c r="L151" s="30"/>
      <c r="M151" s="30"/>
      <c r="N151" s="30"/>
      <c r="O151" s="30"/>
      <c r="P151" s="39"/>
      <c r="S151" s="423"/>
      <c r="Y151" s="40" t="s">
        <v>20</v>
      </c>
      <c r="Z151" s="49">
        <v>4371600</v>
      </c>
      <c r="AA151" s="35"/>
      <c r="AB151" s="35"/>
      <c r="AC151" s="35"/>
      <c r="AD151" s="35"/>
      <c r="AE151" s="35"/>
      <c r="AF151" s="35"/>
      <c r="AG151" s="30"/>
      <c r="AH151" s="30"/>
      <c r="AI151" s="30"/>
      <c r="AJ151" s="30"/>
      <c r="AK151" s="30"/>
      <c r="AL151" s="30"/>
      <c r="AM151" s="39"/>
      <c r="AP151" s="423"/>
    </row>
    <row r="152" spans="1:42">
      <c r="A152" s="427"/>
      <c r="B152" s="40" t="s">
        <v>21</v>
      </c>
      <c r="C152" s="49">
        <v>5.97</v>
      </c>
      <c r="D152" s="35"/>
      <c r="E152" s="35"/>
      <c r="F152" s="35"/>
      <c r="G152" s="35"/>
      <c r="H152" s="35"/>
      <c r="I152" s="35"/>
      <c r="J152" s="30"/>
      <c r="K152" s="30"/>
      <c r="L152" s="30"/>
      <c r="M152" s="30"/>
      <c r="N152" s="30"/>
      <c r="O152" s="30"/>
      <c r="P152" s="39"/>
      <c r="S152" s="423"/>
      <c r="Y152" s="40" t="s">
        <v>21</v>
      </c>
      <c r="Z152" s="49">
        <v>5.97</v>
      </c>
      <c r="AA152" s="35"/>
      <c r="AB152" s="35"/>
      <c r="AC152" s="35"/>
      <c r="AD152" s="35"/>
      <c r="AE152" s="35"/>
      <c r="AF152" s="35"/>
      <c r="AG152" s="30"/>
      <c r="AH152" s="30"/>
      <c r="AI152" s="30"/>
      <c r="AJ152" s="30"/>
      <c r="AK152" s="30"/>
      <c r="AL152" s="30"/>
      <c r="AM152" s="39"/>
      <c r="AP152" s="423"/>
    </row>
    <row r="153" spans="1:42">
      <c r="A153" s="427" t="s">
        <v>225</v>
      </c>
      <c r="B153" s="40" t="s">
        <v>20</v>
      </c>
      <c r="C153" s="49">
        <v>5120900</v>
      </c>
      <c r="D153" s="35"/>
      <c r="E153" s="35"/>
      <c r="F153" s="35"/>
      <c r="G153" s="35"/>
      <c r="H153" s="35"/>
      <c r="I153" s="35"/>
      <c r="J153" s="30"/>
      <c r="K153" s="30"/>
      <c r="L153" s="30"/>
      <c r="M153" s="30"/>
      <c r="N153" s="30"/>
      <c r="O153" s="30"/>
      <c r="P153" s="39"/>
      <c r="S153" s="423"/>
      <c r="Y153" s="40" t="s">
        <v>20</v>
      </c>
      <c r="Z153" s="49">
        <v>5120900</v>
      </c>
      <c r="AA153" s="35"/>
      <c r="AB153" s="35"/>
      <c r="AC153" s="35"/>
      <c r="AD153" s="35"/>
      <c r="AE153" s="35"/>
      <c r="AF153" s="35"/>
      <c r="AG153" s="30"/>
      <c r="AH153" s="30"/>
      <c r="AI153" s="30"/>
      <c r="AJ153" s="30"/>
      <c r="AK153" s="30"/>
      <c r="AL153" s="30"/>
      <c r="AM153" s="39"/>
      <c r="AP153" s="423"/>
    </row>
    <row r="154" spans="1:42">
      <c r="A154" s="427"/>
      <c r="B154" s="40" t="s">
        <v>21</v>
      </c>
      <c r="C154" s="49">
        <v>5.97</v>
      </c>
      <c r="D154" s="35"/>
      <c r="E154" s="35"/>
      <c r="F154" s="35"/>
      <c r="G154" s="35"/>
      <c r="H154" s="35"/>
      <c r="I154" s="35"/>
      <c r="J154" s="30"/>
      <c r="K154" s="30"/>
      <c r="L154" s="30"/>
      <c r="M154" s="30"/>
      <c r="N154" s="30"/>
      <c r="O154" s="30"/>
      <c r="P154" s="39"/>
      <c r="S154" s="423"/>
      <c r="Y154" s="40" t="s">
        <v>21</v>
      </c>
      <c r="Z154" s="49">
        <v>5.97</v>
      </c>
      <c r="AA154" s="35"/>
      <c r="AB154" s="35"/>
      <c r="AC154" s="35"/>
      <c r="AD154" s="35"/>
      <c r="AE154" s="35"/>
      <c r="AF154" s="35"/>
      <c r="AG154" s="30"/>
      <c r="AH154" s="30"/>
      <c r="AI154" s="30"/>
      <c r="AJ154" s="30"/>
      <c r="AK154" s="30"/>
      <c r="AL154" s="30"/>
      <c r="AM154" s="39"/>
      <c r="AP154" s="423"/>
    </row>
    <row r="155" spans="1:42">
      <c r="A155" s="427" t="s">
        <v>227</v>
      </c>
      <c r="B155" s="40" t="s">
        <v>20</v>
      </c>
      <c r="C155" s="49">
        <v>4937500</v>
      </c>
      <c r="D155" s="35"/>
      <c r="E155" s="35"/>
      <c r="F155" s="35"/>
      <c r="G155" s="35"/>
      <c r="H155" s="35"/>
      <c r="I155" s="35"/>
      <c r="J155" s="30"/>
      <c r="K155" s="30"/>
      <c r="L155" s="30"/>
      <c r="M155" s="30"/>
      <c r="N155" s="30"/>
      <c r="O155" s="30"/>
      <c r="P155" s="39"/>
      <c r="S155" s="423"/>
      <c r="Y155" s="40" t="s">
        <v>20</v>
      </c>
      <c r="Z155" s="49">
        <v>4937500</v>
      </c>
      <c r="AA155" s="35"/>
      <c r="AB155" s="35"/>
      <c r="AC155" s="35"/>
      <c r="AD155" s="35"/>
      <c r="AE155" s="35"/>
      <c r="AF155" s="35"/>
      <c r="AG155" s="30"/>
      <c r="AH155" s="30"/>
      <c r="AI155" s="30"/>
      <c r="AJ155" s="30"/>
      <c r="AK155" s="30"/>
      <c r="AL155" s="30"/>
      <c r="AM155" s="39"/>
      <c r="AP155" s="423"/>
    </row>
    <row r="156" spans="1:42">
      <c r="A156" s="427"/>
      <c r="B156" s="40" t="s">
        <v>21</v>
      </c>
      <c r="C156" s="49">
        <v>5.97</v>
      </c>
      <c r="D156" s="35"/>
      <c r="E156" s="35"/>
      <c r="F156" s="35"/>
      <c r="G156" s="35"/>
      <c r="H156" s="35"/>
      <c r="I156" s="35"/>
      <c r="J156" s="30"/>
      <c r="K156" s="30"/>
      <c r="L156" s="30"/>
      <c r="M156" s="30"/>
      <c r="N156" s="30"/>
      <c r="O156" s="30"/>
      <c r="P156" s="39"/>
      <c r="S156" s="423"/>
      <c r="Y156" s="40" t="s">
        <v>21</v>
      </c>
      <c r="Z156" s="49">
        <v>5.97</v>
      </c>
      <c r="AA156" s="35"/>
      <c r="AB156" s="35"/>
      <c r="AC156" s="35"/>
      <c r="AD156" s="35"/>
      <c r="AE156" s="35"/>
      <c r="AF156" s="35"/>
      <c r="AG156" s="30"/>
      <c r="AH156" s="30"/>
      <c r="AI156" s="30"/>
      <c r="AJ156" s="30"/>
      <c r="AK156" s="30"/>
      <c r="AL156" s="30"/>
      <c r="AM156" s="39"/>
      <c r="AP156" s="423"/>
    </row>
    <row r="157" spans="1:42">
      <c r="A157" s="427" t="s">
        <v>226</v>
      </c>
      <c r="B157" s="40" t="s">
        <v>20</v>
      </c>
      <c r="C157" s="49">
        <v>6248800</v>
      </c>
      <c r="D157" s="35"/>
      <c r="E157" s="35"/>
      <c r="F157" s="35"/>
      <c r="G157" s="35"/>
      <c r="H157" s="35"/>
      <c r="I157" s="35"/>
      <c r="J157" s="30"/>
      <c r="K157" s="30"/>
      <c r="L157" s="30"/>
      <c r="M157" s="30"/>
      <c r="N157" s="30"/>
      <c r="O157" s="30"/>
      <c r="P157" s="39"/>
      <c r="S157" s="423"/>
      <c r="Y157" s="40" t="s">
        <v>20</v>
      </c>
      <c r="Z157" s="49">
        <v>6248800</v>
      </c>
      <c r="AA157" s="35"/>
      <c r="AB157" s="35"/>
      <c r="AC157" s="35"/>
      <c r="AD157" s="35"/>
      <c r="AE157" s="35"/>
      <c r="AF157" s="35"/>
      <c r="AG157" s="30"/>
      <c r="AH157" s="30"/>
      <c r="AI157" s="30"/>
      <c r="AJ157" s="30"/>
      <c r="AK157" s="30"/>
      <c r="AL157" s="30"/>
      <c r="AM157" s="39"/>
      <c r="AP157" s="423"/>
    </row>
    <row r="158" spans="1:42">
      <c r="A158" s="427"/>
      <c r="B158" s="40" t="s">
        <v>21</v>
      </c>
      <c r="C158" s="49">
        <v>5.97</v>
      </c>
      <c r="D158" s="35"/>
      <c r="E158" s="35"/>
      <c r="F158" s="35"/>
      <c r="G158" s="35"/>
      <c r="H158" s="35"/>
      <c r="I158" s="35"/>
      <c r="J158" s="30"/>
      <c r="K158" s="30"/>
      <c r="L158" s="30"/>
      <c r="M158" s="30"/>
      <c r="N158" s="30"/>
      <c r="O158" s="30"/>
      <c r="P158" s="39"/>
      <c r="S158" s="423"/>
      <c r="Y158" s="40" t="s">
        <v>21</v>
      </c>
      <c r="Z158" s="49">
        <v>5.97</v>
      </c>
      <c r="AA158" s="35"/>
      <c r="AB158" s="35"/>
      <c r="AC158" s="35"/>
      <c r="AD158" s="35"/>
      <c r="AE158" s="35"/>
      <c r="AF158" s="35"/>
      <c r="AG158" s="30"/>
      <c r="AH158" s="30"/>
      <c r="AI158" s="30"/>
      <c r="AJ158" s="30"/>
      <c r="AK158" s="30"/>
      <c r="AL158" s="30"/>
      <c r="AM158" s="39"/>
      <c r="AP158" s="423"/>
    </row>
    <row r="159" spans="1:42">
      <c r="C159" t="s">
        <v>67</v>
      </c>
      <c r="D159" s="35">
        <f>D145*$C$145</f>
        <v>1364891962.5</v>
      </c>
      <c r="E159" s="35">
        <f>E145*$C$145</f>
        <v>1042281135</v>
      </c>
      <c r="F159" s="35">
        <f>F145*$C$145</f>
        <v>1414524397.5</v>
      </c>
      <c r="G159" s="35">
        <f>G145*$C$145</f>
        <v>1513789267.5</v>
      </c>
      <c r="H159" s="35">
        <f>H145*$C$145</f>
        <v>1240810875</v>
      </c>
      <c r="I159" s="35">
        <f>I145*$C$145</f>
        <v>1191178440.0000002</v>
      </c>
      <c r="J159" s="35">
        <f>J145*$C$145</f>
        <v>1240810875</v>
      </c>
      <c r="K159" s="35">
        <f>K145*$C$145</f>
        <v>1290443310</v>
      </c>
      <c r="L159" s="35">
        <f>L145*$C$145</f>
        <v>1290443310</v>
      </c>
      <c r="M159" s="35">
        <f>M145*$C$145</f>
        <v>1191178440.0000002</v>
      </c>
      <c r="N159" s="35">
        <f>N145*$C$145</f>
        <v>1265627092.5</v>
      </c>
      <c r="O159" s="35">
        <f>O145*$C$145</f>
        <v>1811583877.5000002</v>
      </c>
      <c r="P159" s="39">
        <f>SUM(D159:O159)</f>
        <v>15857562982.5</v>
      </c>
      <c r="Q159" s="402">
        <v>18067231917.938961</v>
      </c>
      <c r="R159" s="54">
        <f>P159/Q159</f>
        <v>0.87769742783647009</v>
      </c>
      <c r="S159" s="424"/>
      <c r="Z159" t="s">
        <v>67</v>
      </c>
      <c r="AA159" s="35">
        <f>AA145*$C$145</f>
        <v>1417743177.9281096</v>
      </c>
      <c r="AB159" s="35">
        <f>AB145*$C$145</f>
        <v>1082640244.9632838</v>
      </c>
      <c r="AC159" s="35">
        <f>AC145*$C$145</f>
        <v>1469297475.3073134</v>
      </c>
      <c r="AD159" s="35">
        <f>AD145*$C$145</f>
        <v>1572406070.0657218</v>
      </c>
      <c r="AE159" s="35">
        <f>AE145*$C$145</f>
        <v>1288857434.4800997</v>
      </c>
      <c r="AF159" s="35">
        <f>AF145*$C$145</f>
        <v>1237303137.1008956</v>
      </c>
      <c r="AG159" s="35">
        <f>AG145*$C$145</f>
        <v>1288857434.4800997</v>
      </c>
      <c r="AH159" s="35">
        <f>AH145*$C$145</f>
        <v>1340411731.8593037</v>
      </c>
      <c r="AI159" s="35">
        <f>AI145*$C$145</f>
        <v>1340411731.8593037</v>
      </c>
      <c r="AJ159" s="35">
        <f>AJ145*$C$145</f>
        <v>1237303137.1008956</v>
      </c>
      <c r="AK159" s="35">
        <f>AK145*$C$145</f>
        <v>1314634583.1697016</v>
      </c>
      <c r="AL159" s="35">
        <f>AL145*$C$145</f>
        <v>1881731854.3409455</v>
      </c>
      <c r="AM159" s="39">
        <f>SUM(AA159:AL159)</f>
        <v>16471598012.655674</v>
      </c>
      <c r="AN159" s="402"/>
      <c r="AO159" s="54"/>
      <c r="AP159" s="424"/>
    </row>
    <row r="160" spans="1:42">
      <c r="D160" s="35">
        <f>D146*$C$146</f>
        <v>23974595.099999998</v>
      </c>
      <c r="E160" s="35">
        <f>E146*$C$146</f>
        <v>17115722.145</v>
      </c>
      <c r="F160" s="35">
        <f>F146*$C$146</f>
        <v>26113351.5</v>
      </c>
      <c r="G160" s="35">
        <f>G146*$C$146</f>
        <v>25918054.956</v>
      </c>
      <c r="H160" s="35">
        <f>H146*$C$146</f>
        <v>21795086.454545457</v>
      </c>
      <c r="I160" s="35">
        <f>I146*$C$146</f>
        <v>19560825.308571428</v>
      </c>
      <c r="J160" s="35">
        <f>J146*$C$146</f>
        <v>22906448.684210528</v>
      </c>
      <c r="K160" s="35">
        <f>K146*$C$146</f>
        <v>22094079.63462295</v>
      </c>
      <c r="L160" s="35">
        <f>L146*$C$146</f>
        <v>22666889.91272727</v>
      </c>
      <c r="M160" s="35">
        <f>M146*$C$146</f>
        <v>19560825.308571428</v>
      </c>
      <c r="N160" s="35">
        <f>N146*$C$146</f>
        <v>23364577.657894738</v>
      </c>
      <c r="O160" s="35">
        <f>O146*$C$146</f>
        <v>31016688.717836067</v>
      </c>
      <c r="P160" s="39">
        <f>SUM(D160:O160)</f>
        <v>276087145.37997985</v>
      </c>
      <c r="Q160" s="402">
        <v>281289370.66193849</v>
      </c>
      <c r="R160" s="54">
        <f>P160/Q160</f>
        <v>0.98150578790191534</v>
      </c>
      <c r="S160" s="424"/>
      <c r="AA160" s="35">
        <f>AA146*$C$146</f>
        <v>26148083.921290122</v>
      </c>
      <c r="AB160" s="35">
        <f>AB146*$C$146</f>
        <v>18667441.343273815</v>
      </c>
      <c r="AC160" s="35">
        <f>AC146*$C$146</f>
        <v>28480735.697102439</v>
      </c>
      <c r="AD160" s="35">
        <f>AD146*$C$146</f>
        <v>28267778.839454927</v>
      </c>
      <c r="AE160" s="35">
        <f>AE146*$C$146</f>
        <v>23771000.683081377</v>
      </c>
      <c r="AF160" s="35">
        <f>AF146*$C$146</f>
        <v>21334170.592028949</v>
      </c>
      <c r="AG160" s="35">
        <f>AG146*$C$146</f>
        <v>24983104.441335365</v>
      </c>
      <c r="AH160" s="35">
        <f>AH146*$C$146</f>
        <v>24097111.908978369</v>
      </c>
      <c r="AI160" s="35">
        <f>AI146*$C$146</f>
        <v>24721845.198431134</v>
      </c>
      <c r="AJ160" s="35">
        <f>AJ146*$C$146</f>
        <v>21334170.592028949</v>
      </c>
      <c r="AK160" s="35">
        <f>AK146*$C$146</f>
        <v>25482790.092301223</v>
      </c>
      <c r="AL160" s="35">
        <f>AL146*$C$146</f>
        <v>33828611.97975903</v>
      </c>
      <c r="AM160" s="39">
        <f>SUM(AA160:AL160)</f>
        <v>301116845.28906566</v>
      </c>
      <c r="AN160" s="402"/>
      <c r="AO160" s="54"/>
      <c r="AP160" s="424"/>
    </row>
    <row r="161" spans="1:43">
      <c r="A161" s="44"/>
      <c r="B161" s="44"/>
      <c r="C161" s="44"/>
      <c r="D161" s="50"/>
      <c r="E161" s="50"/>
      <c r="F161" s="50"/>
      <c r="G161" s="50"/>
      <c r="H161" s="50"/>
      <c r="I161" s="50"/>
      <c r="J161" s="434"/>
      <c r="K161" s="434"/>
      <c r="L161" s="434"/>
      <c r="M161" s="434"/>
      <c r="N161" s="434"/>
      <c r="O161" s="434"/>
      <c r="P161" s="48">
        <f>P159+P160</f>
        <v>16133650127.87998</v>
      </c>
      <c r="Q161" s="44"/>
      <c r="R161" s="44"/>
      <c r="S161" s="424">
        <f>P161/$P$277</f>
        <v>7.5502961326998158E-2</v>
      </c>
      <c r="T161" s="430">
        <f>$P$279*S161</f>
        <v>0</v>
      </c>
      <c r="Y161" s="44"/>
      <c r="Z161" s="44"/>
      <c r="AA161" s="50"/>
      <c r="AB161" s="50"/>
      <c r="AC161" s="50"/>
      <c r="AD161" s="50"/>
      <c r="AE161" s="50"/>
      <c r="AF161" s="50"/>
      <c r="AG161" s="434"/>
      <c r="AH161" s="434"/>
      <c r="AI161" s="434"/>
      <c r="AJ161" s="434"/>
      <c r="AK161" s="434"/>
      <c r="AL161" s="434"/>
      <c r="AM161" s="48">
        <f>AM159+AM160</f>
        <v>16772714857.94474</v>
      </c>
      <c r="AN161" s="44"/>
      <c r="AO161" s="44"/>
      <c r="AP161" s="424">
        <f>AM161/$P$277</f>
        <v>7.849368439444257E-2</v>
      </c>
      <c r="AQ161" s="430">
        <f>$P$279*AP161</f>
        <v>0</v>
      </c>
    </row>
    <row r="162" spans="1:43">
      <c r="A162" s="44"/>
      <c r="B162" s="44"/>
      <c r="C162" s="44"/>
      <c r="D162" s="50"/>
      <c r="E162" s="50"/>
      <c r="F162" s="50"/>
      <c r="G162" s="50"/>
      <c r="H162" s="50"/>
      <c r="I162" s="50"/>
      <c r="J162" s="434"/>
      <c r="K162" s="434"/>
      <c r="L162" s="434"/>
      <c r="M162" s="434"/>
      <c r="N162" s="434"/>
      <c r="O162" s="434"/>
      <c r="P162" s="48"/>
      <c r="Q162" s="44"/>
      <c r="R162" s="44"/>
      <c r="S162" s="423"/>
      <c r="Y162" s="44"/>
      <c r="Z162" s="44"/>
      <c r="AA162" s="50"/>
      <c r="AB162" s="50"/>
      <c r="AC162" s="50"/>
      <c r="AD162" s="50"/>
      <c r="AE162" s="50"/>
      <c r="AF162" s="50"/>
      <c r="AG162" s="434"/>
      <c r="AH162" s="434"/>
      <c r="AI162" s="434"/>
      <c r="AJ162" s="434"/>
      <c r="AK162" s="434"/>
      <c r="AL162" s="434"/>
      <c r="AM162" s="48"/>
      <c r="AN162" s="44"/>
      <c r="AO162" s="44"/>
      <c r="AP162" s="423"/>
    </row>
    <row r="163" spans="1:43">
      <c r="B163" t="s">
        <v>214</v>
      </c>
      <c r="C163">
        <v>6.5</v>
      </c>
      <c r="D163" s="429">
        <f>'[1]PANDU PELSUS'!C53</f>
        <v>46</v>
      </c>
      <c r="E163" s="429">
        <f>'[1]PANDU PELSUS'!D53</f>
        <v>53</v>
      </c>
      <c r="F163" s="429">
        <f>'[1]PANDU PELSUS'!E53</f>
        <v>56</v>
      </c>
      <c r="G163" s="429">
        <f>'[1]PANDU PELSUS'!F53</f>
        <v>47</v>
      </c>
      <c r="H163" s="429">
        <f>'[1]PANDU PELSUS'!G53</f>
        <v>46</v>
      </c>
      <c r="I163" s="429">
        <f>'[1]PANDU PELSUS'!H53</f>
        <v>57</v>
      </c>
      <c r="J163" s="429">
        <f>'[1]PANDU PELSUS'!I53</f>
        <v>58</v>
      </c>
      <c r="K163" s="429">
        <f>'[1]PANDU PELSUS'!J53</f>
        <v>70</v>
      </c>
      <c r="L163" s="429">
        <f>'[1]PANDU PELSUS'!K53</f>
        <v>69</v>
      </c>
      <c r="M163" s="429">
        <f>'[1]PANDU PELSUS'!L53</f>
        <v>74</v>
      </c>
      <c r="N163" s="429">
        <f>'[1]PANDU PELSUS'!M53</f>
        <v>58</v>
      </c>
      <c r="O163" s="429">
        <f>'[1]PANDU PELSUS'!N53</f>
        <v>72</v>
      </c>
      <c r="P163" s="39">
        <f>SUM(D163:O163)</f>
        <v>706</v>
      </c>
      <c r="Q163">
        <f>P164/P163</f>
        <v>7280.8111261244649</v>
      </c>
      <c r="S163" s="423"/>
      <c r="Y163" t="s">
        <v>214</v>
      </c>
      <c r="Z163">
        <v>6.5</v>
      </c>
      <c r="AA163" s="428">
        <f>'[1]PANDU PELSUS'!U53</f>
        <v>46</v>
      </c>
      <c r="AB163" s="428">
        <f>'[1]PANDU PELSUS'!V53</f>
        <v>53</v>
      </c>
      <c r="AC163" s="428">
        <f>'[1]PANDU PELSUS'!W53</f>
        <v>56</v>
      </c>
      <c r="AD163" s="428">
        <f>'[1]PANDU PELSUS'!X53</f>
        <v>47</v>
      </c>
      <c r="AE163" s="428">
        <f>'[1]PANDU PELSUS'!Y53</f>
        <v>46</v>
      </c>
      <c r="AF163" s="428">
        <f>'[1]PANDU PELSUS'!Z53</f>
        <v>57</v>
      </c>
      <c r="AG163" s="428">
        <f>'[1]PANDU PELSUS'!AA53</f>
        <v>58</v>
      </c>
      <c r="AH163" s="428">
        <f>'[1]PANDU PELSUS'!AB53</f>
        <v>70</v>
      </c>
      <c r="AI163" s="428">
        <f>'[1]PANDU PELSUS'!AC53</f>
        <v>69</v>
      </c>
      <c r="AJ163" s="428">
        <f>'[1]PANDU PELSUS'!AD53</f>
        <v>74</v>
      </c>
      <c r="AK163" s="428">
        <f>'[1]PANDU PELSUS'!AE53</f>
        <v>58</v>
      </c>
      <c r="AL163" s="428">
        <f>'[1]PANDU PELSUS'!AF53</f>
        <v>72</v>
      </c>
      <c r="AM163" s="39">
        <f>SUM(AA163:AL163)</f>
        <v>706</v>
      </c>
      <c r="AP163" s="423"/>
    </row>
    <row r="164" spans="1:43">
      <c r="D164" s="429">
        <f>'[1]PANDU PELSUS'!C54</f>
        <v>313486</v>
      </c>
      <c r="E164" s="429">
        <f>'[1]PANDU PELSUS'!D54</f>
        <v>392102</v>
      </c>
      <c r="F164" s="429">
        <f>'[1]PANDU PELSUS'!E54</f>
        <v>433192</v>
      </c>
      <c r="G164" s="429">
        <f>'[1]PANDU PELSUS'!F54</f>
        <v>336031</v>
      </c>
      <c r="H164" s="429">
        <f>'[1]PANDU PELSUS'!G54</f>
        <v>313486</v>
      </c>
      <c r="I164" s="429">
        <f>'[1]PANDU PELSUS'!H54</f>
        <v>421694.60377358488</v>
      </c>
      <c r="J164" s="429">
        <f>'[1]PANDU PELSUS'!I54</f>
        <v>448663.14285714284</v>
      </c>
      <c r="K164" s="429">
        <f>'[1]PANDU PELSUS'!J54</f>
        <v>500471.70212765952</v>
      </c>
      <c r="L164" s="429">
        <f>'[1]PANDU PELSUS'!K54</f>
        <v>470229</v>
      </c>
      <c r="M164" s="429">
        <f>'[1]PANDU PELSUS'!L54</f>
        <v>547463.16981132072</v>
      </c>
      <c r="N164" s="429">
        <f>'[1]PANDU PELSUS'!M54</f>
        <v>448663.14285714284</v>
      </c>
      <c r="O164" s="429">
        <f>'[1]PANDU PELSUS'!N54</f>
        <v>514770.89361702127</v>
      </c>
      <c r="P164" s="39">
        <f>SUM(D164:O164)</f>
        <v>5140252.6550438721</v>
      </c>
      <c r="S164" s="423"/>
      <c r="AA164" s="428">
        <f>'[1]PANDU PELSUS'!U54</f>
        <v>329161</v>
      </c>
      <c r="AB164" s="428">
        <f>'[1]PANDU PELSUS'!V54</f>
        <v>411708</v>
      </c>
      <c r="AC164" s="428">
        <f>'[1]PANDU PELSUS'!W54</f>
        <v>454852</v>
      </c>
      <c r="AD164" s="428">
        <f>'[1]PANDU PELSUS'!X54</f>
        <v>352833</v>
      </c>
      <c r="AE164" s="428">
        <f>'[1]PANDU PELSUS'!Y54</f>
        <v>329161</v>
      </c>
      <c r="AF164" s="428">
        <f>'[1]PANDU PELSUS'!Z54</f>
        <v>442780</v>
      </c>
      <c r="AG164" s="428">
        <f>'[1]PANDU PELSUS'!AA54</f>
        <v>471097</v>
      </c>
      <c r="AH164" s="428">
        <f>'[1]PANDU PELSUS'!AB54</f>
        <v>525496</v>
      </c>
      <c r="AI164" s="428">
        <f>'[1]PANDU PELSUS'!AC54</f>
        <v>493741</v>
      </c>
      <c r="AJ164" s="428">
        <f>'[1]PANDU PELSUS'!AD54</f>
        <v>574837</v>
      </c>
      <c r="AK164" s="428">
        <f>'[1]PANDU PELSUS'!AE54</f>
        <v>471097</v>
      </c>
      <c r="AL164" s="428">
        <f>'[1]PANDU PELSUS'!AF54</f>
        <v>540510</v>
      </c>
      <c r="AM164" s="39">
        <f>SUM(AA164:AL164)</f>
        <v>5397273</v>
      </c>
      <c r="AP164" s="423"/>
    </row>
    <row r="165" spans="1:43">
      <c r="A165" s="427" t="s">
        <v>222</v>
      </c>
      <c r="B165" s="40" t="s">
        <v>20</v>
      </c>
      <c r="C165" s="49">
        <v>2102150</v>
      </c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9"/>
      <c r="S165" s="423"/>
      <c r="Y165" s="40" t="s">
        <v>20</v>
      </c>
      <c r="Z165" s="49">
        <v>2102150</v>
      </c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9"/>
      <c r="AP165" s="423"/>
    </row>
    <row r="166" spans="1:43">
      <c r="A166" s="427"/>
      <c r="B166" s="40" t="s">
        <v>21</v>
      </c>
      <c r="C166" s="49">
        <v>7.06</v>
      </c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9"/>
      <c r="S166" s="423"/>
      <c r="Y166" s="40" t="s">
        <v>21</v>
      </c>
      <c r="Z166" s="49">
        <v>7.06</v>
      </c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9"/>
      <c r="AP166" s="423"/>
    </row>
    <row r="167" spans="1:43">
      <c r="A167" s="427" t="s">
        <v>230</v>
      </c>
      <c r="B167" s="40" t="s">
        <v>20</v>
      </c>
      <c r="C167" s="49">
        <v>3243950</v>
      </c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9">
        <f>SUM(D167:O167)</f>
        <v>0</v>
      </c>
      <c r="S167" s="423"/>
      <c r="Y167" s="40" t="s">
        <v>20</v>
      </c>
      <c r="Z167" s="49">
        <v>3243950</v>
      </c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P167" s="423"/>
    </row>
    <row r="168" spans="1:43">
      <c r="A168" s="427"/>
      <c r="B168" s="40" t="s">
        <v>21</v>
      </c>
      <c r="C168" s="49">
        <v>7.06</v>
      </c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9">
        <f>SUM(D168:O168)</f>
        <v>0</v>
      </c>
      <c r="S168" s="423"/>
      <c r="Y168" s="40" t="s">
        <v>21</v>
      </c>
      <c r="Z168" s="49">
        <v>7.06</v>
      </c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P168" s="423"/>
    </row>
    <row r="169" spans="1:43">
      <c r="A169" s="427" t="s">
        <v>224</v>
      </c>
      <c r="B169" s="40" t="s">
        <v>20</v>
      </c>
      <c r="C169" s="49">
        <v>3898120</v>
      </c>
      <c r="D169" s="35">
        <f>D163*$F$3</f>
        <v>351.90000000000003</v>
      </c>
      <c r="E169" s="35">
        <f>E163*$F$3</f>
        <v>405.45000000000005</v>
      </c>
      <c r="F169" s="35">
        <f>F163*$F$3</f>
        <v>428.40000000000003</v>
      </c>
      <c r="G169" s="35">
        <f>G163*$F$3</f>
        <v>359.55</v>
      </c>
      <c r="H169" s="35">
        <f>H163*$F$3</f>
        <v>351.90000000000003</v>
      </c>
      <c r="I169" s="35">
        <f>I163*$F$3</f>
        <v>436.05</v>
      </c>
      <c r="J169" s="35">
        <f>J163*$F$3</f>
        <v>443.70000000000005</v>
      </c>
      <c r="K169" s="35">
        <f>K163*$F$3</f>
        <v>535.5</v>
      </c>
      <c r="L169" s="35">
        <f>L163*$F$3</f>
        <v>527.85</v>
      </c>
      <c r="M169" s="35">
        <f>M163*$F$3</f>
        <v>566.1</v>
      </c>
      <c r="N169" s="35">
        <f>N163*$F$3</f>
        <v>443.70000000000005</v>
      </c>
      <c r="O169" s="35">
        <f>O163*$F$3</f>
        <v>550.80000000000007</v>
      </c>
      <c r="P169" s="39"/>
      <c r="S169" s="423"/>
      <c r="Y169" s="40" t="s">
        <v>20</v>
      </c>
      <c r="Z169" s="49">
        <v>3898120</v>
      </c>
      <c r="AA169" s="35">
        <f>AA$163*$AC$3</f>
        <v>365.52623798816001</v>
      </c>
      <c r="AB169" s="35">
        <f>AB$163*$AC$3</f>
        <v>421.14979594288002</v>
      </c>
      <c r="AC169" s="35">
        <f>AC$163*$AC$3</f>
        <v>444.98846363775999</v>
      </c>
      <c r="AD169" s="35">
        <f>AD$163*$AC$3</f>
        <v>373.47246055312002</v>
      </c>
      <c r="AE169" s="35">
        <f>AE$163*$AC$3</f>
        <v>365.52623798816001</v>
      </c>
      <c r="AF169" s="35">
        <f>AF$163*$AC$3</f>
        <v>452.93468620272</v>
      </c>
      <c r="AG169" s="35">
        <f>AG$163*$AC$3</f>
        <v>460.88090876768001</v>
      </c>
      <c r="AH169" s="35">
        <f>AH$163*$AC$3</f>
        <v>556.23557954720002</v>
      </c>
      <c r="AI169" s="35">
        <f>AI$163*$AC$3</f>
        <v>548.28935698224007</v>
      </c>
      <c r="AJ169" s="35">
        <f>AJ$163*$AC$3</f>
        <v>588.02046980704006</v>
      </c>
      <c r="AK169" s="35">
        <f>AK$163*$AC$3</f>
        <v>460.88090876768001</v>
      </c>
      <c r="AL169" s="35">
        <f>AL$163*$AC$3</f>
        <v>572.12802467712004</v>
      </c>
      <c r="AM169" s="39">
        <f>SUM(AA169:AL169)</f>
        <v>5610.0331308617606</v>
      </c>
      <c r="AP169" s="423"/>
    </row>
    <row r="170" spans="1:43">
      <c r="A170" s="427"/>
      <c r="B170" s="40" t="s">
        <v>21</v>
      </c>
      <c r="C170" s="49">
        <v>7.46</v>
      </c>
      <c r="D170" s="35">
        <f>D164*$F$3</f>
        <v>2398167.9</v>
      </c>
      <c r="E170" s="35">
        <f>E164*$F$3</f>
        <v>2999580.3000000003</v>
      </c>
      <c r="F170" s="35">
        <f>F164*$F$3</f>
        <v>3313918.8000000003</v>
      </c>
      <c r="G170" s="35">
        <f>G164*$F$3</f>
        <v>2570637.15</v>
      </c>
      <c r="H170" s="35">
        <f>H164*$F$3</f>
        <v>2398167.9</v>
      </c>
      <c r="I170" s="35">
        <f>I164*$F$3</f>
        <v>3225963.7188679245</v>
      </c>
      <c r="J170" s="35">
        <f>J164*$F$3</f>
        <v>3432273.0428571431</v>
      </c>
      <c r="K170" s="35">
        <f>K164*$F$3</f>
        <v>3828608.5212765955</v>
      </c>
      <c r="L170" s="35">
        <f>L164*$F$3</f>
        <v>3597251.85</v>
      </c>
      <c r="M170" s="35">
        <f>M164*$F$3</f>
        <v>4188093.2490566038</v>
      </c>
      <c r="N170" s="35">
        <f>N164*$F$3</f>
        <v>3432273.0428571431</v>
      </c>
      <c r="O170" s="35">
        <f>O164*$F$3</f>
        <v>3937997.3361702128</v>
      </c>
      <c r="P170" s="39"/>
      <c r="S170" s="423"/>
      <c r="Y170" s="40" t="s">
        <v>21</v>
      </c>
      <c r="Z170" s="49">
        <v>7.46</v>
      </c>
      <c r="AA170" s="35">
        <f>AA$164*$AC$3</f>
        <v>2615586.5657047988</v>
      </c>
      <c r="AB170" s="35">
        <f>AB$164*$AC$3</f>
        <v>3271523.3997745519</v>
      </c>
      <c r="AC170" s="35">
        <f>AC$164*$AC$3</f>
        <v>3614355.2261171862</v>
      </c>
      <c r="AD170" s="35">
        <f>AD$164*$AC$3</f>
        <v>2803689.5462625315</v>
      </c>
      <c r="AE170" s="35">
        <f>AE$164*$AC$3</f>
        <v>2615586.5657047988</v>
      </c>
      <c r="AF170" s="35">
        <f>AF$164*$AC$3</f>
        <v>3518428.4273129888</v>
      </c>
      <c r="AG170" s="35">
        <f>AG$164*$AC$3</f>
        <v>3743441.6116849612</v>
      </c>
      <c r="AH170" s="35">
        <f>AH$164*$AC$3</f>
        <v>4175708.1729962202</v>
      </c>
      <c r="AI170" s="35">
        <f>AI$164*$AC$3</f>
        <v>3923375.8754459154</v>
      </c>
      <c r="AJ170" s="35">
        <f>AJ$164*$AC$3</f>
        <v>4567782.7405739119</v>
      </c>
      <c r="AK170" s="35">
        <f>AK$164*$AC$3</f>
        <v>3743441.6116849612</v>
      </c>
      <c r="AL170" s="35">
        <f>AL$164*$AC$3</f>
        <v>4295012.7585865296</v>
      </c>
      <c r="AM170" s="39">
        <f>SUM(AA170:AL170)</f>
        <v>42887932.501849353</v>
      </c>
      <c r="AP170" s="423"/>
    </row>
    <row r="171" spans="1:43">
      <c r="A171" s="427" t="s">
        <v>229</v>
      </c>
      <c r="B171" s="40" t="s">
        <v>20</v>
      </c>
      <c r="C171" s="49">
        <v>4239050</v>
      </c>
      <c r="D171" s="35"/>
      <c r="E171" s="35"/>
      <c r="F171" s="35"/>
      <c r="G171" s="35"/>
      <c r="H171" s="35"/>
      <c r="I171" s="35"/>
      <c r="J171" s="30"/>
      <c r="K171" s="30"/>
      <c r="L171" s="30"/>
      <c r="M171" s="30"/>
      <c r="N171" s="30"/>
      <c r="O171" s="30"/>
      <c r="P171" s="39"/>
      <c r="S171" s="423"/>
      <c r="Y171" s="40" t="s">
        <v>20</v>
      </c>
      <c r="Z171" s="49">
        <v>4239050</v>
      </c>
      <c r="AA171" s="35"/>
      <c r="AB171" s="35"/>
      <c r="AC171" s="35"/>
      <c r="AD171" s="35"/>
      <c r="AE171" s="35"/>
      <c r="AF171" s="35"/>
      <c r="AG171" s="30"/>
      <c r="AH171" s="30"/>
      <c r="AI171" s="30"/>
      <c r="AJ171" s="30"/>
      <c r="AK171" s="30"/>
      <c r="AL171" s="30"/>
      <c r="AM171" s="39"/>
      <c r="AP171" s="423"/>
    </row>
    <row r="172" spans="1:43">
      <c r="A172" s="427"/>
      <c r="B172" s="40" t="s">
        <v>21</v>
      </c>
      <c r="C172" s="49">
        <v>7.46</v>
      </c>
      <c r="D172" s="35"/>
      <c r="E172" s="35"/>
      <c r="F172" s="35"/>
      <c r="G172" s="35"/>
      <c r="H172" s="35"/>
      <c r="I172" s="35"/>
      <c r="J172" s="30"/>
      <c r="K172" s="30"/>
      <c r="L172" s="30"/>
      <c r="M172" s="30"/>
      <c r="N172" s="30"/>
      <c r="O172" s="30"/>
      <c r="P172" s="39"/>
      <c r="S172" s="423"/>
      <c r="Y172" s="40" t="s">
        <v>21</v>
      </c>
      <c r="Z172" s="49">
        <v>7.46</v>
      </c>
      <c r="AA172" s="35"/>
      <c r="AB172" s="35"/>
      <c r="AC172" s="35"/>
      <c r="AD172" s="35"/>
      <c r="AE172" s="35"/>
      <c r="AF172" s="35"/>
      <c r="AG172" s="30"/>
      <c r="AH172" s="30"/>
      <c r="AI172" s="30"/>
      <c r="AJ172" s="30"/>
      <c r="AK172" s="30"/>
      <c r="AL172" s="30"/>
      <c r="AM172" s="39"/>
      <c r="AP172" s="423"/>
    </row>
    <row r="173" spans="1:43">
      <c r="A173" s="427" t="s">
        <v>228</v>
      </c>
      <c r="B173" s="40" t="s">
        <v>20</v>
      </c>
      <c r="C173" s="49">
        <v>4371600</v>
      </c>
      <c r="D173" s="35"/>
      <c r="E173" s="35"/>
      <c r="F173" s="35"/>
      <c r="G173" s="35"/>
      <c r="H173" s="35"/>
      <c r="I173" s="35"/>
      <c r="J173" s="30"/>
      <c r="K173" s="30"/>
      <c r="L173" s="30"/>
      <c r="M173" s="30"/>
      <c r="N173" s="30"/>
      <c r="O173" s="30"/>
      <c r="P173" s="39"/>
      <c r="S173" s="423"/>
      <c r="Y173" s="40" t="s">
        <v>20</v>
      </c>
      <c r="Z173" s="49">
        <v>4371600</v>
      </c>
      <c r="AA173" s="35"/>
      <c r="AB173" s="35"/>
      <c r="AC173" s="35"/>
      <c r="AD173" s="35"/>
      <c r="AE173" s="35"/>
      <c r="AF173" s="35"/>
      <c r="AG173" s="30"/>
      <c r="AH173" s="30"/>
      <c r="AI173" s="30"/>
      <c r="AJ173" s="30"/>
      <c r="AK173" s="30"/>
      <c r="AL173" s="30"/>
      <c r="AM173" s="39"/>
      <c r="AP173" s="423"/>
    </row>
    <row r="174" spans="1:43">
      <c r="A174" s="427"/>
      <c r="B174" s="40" t="s">
        <v>21</v>
      </c>
      <c r="C174" s="49">
        <v>5.97</v>
      </c>
      <c r="D174" s="35"/>
      <c r="E174" s="35"/>
      <c r="F174" s="35"/>
      <c r="G174" s="35"/>
      <c r="H174" s="35"/>
      <c r="I174" s="35"/>
      <c r="J174" s="30"/>
      <c r="K174" s="30"/>
      <c r="L174" s="30"/>
      <c r="M174" s="30"/>
      <c r="N174" s="30"/>
      <c r="O174" s="30"/>
      <c r="P174" s="39"/>
      <c r="S174" s="423"/>
      <c r="Y174" s="40" t="s">
        <v>21</v>
      </c>
      <c r="Z174" s="49">
        <v>5.97</v>
      </c>
      <c r="AA174" s="35"/>
      <c r="AB174" s="35"/>
      <c r="AC174" s="35"/>
      <c r="AD174" s="35"/>
      <c r="AE174" s="35"/>
      <c r="AF174" s="35"/>
      <c r="AG174" s="30"/>
      <c r="AH174" s="30"/>
      <c r="AI174" s="30"/>
      <c r="AJ174" s="30"/>
      <c r="AK174" s="30"/>
      <c r="AL174" s="30"/>
      <c r="AM174" s="39"/>
      <c r="AP174" s="423"/>
    </row>
    <row r="175" spans="1:43">
      <c r="A175" s="427" t="s">
        <v>225</v>
      </c>
      <c r="B175" s="40" t="s">
        <v>20</v>
      </c>
      <c r="C175" s="49">
        <v>5120900</v>
      </c>
      <c r="D175" s="35"/>
      <c r="E175" s="35"/>
      <c r="F175" s="35"/>
      <c r="G175" s="35"/>
      <c r="H175" s="35"/>
      <c r="I175" s="35"/>
      <c r="J175" s="30"/>
      <c r="K175" s="30"/>
      <c r="L175" s="30"/>
      <c r="M175" s="30"/>
      <c r="N175" s="30"/>
      <c r="O175" s="30"/>
      <c r="P175" s="39"/>
      <c r="S175" s="423"/>
      <c r="Y175" s="40" t="s">
        <v>20</v>
      </c>
      <c r="Z175" s="49">
        <v>5120900</v>
      </c>
      <c r="AA175" s="35"/>
      <c r="AB175" s="35"/>
      <c r="AC175" s="35"/>
      <c r="AD175" s="35"/>
      <c r="AE175" s="35"/>
      <c r="AF175" s="35"/>
      <c r="AG175" s="30"/>
      <c r="AH175" s="30"/>
      <c r="AI175" s="30"/>
      <c r="AJ175" s="30"/>
      <c r="AK175" s="30"/>
      <c r="AL175" s="30"/>
      <c r="AM175" s="39"/>
      <c r="AP175" s="423"/>
    </row>
    <row r="176" spans="1:43">
      <c r="A176" s="427"/>
      <c r="B176" s="40" t="s">
        <v>21</v>
      </c>
      <c r="C176" s="49">
        <v>5.97</v>
      </c>
      <c r="D176" s="35"/>
      <c r="E176" s="35"/>
      <c r="F176" s="35"/>
      <c r="G176" s="35"/>
      <c r="H176" s="35"/>
      <c r="I176" s="35"/>
      <c r="J176" s="30"/>
      <c r="K176" s="30"/>
      <c r="L176" s="30"/>
      <c r="M176" s="30"/>
      <c r="N176" s="30"/>
      <c r="O176" s="30"/>
      <c r="P176" s="39"/>
      <c r="S176" s="423"/>
      <c r="Y176" s="40" t="s">
        <v>21</v>
      </c>
      <c r="Z176" s="49">
        <v>5.97</v>
      </c>
      <c r="AA176" s="35"/>
      <c r="AB176" s="35"/>
      <c r="AC176" s="35"/>
      <c r="AD176" s="35"/>
      <c r="AE176" s="35"/>
      <c r="AF176" s="35"/>
      <c r="AG176" s="30"/>
      <c r="AH176" s="30"/>
      <c r="AI176" s="30"/>
      <c r="AJ176" s="30"/>
      <c r="AK176" s="30"/>
      <c r="AL176" s="30"/>
      <c r="AM176" s="39"/>
      <c r="AP176" s="423"/>
    </row>
    <row r="177" spans="1:42">
      <c r="A177" s="427" t="s">
        <v>227</v>
      </c>
      <c r="B177" s="40" t="s">
        <v>20</v>
      </c>
      <c r="C177" s="49">
        <v>4937500</v>
      </c>
      <c r="D177" s="35"/>
      <c r="E177" s="35"/>
      <c r="F177" s="35"/>
      <c r="G177" s="35"/>
      <c r="H177" s="35"/>
      <c r="I177" s="35"/>
      <c r="J177" s="30"/>
      <c r="K177" s="30"/>
      <c r="L177" s="30"/>
      <c r="M177" s="30"/>
      <c r="N177" s="30"/>
      <c r="O177" s="30"/>
      <c r="P177" s="39"/>
      <c r="S177" s="423"/>
      <c r="Y177" s="40" t="s">
        <v>20</v>
      </c>
      <c r="Z177" s="49">
        <v>4937500</v>
      </c>
      <c r="AA177" s="35"/>
      <c r="AB177" s="35"/>
      <c r="AC177" s="35"/>
      <c r="AD177" s="35"/>
      <c r="AE177" s="35"/>
      <c r="AF177" s="35"/>
      <c r="AG177" s="30"/>
      <c r="AH177" s="30"/>
      <c r="AI177" s="30"/>
      <c r="AJ177" s="30"/>
      <c r="AK177" s="30"/>
      <c r="AL177" s="30"/>
      <c r="AM177" s="39"/>
      <c r="AP177" s="423"/>
    </row>
    <row r="178" spans="1:42">
      <c r="A178" s="427"/>
      <c r="B178" s="40" t="s">
        <v>21</v>
      </c>
      <c r="C178" s="49">
        <v>5.97</v>
      </c>
      <c r="D178" s="35"/>
      <c r="E178" s="35"/>
      <c r="F178" s="35"/>
      <c r="G178" s="35"/>
      <c r="H178" s="35"/>
      <c r="I178" s="35"/>
      <c r="J178" s="30"/>
      <c r="K178" s="30"/>
      <c r="L178" s="30"/>
      <c r="M178" s="30"/>
      <c r="N178" s="30"/>
      <c r="O178" s="30"/>
      <c r="P178" s="39"/>
      <c r="S178" s="423"/>
      <c r="Y178" s="40" t="s">
        <v>21</v>
      </c>
      <c r="Z178" s="49">
        <v>5.97</v>
      </c>
      <c r="AA178" s="35"/>
      <c r="AB178" s="35"/>
      <c r="AC178" s="35"/>
      <c r="AD178" s="35"/>
      <c r="AE178" s="35"/>
      <c r="AF178" s="35"/>
      <c r="AG178" s="30"/>
      <c r="AH178" s="30"/>
      <c r="AI178" s="30"/>
      <c r="AJ178" s="30"/>
      <c r="AK178" s="30"/>
      <c r="AL178" s="30"/>
      <c r="AM178" s="39"/>
      <c r="AP178" s="423"/>
    </row>
    <row r="179" spans="1:42">
      <c r="A179" s="427" t="s">
        <v>226</v>
      </c>
      <c r="B179" s="40" t="s">
        <v>20</v>
      </c>
      <c r="C179" s="49">
        <v>6248800</v>
      </c>
      <c r="D179" s="35"/>
      <c r="E179" s="35"/>
      <c r="F179" s="35"/>
      <c r="G179" s="35"/>
      <c r="H179" s="35"/>
      <c r="I179" s="35"/>
      <c r="J179" s="30"/>
      <c r="K179" s="30"/>
      <c r="L179" s="30"/>
      <c r="M179" s="30"/>
      <c r="N179" s="30"/>
      <c r="O179" s="30"/>
      <c r="P179" s="39"/>
      <c r="S179" s="423"/>
      <c r="Y179" s="40" t="s">
        <v>20</v>
      </c>
      <c r="Z179" s="49">
        <v>6248800</v>
      </c>
      <c r="AA179" s="35"/>
      <c r="AB179" s="35"/>
      <c r="AC179" s="35"/>
      <c r="AD179" s="35"/>
      <c r="AE179" s="35"/>
      <c r="AF179" s="35"/>
      <c r="AG179" s="30"/>
      <c r="AH179" s="30"/>
      <c r="AI179" s="30"/>
      <c r="AJ179" s="30"/>
      <c r="AK179" s="30"/>
      <c r="AL179" s="30"/>
      <c r="AM179" s="39"/>
      <c r="AP179" s="423"/>
    </row>
    <row r="180" spans="1:42">
      <c r="A180" s="427"/>
      <c r="B180" s="40" t="s">
        <v>21</v>
      </c>
      <c r="C180" s="49">
        <v>5.97</v>
      </c>
      <c r="D180" s="35"/>
      <c r="E180" s="35"/>
      <c r="F180" s="35"/>
      <c r="G180" s="35"/>
      <c r="H180" s="35"/>
      <c r="I180" s="35"/>
      <c r="J180" s="30"/>
      <c r="K180" s="30"/>
      <c r="L180" s="30"/>
      <c r="M180" s="30"/>
      <c r="N180" s="30"/>
      <c r="O180" s="30"/>
      <c r="P180" s="39"/>
      <c r="S180" s="423"/>
      <c r="Y180" s="40" t="s">
        <v>21</v>
      </c>
      <c r="Z180" s="49">
        <v>5.97</v>
      </c>
      <c r="AA180" s="35"/>
      <c r="AB180" s="35"/>
      <c r="AC180" s="35"/>
      <c r="AD180" s="35"/>
      <c r="AE180" s="35"/>
      <c r="AF180" s="35"/>
      <c r="AG180" s="30"/>
      <c r="AH180" s="30"/>
      <c r="AI180" s="30"/>
      <c r="AJ180" s="30"/>
      <c r="AK180" s="30"/>
      <c r="AL180" s="30"/>
      <c r="AM180" s="39"/>
      <c r="AP180" s="423"/>
    </row>
    <row r="181" spans="1:42">
      <c r="C181" t="s">
        <v>67</v>
      </c>
      <c r="D181" s="35">
        <f>D169*$C$169</f>
        <v>1371748428.0000002</v>
      </c>
      <c r="E181" s="35">
        <f>E169*$C$169</f>
        <v>1580492754.0000002</v>
      </c>
      <c r="F181" s="35">
        <f>F169*$C$169</f>
        <v>1669954608.0000002</v>
      </c>
      <c r="G181" s="35">
        <f>G169*$C$169</f>
        <v>1401569046</v>
      </c>
      <c r="H181" s="35">
        <f>H169*$C$169</f>
        <v>1371748428.0000002</v>
      </c>
      <c r="I181" s="35">
        <f>I169*$C$169</f>
        <v>1699775226</v>
      </c>
      <c r="J181" s="35">
        <f>J169*$C$169</f>
        <v>1729595844.0000002</v>
      </c>
      <c r="K181" s="35">
        <f>K169*$C$169</f>
        <v>2087443260</v>
      </c>
      <c r="L181" s="35">
        <f>L169*$C$169</f>
        <v>2057622642</v>
      </c>
      <c r="M181" s="35">
        <f>M169*$C$169</f>
        <v>2206725732</v>
      </c>
      <c r="N181" s="35">
        <f>N169*$C$169</f>
        <v>1729595844.0000002</v>
      </c>
      <c r="O181" s="35">
        <f>O169*$C$169</f>
        <v>2147084496.0000002</v>
      </c>
      <c r="P181" s="39">
        <f>SUM(D181:O181)</f>
        <v>21053356308</v>
      </c>
      <c r="Q181" s="402"/>
      <c r="R181" s="54" t="e">
        <f>P181/Q181</f>
        <v>#DIV/0!</v>
      </c>
      <c r="S181" s="424"/>
      <c r="Z181" t="s">
        <v>67</v>
      </c>
      <c r="AA181" s="35">
        <f>AA169*$C$145</f>
        <v>1185748839.7216916</v>
      </c>
      <c r="AB181" s="35">
        <f>AB169*$C$145</f>
        <v>1366188880.5489056</v>
      </c>
      <c r="AC181" s="35">
        <f>AC169*$C$145</f>
        <v>1443520326.6177115</v>
      </c>
      <c r="AD181" s="35">
        <f>AD169*$C$145</f>
        <v>1211525988.4112937</v>
      </c>
      <c r="AE181" s="35">
        <f>AE169*$C$145</f>
        <v>1185748839.7216916</v>
      </c>
      <c r="AF181" s="35">
        <f>AF169*$C$145</f>
        <v>1469297475.3073134</v>
      </c>
      <c r="AG181" s="35">
        <f>AG169*$C$145</f>
        <v>1495074623.9969156</v>
      </c>
      <c r="AH181" s="35">
        <f>AH169*$C$145</f>
        <v>1804400408.2721395</v>
      </c>
      <c r="AI181" s="35">
        <f>AI169*$C$145</f>
        <v>1778623259.5825377</v>
      </c>
      <c r="AJ181" s="35">
        <f>AJ169*$C$145</f>
        <v>1907509003.0305476</v>
      </c>
      <c r="AK181" s="35">
        <f>AK169*$C$145</f>
        <v>1495074623.9969156</v>
      </c>
      <c r="AL181" s="35">
        <f>AL169*$C$145</f>
        <v>1855954705.6513436</v>
      </c>
      <c r="AM181" s="39">
        <f>SUM(AA181:AL181)</f>
        <v>18198666974.859009</v>
      </c>
      <c r="AN181" s="402"/>
      <c r="AO181" s="54"/>
      <c r="AP181" s="424"/>
    </row>
    <row r="182" spans="1:42">
      <c r="D182" s="35">
        <f>D170*$C$170</f>
        <v>17890332.533999998</v>
      </c>
      <c r="E182" s="35">
        <f>E170*$C$170</f>
        <v>22376869.038000003</v>
      </c>
      <c r="F182" s="35">
        <f>F170*$C$170</f>
        <v>24721834.248000003</v>
      </c>
      <c r="G182" s="35">
        <f>G170*$C$170</f>
        <v>19176953.138999999</v>
      </c>
      <c r="H182" s="35">
        <f>H170*$C$170</f>
        <v>17890332.533999998</v>
      </c>
      <c r="I182" s="35">
        <f>I170*$C$170</f>
        <v>24065689.342754718</v>
      </c>
      <c r="J182" s="35">
        <f>J170*$C$170</f>
        <v>25604756.899714287</v>
      </c>
      <c r="K182" s="35">
        <f>K170*$C$170</f>
        <v>28561419.568723403</v>
      </c>
      <c r="L182" s="35">
        <f>L170*$C$170</f>
        <v>26835498.800999999</v>
      </c>
      <c r="M182" s="35">
        <f>M170*$C$170</f>
        <v>31243175.637962263</v>
      </c>
      <c r="N182" s="35">
        <f>N170*$C$170</f>
        <v>25604756.899714287</v>
      </c>
      <c r="O182" s="35">
        <f>O170*$C$170</f>
        <v>29377460.127829786</v>
      </c>
      <c r="P182" s="39">
        <f>SUM(D182:O182)</f>
        <v>293349078.77069873</v>
      </c>
      <c r="Q182" s="402"/>
      <c r="R182" s="54" t="e">
        <f>P182/Q182</f>
        <v>#DIV/0!</v>
      </c>
      <c r="S182" s="424"/>
      <c r="AA182" s="35">
        <f>AA170*$C$146</f>
        <v>18466041.15387588</v>
      </c>
      <c r="AB182" s="35">
        <f>AB170*$C$146</f>
        <v>23096955.202408336</v>
      </c>
      <c r="AC182" s="35">
        <f>AC170*$C$146</f>
        <v>25517347.896387335</v>
      </c>
      <c r="AD182" s="35">
        <f>AD170*$C$146</f>
        <v>19794048.196613472</v>
      </c>
      <c r="AE182" s="35">
        <f>AE170*$C$146</f>
        <v>18466041.15387588</v>
      </c>
      <c r="AF182" s="35">
        <f>AF170*$C$146</f>
        <v>24840104.696829699</v>
      </c>
      <c r="AG182" s="35">
        <f>AG170*$C$146</f>
        <v>26428697.778495826</v>
      </c>
      <c r="AH182" s="35">
        <f>AH170*$C$146</f>
        <v>29480499.701353312</v>
      </c>
      <c r="AI182" s="35">
        <f>AI170*$C$146</f>
        <v>27699033.680648159</v>
      </c>
      <c r="AJ182" s="35">
        <f>AJ170*$C$146</f>
        <v>32248546.148451816</v>
      </c>
      <c r="AK182" s="35">
        <f>AK170*$C$146</f>
        <v>26428697.778495826</v>
      </c>
      <c r="AL182" s="35">
        <f>AL170*$C$146</f>
        <v>30322790.075620897</v>
      </c>
      <c r="AM182" s="39">
        <f>SUM(AA182:AL182)</f>
        <v>302788803.46305645</v>
      </c>
      <c r="AN182" s="402"/>
      <c r="AO182" s="54"/>
      <c r="AP182" s="424"/>
    </row>
    <row r="183" spans="1:42">
      <c r="A183" s="44"/>
      <c r="B183" s="44"/>
      <c r="C183" s="44"/>
      <c r="D183" s="50"/>
      <c r="E183" s="50"/>
      <c r="F183" s="50"/>
      <c r="G183" s="50"/>
      <c r="H183" s="50"/>
      <c r="I183" s="50"/>
      <c r="J183" s="434"/>
      <c r="K183" s="434"/>
      <c r="L183" s="434"/>
      <c r="M183" s="434"/>
      <c r="N183" s="434"/>
      <c r="O183" s="434"/>
      <c r="P183" s="48"/>
      <c r="Q183" s="44"/>
      <c r="R183" s="44"/>
      <c r="S183" s="423"/>
      <c r="Y183" s="44"/>
      <c r="Z183" s="44"/>
      <c r="AA183" s="434"/>
      <c r="AB183" s="434"/>
      <c r="AC183" s="434"/>
      <c r="AD183" s="434"/>
      <c r="AE183" s="434"/>
      <c r="AF183" s="434"/>
      <c r="AG183" s="434"/>
      <c r="AH183" s="434"/>
      <c r="AI183" s="434"/>
      <c r="AJ183" s="434"/>
      <c r="AK183" s="434"/>
      <c r="AL183" s="434"/>
      <c r="AM183" s="48"/>
      <c r="AN183" s="44"/>
      <c r="AO183" s="44"/>
      <c r="AP183" s="423"/>
    </row>
    <row r="184" spans="1:42">
      <c r="A184" s="44"/>
      <c r="B184" s="44"/>
      <c r="C184" s="44"/>
      <c r="D184" s="50"/>
      <c r="E184" s="50"/>
      <c r="F184" s="50"/>
      <c r="G184" s="50"/>
      <c r="H184" s="50"/>
      <c r="I184" s="50"/>
      <c r="J184" s="434"/>
      <c r="K184" s="434"/>
      <c r="L184" s="434"/>
      <c r="M184" s="434"/>
      <c r="N184" s="434"/>
      <c r="O184" s="434"/>
      <c r="P184" s="48"/>
      <c r="Q184" s="44"/>
      <c r="R184" s="44"/>
      <c r="S184" s="423"/>
      <c r="Y184" s="44"/>
      <c r="Z184" s="44"/>
      <c r="AA184" s="434"/>
      <c r="AB184" s="434"/>
      <c r="AC184" s="434"/>
      <c r="AD184" s="434"/>
      <c r="AE184" s="434"/>
      <c r="AF184" s="434"/>
      <c r="AG184" s="434"/>
      <c r="AH184" s="434"/>
      <c r="AI184" s="434"/>
      <c r="AJ184" s="434"/>
      <c r="AK184" s="434"/>
      <c r="AL184" s="434"/>
      <c r="AM184" s="48"/>
      <c r="AN184" s="44"/>
      <c r="AO184" s="44"/>
      <c r="AP184" s="423"/>
    </row>
    <row r="185" spans="1:42">
      <c r="B185" t="s">
        <v>215</v>
      </c>
      <c r="D185" s="429">
        <f>'[1]PANDU PELSUS'!C59</f>
        <v>13</v>
      </c>
      <c r="E185" s="429">
        <f>'[1]PANDU PELSUS'!D59</f>
        <v>11</v>
      </c>
      <c r="F185" s="429">
        <f>'[1]PANDU PELSUS'!E59</f>
        <v>13</v>
      </c>
      <c r="G185" s="429">
        <f>'[1]PANDU PELSUS'!F59</f>
        <v>13</v>
      </c>
      <c r="H185" s="429">
        <f>'[1]PANDU PELSUS'!G59</f>
        <v>15</v>
      </c>
      <c r="I185" s="429">
        <f>'[1]PANDU PELSUS'!H59</f>
        <v>12</v>
      </c>
      <c r="J185" s="103">
        <f>'[1]PANDU PELSUS'!I59</f>
        <v>8</v>
      </c>
      <c r="K185" s="103">
        <f>'[1]PANDU PELSUS'!J59</f>
        <v>12</v>
      </c>
      <c r="L185" s="103">
        <f>'[1]PANDU PELSUS'!K59</f>
        <v>10</v>
      </c>
      <c r="M185" s="103">
        <f>'[1]PANDU PELSUS'!L59</f>
        <v>9</v>
      </c>
      <c r="N185" s="103">
        <f>'[1]PANDU PELSUS'!M59</f>
        <v>8</v>
      </c>
      <c r="O185" s="103">
        <f>'[1]PANDU PELSUS'!N59</f>
        <v>20</v>
      </c>
      <c r="P185" s="39">
        <f>SUM(D185:O185)</f>
        <v>144</v>
      </c>
      <c r="Q185">
        <f>P186/P185</f>
        <v>4331.8492618492619</v>
      </c>
      <c r="S185" s="423"/>
      <c r="Y185" t="s">
        <v>215</v>
      </c>
      <c r="AA185" s="428">
        <f>'[1]PANDU PELSUS'!U59</f>
        <v>13</v>
      </c>
      <c r="AB185" s="428">
        <f>'[1]PANDU PELSUS'!V59</f>
        <v>11</v>
      </c>
      <c r="AC185" s="428">
        <f>'[1]PANDU PELSUS'!W59</f>
        <v>13</v>
      </c>
      <c r="AD185" s="428">
        <f>'[1]PANDU PELSUS'!X59</f>
        <v>13</v>
      </c>
      <c r="AE185" s="428">
        <f>'[1]PANDU PELSUS'!Y59</f>
        <v>15</v>
      </c>
      <c r="AF185" s="428">
        <f>'[1]PANDU PELSUS'!Z59</f>
        <v>12</v>
      </c>
      <c r="AG185" s="428">
        <f>'[1]PANDU PELSUS'!AA59</f>
        <v>8</v>
      </c>
      <c r="AH185" s="428">
        <f>'[1]PANDU PELSUS'!AB59</f>
        <v>12</v>
      </c>
      <c r="AI185" s="428">
        <f>'[1]PANDU PELSUS'!AC59</f>
        <v>10</v>
      </c>
      <c r="AJ185" s="428">
        <f>'[1]PANDU PELSUS'!AD59</f>
        <v>9</v>
      </c>
      <c r="AK185" s="428">
        <f>'[1]PANDU PELSUS'!AE59</f>
        <v>8</v>
      </c>
      <c r="AL185" s="428">
        <f>'[1]PANDU PELSUS'!AF59</f>
        <v>20</v>
      </c>
      <c r="AM185" s="39">
        <f>SUM(AA185:AL185)</f>
        <v>144</v>
      </c>
      <c r="AP185" s="423"/>
    </row>
    <row r="186" spans="1:42">
      <c r="D186" s="429">
        <f>'[1]PANDU PELSUS'!C60</f>
        <v>56800</v>
      </c>
      <c r="E186" s="429">
        <f>'[1]PANDU PELSUS'!D60</f>
        <v>50700</v>
      </c>
      <c r="F186" s="429">
        <f>'[1]PANDU PELSUS'!E60</f>
        <v>56700</v>
      </c>
      <c r="G186" s="429">
        <f>'[1]PANDU PELSUS'!F60</f>
        <v>53092</v>
      </c>
      <c r="H186" s="429">
        <f>'[1]PANDU PELSUS'!G60</f>
        <v>65538.461538461546</v>
      </c>
      <c r="I186" s="429">
        <f>'[1]PANDU PELSUS'!H60</f>
        <v>55309.090909090912</v>
      </c>
      <c r="J186" s="103">
        <f>'[1]PANDU PELSUS'!I60</f>
        <v>34892.307692307695</v>
      </c>
      <c r="K186" s="103">
        <f>'[1]PANDU PELSUS'!J60</f>
        <v>49008</v>
      </c>
      <c r="L186" s="103">
        <f>'[1]PANDU PELSUS'!K60</f>
        <v>43692.307692307695</v>
      </c>
      <c r="M186" s="103">
        <f>'[1]PANDU PELSUS'!L60</f>
        <v>41481.818181818184</v>
      </c>
      <c r="N186" s="103">
        <f>'[1]PANDU PELSUS'!M60</f>
        <v>34892.307692307695</v>
      </c>
      <c r="O186" s="103">
        <f>'[1]PANDU PELSUS'!N60</f>
        <v>81680</v>
      </c>
      <c r="P186" s="39">
        <f>SUM(D186:O186)</f>
        <v>623786.29370629368</v>
      </c>
      <c r="S186" s="423"/>
      <c r="AA186" s="428">
        <f>'[1]PANDU PELSUS'!U60</f>
        <v>59640</v>
      </c>
      <c r="AB186" s="428">
        <f>'[1]PANDU PELSUS'!V60</f>
        <v>53235</v>
      </c>
      <c r="AC186" s="428">
        <f>'[1]PANDU PELSUS'!W60</f>
        <v>59535</v>
      </c>
      <c r="AD186" s="428">
        <f>'[1]PANDU PELSUS'!X60</f>
        <v>55747</v>
      </c>
      <c r="AE186" s="428">
        <f>'[1]PANDU PELSUS'!Y60</f>
        <v>68816</v>
      </c>
      <c r="AF186" s="428">
        <f>'[1]PANDU PELSUS'!Z60</f>
        <v>58075</v>
      </c>
      <c r="AG186" s="428">
        <f>'[1]PANDU PELSUS'!AA60</f>
        <v>36637</v>
      </c>
      <c r="AH186" s="428">
        <f>'[1]PANDU PELSUS'!AB60</f>
        <v>51459</v>
      </c>
      <c r="AI186" s="428">
        <f>'[1]PANDU PELSUS'!AC60</f>
        <v>45877</v>
      </c>
      <c r="AJ186" s="428">
        <f>'[1]PANDU PELSUS'!AD60</f>
        <v>43556</v>
      </c>
      <c r="AK186" s="428">
        <f>'[1]PANDU PELSUS'!AE60</f>
        <v>36637</v>
      </c>
      <c r="AL186" s="428">
        <f>'[1]PANDU PELSUS'!AF60</f>
        <v>85764</v>
      </c>
      <c r="AM186" s="39">
        <f>SUM(AA186:AL186)</f>
        <v>654978</v>
      </c>
      <c r="AP186" s="423"/>
    </row>
    <row r="187" spans="1:42">
      <c r="A187" s="427" t="s">
        <v>222</v>
      </c>
      <c r="B187" s="40" t="s">
        <v>20</v>
      </c>
      <c r="C187" s="49">
        <v>2102150</v>
      </c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9"/>
      <c r="S187" s="423"/>
      <c r="Y187" s="40" t="s">
        <v>20</v>
      </c>
      <c r="Z187" s="49">
        <v>2102150</v>
      </c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9"/>
      <c r="AP187" s="423"/>
    </row>
    <row r="188" spans="1:42">
      <c r="A188" s="427"/>
      <c r="B188" s="40" t="s">
        <v>21</v>
      </c>
      <c r="C188" s="49">
        <v>7.06</v>
      </c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9"/>
      <c r="S188" s="423"/>
      <c r="Y188" s="40" t="s">
        <v>21</v>
      </c>
      <c r="Z188" s="49">
        <v>7.06</v>
      </c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9"/>
      <c r="AP188" s="423"/>
    </row>
    <row r="189" spans="1:42">
      <c r="A189" s="427" t="s">
        <v>230</v>
      </c>
      <c r="B189" s="40" t="s">
        <v>20</v>
      </c>
      <c r="C189" s="49">
        <v>3243950</v>
      </c>
      <c r="D189" s="35">
        <f>D185*$F$3</f>
        <v>99.45</v>
      </c>
      <c r="E189" s="35">
        <f>E185*$F$3</f>
        <v>84.15</v>
      </c>
      <c r="F189" s="35">
        <f>F185*$F$3</f>
        <v>99.45</v>
      </c>
      <c r="G189" s="35">
        <f>G185*$F$3</f>
        <v>99.45</v>
      </c>
      <c r="H189" s="35">
        <f>H185*$F$3</f>
        <v>114.75</v>
      </c>
      <c r="I189" s="35">
        <f>I185*$F$3</f>
        <v>91.800000000000011</v>
      </c>
      <c r="J189" s="35">
        <f>J185*$F$3</f>
        <v>61.2</v>
      </c>
      <c r="K189" s="35">
        <f>K185*$F$3</f>
        <v>91.800000000000011</v>
      </c>
      <c r="L189" s="35">
        <f>L185*$F$3</f>
        <v>76.5</v>
      </c>
      <c r="M189" s="35">
        <f>M185*$F$3</f>
        <v>68.850000000000009</v>
      </c>
      <c r="N189" s="35">
        <f>N185*$F$3</f>
        <v>61.2</v>
      </c>
      <c r="O189" s="35">
        <f>O185*$F$3</f>
        <v>153</v>
      </c>
      <c r="P189" s="39">
        <f>SUM(D189:O189)</f>
        <v>1101.5999999999999</v>
      </c>
      <c r="S189" s="423"/>
      <c r="Y189" s="40" t="s">
        <v>20</v>
      </c>
      <c r="Z189" s="49">
        <v>3243950</v>
      </c>
      <c r="AA189" s="35">
        <f>AA185*$AC$3</f>
        <v>103.30089334448</v>
      </c>
      <c r="AB189" s="35">
        <f>AB185*$AC$3</f>
        <v>87.408448214559996</v>
      </c>
      <c r="AC189" s="35">
        <f>AC185*$AC$3</f>
        <v>103.30089334448</v>
      </c>
      <c r="AD189" s="35">
        <f>AD185*$AC$3</f>
        <v>103.30089334448</v>
      </c>
      <c r="AE189" s="35">
        <f>AE185*$AC$3</f>
        <v>119.19333847440001</v>
      </c>
      <c r="AF189" s="35">
        <f>AF185*$AC$3</f>
        <v>95.354670779520006</v>
      </c>
      <c r="AG189" s="35">
        <f>AG185*$AC$3</f>
        <v>63.569780519680002</v>
      </c>
      <c r="AH189" s="35">
        <f>AH185*$AC$3</f>
        <v>95.354670779520006</v>
      </c>
      <c r="AI189" s="35">
        <f>AI185*$AC$3</f>
        <v>79.462225649600001</v>
      </c>
      <c r="AJ189" s="35">
        <f>AJ185*$AC$3</f>
        <v>71.516003084640005</v>
      </c>
      <c r="AK189" s="35">
        <f>AK185*$AC$3</f>
        <v>63.569780519680002</v>
      </c>
      <c r="AL189" s="35">
        <f>AL185*$AC$3</f>
        <v>158.9244512992</v>
      </c>
      <c r="AM189" s="39">
        <f>SUM(AA189:AL189)</f>
        <v>1144.2560493542401</v>
      </c>
      <c r="AP189" s="423"/>
    </row>
    <row r="190" spans="1:42">
      <c r="A190" s="427"/>
      <c r="B190" s="40" t="s">
        <v>21</v>
      </c>
      <c r="C190" s="49">
        <v>7.06</v>
      </c>
      <c r="D190" s="35">
        <f>D186*$F$3</f>
        <v>434520</v>
      </c>
      <c r="E190" s="35">
        <f>E186*$F$3</f>
        <v>387855</v>
      </c>
      <c r="F190" s="35">
        <f>F186*$F$3</f>
        <v>433755</v>
      </c>
      <c r="G190" s="35">
        <f>G186*$F$3</f>
        <v>406153.80000000005</v>
      </c>
      <c r="H190" s="35">
        <f>H186*$F$3</f>
        <v>501369.23076923087</v>
      </c>
      <c r="I190" s="35">
        <f>I186*$F$3</f>
        <v>423114.54545454547</v>
      </c>
      <c r="J190" s="35">
        <f>J186*$F$3</f>
        <v>266926.15384615387</v>
      </c>
      <c r="K190" s="35">
        <f>K186*$F$3</f>
        <v>374911.2</v>
      </c>
      <c r="L190" s="35">
        <f>L186*$F$3</f>
        <v>334246.15384615387</v>
      </c>
      <c r="M190" s="35">
        <f>M186*$F$3</f>
        <v>317335.90909090912</v>
      </c>
      <c r="N190" s="35">
        <f>N186*$F$3</f>
        <v>266926.15384615387</v>
      </c>
      <c r="O190" s="35">
        <f>O186*$F$3</f>
        <v>624852</v>
      </c>
      <c r="P190" s="39">
        <f>SUM(D190:O190)</f>
        <v>4771965.1468531471</v>
      </c>
      <c r="S190" s="423"/>
      <c r="Y190" s="40" t="s">
        <v>21</v>
      </c>
      <c r="Z190" s="49">
        <v>7.06</v>
      </c>
      <c r="AA190" s="35">
        <f>AA186*$AC$3</f>
        <v>473912.71377421444</v>
      </c>
      <c r="AB190" s="35">
        <f>AB186*$AC$3</f>
        <v>423017.15824564564</v>
      </c>
      <c r="AC190" s="35">
        <f>AC186*$AC$3</f>
        <v>473078.36040489364</v>
      </c>
      <c r="AD190" s="35">
        <f>AD186*$AC$3</f>
        <v>442978.06932882511</v>
      </c>
      <c r="AE190" s="35">
        <f>AE186*$AC$3</f>
        <v>546827.2520302874</v>
      </c>
      <c r="AF190" s="35">
        <f>AF186*$AC$3</f>
        <v>461476.87546005199</v>
      </c>
      <c r="AG190" s="35">
        <f>AG186*$AC$3</f>
        <v>291125.7561124395</v>
      </c>
      <c r="AH190" s="35">
        <f>AH186*$AC$3</f>
        <v>408904.66697027662</v>
      </c>
      <c r="AI190" s="35">
        <f>AI186*$AC$3</f>
        <v>364548.85261266993</v>
      </c>
      <c r="AJ190" s="35">
        <f>AJ186*$AC$3</f>
        <v>346105.67003939778</v>
      </c>
      <c r="AK190" s="35">
        <f>AK186*$AC$3</f>
        <v>291125.7561124395</v>
      </c>
      <c r="AL190" s="35">
        <f>AL186*$AC$3</f>
        <v>681499.83206122951</v>
      </c>
      <c r="AM190" s="39">
        <f>SUM(AA190:AL190)</f>
        <v>5204600.9631523713</v>
      </c>
      <c r="AP190" s="423"/>
    </row>
    <row r="191" spans="1:42">
      <c r="A191" s="427" t="s">
        <v>224</v>
      </c>
      <c r="B191" s="40" t="s">
        <v>20</v>
      </c>
      <c r="C191" s="49">
        <v>3898120</v>
      </c>
      <c r="D191" s="35"/>
      <c r="E191" s="35"/>
      <c r="F191" s="35"/>
      <c r="G191" s="35"/>
      <c r="H191" s="35"/>
      <c r="I191" s="35"/>
      <c r="J191" s="30"/>
      <c r="K191" s="30"/>
      <c r="L191" s="30"/>
      <c r="M191" s="30"/>
      <c r="N191" s="30"/>
      <c r="O191" s="30"/>
      <c r="P191" s="39"/>
      <c r="S191" s="423"/>
      <c r="Y191" s="40" t="s">
        <v>20</v>
      </c>
      <c r="Z191" s="49">
        <v>3898120</v>
      </c>
      <c r="AA191" s="35"/>
      <c r="AB191" s="35"/>
      <c r="AC191" s="35"/>
      <c r="AD191" s="35"/>
      <c r="AE191" s="35"/>
      <c r="AF191" s="35"/>
      <c r="AG191" s="30"/>
      <c r="AH191" s="30"/>
      <c r="AI191" s="30"/>
      <c r="AJ191" s="30"/>
      <c r="AK191" s="30"/>
      <c r="AL191" s="30"/>
      <c r="AM191" s="39"/>
      <c r="AP191" s="423"/>
    </row>
    <row r="192" spans="1:42">
      <c r="A192" s="427"/>
      <c r="B192" s="40" t="s">
        <v>21</v>
      </c>
      <c r="C192" s="49">
        <v>7.46</v>
      </c>
      <c r="D192" s="35"/>
      <c r="E192" s="35"/>
      <c r="F192" s="35"/>
      <c r="G192" s="35"/>
      <c r="H192" s="35"/>
      <c r="I192" s="35"/>
      <c r="J192" s="30"/>
      <c r="K192" s="30"/>
      <c r="L192" s="30"/>
      <c r="M192" s="30"/>
      <c r="N192" s="30"/>
      <c r="O192" s="30"/>
      <c r="P192" s="39"/>
      <c r="S192" s="423"/>
      <c r="Y192" s="40" t="s">
        <v>21</v>
      </c>
      <c r="Z192" s="49">
        <v>7.46</v>
      </c>
      <c r="AA192" s="35"/>
      <c r="AB192" s="35"/>
      <c r="AC192" s="35"/>
      <c r="AD192" s="35"/>
      <c r="AE192" s="35"/>
      <c r="AF192" s="35"/>
      <c r="AG192" s="30"/>
      <c r="AH192" s="30"/>
      <c r="AI192" s="30"/>
      <c r="AJ192" s="30"/>
      <c r="AK192" s="30"/>
      <c r="AL192" s="30"/>
      <c r="AM192" s="39"/>
      <c r="AP192" s="423"/>
    </row>
    <row r="193" spans="1:43">
      <c r="A193" s="427" t="s">
        <v>229</v>
      </c>
      <c r="B193" s="40" t="s">
        <v>20</v>
      </c>
      <c r="C193" s="49">
        <v>4239050</v>
      </c>
      <c r="D193" s="35"/>
      <c r="E193" s="35"/>
      <c r="F193" s="35"/>
      <c r="G193" s="35"/>
      <c r="H193" s="35"/>
      <c r="I193" s="35"/>
      <c r="J193" s="30"/>
      <c r="K193" s="30"/>
      <c r="L193" s="30"/>
      <c r="M193" s="30"/>
      <c r="N193" s="30"/>
      <c r="O193" s="30"/>
      <c r="P193" s="39"/>
      <c r="S193" s="423"/>
      <c r="Y193" s="40" t="s">
        <v>20</v>
      </c>
      <c r="Z193" s="49">
        <v>4239050</v>
      </c>
      <c r="AA193" s="35"/>
      <c r="AB193" s="35"/>
      <c r="AC193" s="35"/>
      <c r="AD193" s="35"/>
      <c r="AE193" s="35"/>
      <c r="AF193" s="35"/>
      <c r="AG193" s="30"/>
      <c r="AH193" s="30"/>
      <c r="AI193" s="30"/>
      <c r="AJ193" s="30"/>
      <c r="AK193" s="30"/>
      <c r="AL193" s="30"/>
      <c r="AM193" s="39"/>
      <c r="AP193" s="423"/>
    </row>
    <row r="194" spans="1:43">
      <c r="A194" s="427"/>
      <c r="B194" s="40" t="s">
        <v>21</v>
      </c>
      <c r="C194" s="49">
        <v>7.46</v>
      </c>
      <c r="D194" s="35"/>
      <c r="E194" s="35"/>
      <c r="F194" s="35"/>
      <c r="G194" s="35"/>
      <c r="H194" s="35"/>
      <c r="I194" s="35"/>
      <c r="J194" s="30"/>
      <c r="K194" s="30"/>
      <c r="L194" s="30"/>
      <c r="M194" s="30"/>
      <c r="N194" s="30"/>
      <c r="O194" s="30"/>
      <c r="P194" s="39"/>
      <c r="S194" s="423"/>
      <c r="Y194" s="40" t="s">
        <v>21</v>
      </c>
      <c r="Z194" s="49">
        <v>7.46</v>
      </c>
      <c r="AA194" s="35"/>
      <c r="AB194" s="35"/>
      <c r="AC194" s="35"/>
      <c r="AD194" s="35"/>
      <c r="AE194" s="35"/>
      <c r="AF194" s="35"/>
      <c r="AG194" s="30"/>
      <c r="AH194" s="30"/>
      <c r="AI194" s="30"/>
      <c r="AJ194" s="30"/>
      <c r="AK194" s="30"/>
      <c r="AL194" s="30"/>
      <c r="AM194" s="39"/>
      <c r="AP194" s="423"/>
    </row>
    <row r="195" spans="1:43">
      <c r="A195" s="427" t="s">
        <v>228</v>
      </c>
      <c r="B195" s="40" t="s">
        <v>20</v>
      </c>
      <c r="C195" s="49">
        <v>4371600</v>
      </c>
      <c r="D195" s="35"/>
      <c r="E195" s="35"/>
      <c r="F195" s="35"/>
      <c r="G195" s="35"/>
      <c r="H195" s="35"/>
      <c r="I195" s="35"/>
      <c r="J195" s="30"/>
      <c r="K195" s="30"/>
      <c r="L195" s="30"/>
      <c r="M195" s="30"/>
      <c r="N195" s="30"/>
      <c r="O195" s="30"/>
      <c r="P195" s="39"/>
      <c r="S195" s="423"/>
      <c r="Y195" s="40" t="s">
        <v>20</v>
      </c>
      <c r="Z195" s="49">
        <v>4371600</v>
      </c>
      <c r="AA195" s="35"/>
      <c r="AB195" s="35"/>
      <c r="AC195" s="35"/>
      <c r="AD195" s="35"/>
      <c r="AE195" s="35"/>
      <c r="AF195" s="35"/>
      <c r="AG195" s="30"/>
      <c r="AH195" s="30"/>
      <c r="AI195" s="30"/>
      <c r="AJ195" s="30"/>
      <c r="AK195" s="30"/>
      <c r="AL195" s="30"/>
      <c r="AM195" s="39"/>
      <c r="AP195" s="423"/>
    </row>
    <row r="196" spans="1:43">
      <c r="A196" s="427"/>
      <c r="B196" s="40" t="s">
        <v>21</v>
      </c>
      <c r="C196" s="49">
        <v>5.97</v>
      </c>
      <c r="D196" s="35"/>
      <c r="E196" s="35"/>
      <c r="F196" s="35"/>
      <c r="G196" s="35"/>
      <c r="H196" s="35"/>
      <c r="I196" s="35"/>
      <c r="J196" s="30"/>
      <c r="K196" s="30"/>
      <c r="L196" s="30"/>
      <c r="M196" s="30"/>
      <c r="N196" s="30"/>
      <c r="O196" s="30"/>
      <c r="P196" s="39"/>
      <c r="S196" s="423"/>
      <c r="Y196" s="40" t="s">
        <v>21</v>
      </c>
      <c r="Z196" s="49">
        <v>5.97</v>
      </c>
      <c r="AA196" s="35"/>
      <c r="AB196" s="35"/>
      <c r="AC196" s="35"/>
      <c r="AD196" s="35"/>
      <c r="AE196" s="35"/>
      <c r="AF196" s="35"/>
      <c r="AG196" s="30"/>
      <c r="AH196" s="30"/>
      <c r="AI196" s="30"/>
      <c r="AJ196" s="30"/>
      <c r="AK196" s="30"/>
      <c r="AL196" s="30"/>
      <c r="AM196" s="39"/>
      <c r="AP196" s="423"/>
    </row>
    <row r="197" spans="1:43">
      <c r="A197" s="427" t="s">
        <v>225</v>
      </c>
      <c r="B197" s="40" t="s">
        <v>20</v>
      </c>
      <c r="C197" s="49">
        <v>5120900</v>
      </c>
      <c r="D197" s="35"/>
      <c r="E197" s="35"/>
      <c r="F197" s="35"/>
      <c r="G197" s="35"/>
      <c r="H197" s="35"/>
      <c r="I197" s="35"/>
      <c r="J197" s="30"/>
      <c r="K197" s="30"/>
      <c r="L197" s="30"/>
      <c r="M197" s="30"/>
      <c r="N197" s="30"/>
      <c r="O197" s="30"/>
      <c r="P197" s="39"/>
      <c r="S197" s="423"/>
      <c r="Y197" s="40" t="s">
        <v>20</v>
      </c>
      <c r="Z197" s="49">
        <v>5120900</v>
      </c>
      <c r="AA197" s="35"/>
      <c r="AB197" s="35"/>
      <c r="AC197" s="35"/>
      <c r="AD197" s="35"/>
      <c r="AE197" s="35"/>
      <c r="AF197" s="35"/>
      <c r="AG197" s="30"/>
      <c r="AH197" s="30"/>
      <c r="AI197" s="30"/>
      <c r="AJ197" s="30"/>
      <c r="AK197" s="30"/>
      <c r="AL197" s="30"/>
      <c r="AM197" s="39"/>
      <c r="AP197" s="423"/>
    </row>
    <row r="198" spans="1:43">
      <c r="A198" s="427"/>
      <c r="B198" s="40" t="s">
        <v>21</v>
      </c>
      <c r="C198" s="49">
        <v>5.97</v>
      </c>
      <c r="D198" s="35"/>
      <c r="E198" s="35"/>
      <c r="F198" s="35"/>
      <c r="G198" s="35"/>
      <c r="H198" s="35"/>
      <c r="I198" s="35"/>
      <c r="J198" s="30"/>
      <c r="K198" s="30"/>
      <c r="L198" s="30"/>
      <c r="M198" s="30"/>
      <c r="N198" s="30"/>
      <c r="O198" s="30"/>
      <c r="P198" s="39"/>
      <c r="S198" s="423"/>
      <c r="Y198" s="40" t="s">
        <v>21</v>
      </c>
      <c r="Z198" s="49">
        <v>5.97</v>
      </c>
      <c r="AA198" s="35"/>
      <c r="AB198" s="35"/>
      <c r="AC198" s="35"/>
      <c r="AD198" s="35"/>
      <c r="AE198" s="35"/>
      <c r="AF198" s="35"/>
      <c r="AG198" s="30"/>
      <c r="AH198" s="30"/>
      <c r="AI198" s="30"/>
      <c r="AJ198" s="30"/>
      <c r="AK198" s="30"/>
      <c r="AL198" s="30"/>
      <c r="AM198" s="39"/>
      <c r="AP198" s="423"/>
    </row>
    <row r="199" spans="1:43">
      <c r="A199" s="427" t="s">
        <v>227</v>
      </c>
      <c r="B199" s="40" t="s">
        <v>20</v>
      </c>
      <c r="C199" s="49">
        <v>4937500</v>
      </c>
      <c r="D199" s="35"/>
      <c r="E199" s="35"/>
      <c r="F199" s="35"/>
      <c r="G199" s="35"/>
      <c r="H199" s="35"/>
      <c r="I199" s="35"/>
      <c r="J199" s="30"/>
      <c r="K199" s="30"/>
      <c r="L199" s="30"/>
      <c r="M199" s="30"/>
      <c r="N199" s="30"/>
      <c r="O199" s="30"/>
      <c r="P199" s="39"/>
      <c r="S199" s="423"/>
      <c r="Y199" s="40" t="s">
        <v>20</v>
      </c>
      <c r="Z199" s="49">
        <v>4937500</v>
      </c>
      <c r="AA199" s="35"/>
      <c r="AB199" s="35"/>
      <c r="AC199" s="35"/>
      <c r="AD199" s="35"/>
      <c r="AE199" s="35"/>
      <c r="AF199" s="35"/>
      <c r="AG199" s="30"/>
      <c r="AH199" s="30"/>
      <c r="AI199" s="30"/>
      <c r="AJ199" s="30"/>
      <c r="AK199" s="30"/>
      <c r="AL199" s="30"/>
      <c r="AM199" s="39"/>
      <c r="AP199" s="423"/>
    </row>
    <row r="200" spans="1:43">
      <c r="A200" s="427"/>
      <c r="B200" s="40" t="s">
        <v>21</v>
      </c>
      <c r="C200" s="49">
        <v>5.97</v>
      </c>
      <c r="D200" s="35"/>
      <c r="E200" s="35"/>
      <c r="F200" s="35"/>
      <c r="G200" s="35"/>
      <c r="H200" s="35"/>
      <c r="I200" s="35"/>
      <c r="J200" s="30"/>
      <c r="K200" s="30"/>
      <c r="L200" s="30"/>
      <c r="M200" s="30"/>
      <c r="N200" s="30"/>
      <c r="O200" s="30"/>
      <c r="P200" s="39"/>
      <c r="S200" s="423"/>
      <c r="Y200" s="40" t="s">
        <v>21</v>
      </c>
      <c r="Z200" s="49">
        <v>5.97</v>
      </c>
      <c r="AA200" s="35"/>
      <c r="AB200" s="35"/>
      <c r="AC200" s="35"/>
      <c r="AD200" s="35"/>
      <c r="AE200" s="35"/>
      <c r="AF200" s="35"/>
      <c r="AG200" s="30"/>
      <c r="AH200" s="30"/>
      <c r="AI200" s="30"/>
      <c r="AJ200" s="30"/>
      <c r="AK200" s="30"/>
      <c r="AL200" s="30"/>
      <c r="AM200" s="39"/>
      <c r="AP200" s="423"/>
    </row>
    <row r="201" spans="1:43">
      <c r="A201" s="427" t="s">
        <v>226</v>
      </c>
      <c r="B201" s="40" t="s">
        <v>20</v>
      </c>
      <c r="C201" s="49">
        <v>6248800</v>
      </c>
      <c r="D201" s="35"/>
      <c r="E201" s="35"/>
      <c r="F201" s="35"/>
      <c r="G201" s="35"/>
      <c r="H201" s="35"/>
      <c r="I201" s="35"/>
      <c r="J201" s="30"/>
      <c r="K201" s="30"/>
      <c r="L201" s="30"/>
      <c r="M201" s="30"/>
      <c r="N201" s="30"/>
      <c r="O201" s="30"/>
      <c r="P201" s="39"/>
      <c r="S201" s="423"/>
      <c r="Y201" s="40" t="s">
        <v>20</v>
      </c>
      <c r="Z201" s="49">
        <v>6248800</v>
      </c>
      <c r="AA201" s="35"/>
      <c r="AB201" s="35"/>
      <c r="AC201" s="35"/>
      <c r="AD201" s="35"/>
      <c r="AE201" s="35"/>
      <c r="AF201" s="35"/>
      <c r="AG201" s="30"/>
      <c r="AH201" s="30"/>
      <c r="AI201" s="30"/>
      <c r="AJ201" s="30"/>
      <c r="AK201" s="30"/>
      <c r="AL201" s="30"/>
      <c r="AM201" s="39"/>
      <c r="AP201" s="423"/>
    </row>
    <row r="202" spans="1:43">
      <c r="A202" s="427"/>
      <c r="B202" s="40" t="s">
        <v>21</v>
      </c>
      <c r="C202" s="49">
        <v>5.97</v>
      </c>
      <c r="D202" s="35"/>
      <c r="E202" s="35"/>
      <c r="F202" s="35"/>
      <c r="G202" s="35"/>
      <c r="H202" s="35"/>
      <c r="I202" s="35"/>
      <c r="J202" s="30"/>
      <c r="K202" s="30"/>
      <c r="L202" s="30"/>
      <c r="M202" s="30"/>
      <c r="N202" s="30"/>
      <c r="O202" s="30"/>
      <c r="P202" s="39"/>
      <c r="S202" s="423"/>
      <c r="Y202" s="40" t="s">
        <v>21</v>
      </c>
      <c r="Z202" s="49">
        <v>5.97</v>
      </c>
      <c r="AA202" s="35"/>
      <c r="AB202" s="35"/>
      <c r="AC202" s="35"/>
      <c r="AD202" s="35"/>
      <c r="AE202" s="35"/>
      <c r="AF202" s="35"/>
      <c r="AG202" s="30"/>
      <c r="AH202" s="30"/>
      <c r="AI202" s="30"/>
      <c r="AJ202" s="30"/>
      <c r="AK202" s="30"/>
      <c r="AL202" s="30"/>
      <c r="AM202" s="39"/>
      <c r="AP202" s="423"/>
    </row>
    <row r="203" spans="1:43">
      <c r="C203" t="s">
        <v>67</v>
      </c>
      <c r="D203" s="35">
        <f>D189*$C$189</f>
        <v>322610827.5</v>
      </c>
      <c r="E203" s="35">
        <f>E189*$C$189</f>
        <v>272978392.5</v>
      </c>
      <c r="F203" s="35">
        <f>F189*$C$189</f>
        <v>322610827.5</v>
      </c>
      <c r="G203" s="35">
        <f>G189*$C$189</f>
        <v>322610827.5</v>
      </c>
      <c r="H203" s="35">
        <f>H189*$C$189</f>
        <v>372243262.5</v>
      </c>
      <c r="I203" s="35">
        <f>I189*$C$189</f>
        <v>297794610.00000006</v>
      </c>
      <c r="J203" s="35">
        <f>J189*$C$189</f>
        <v>198529740</v>
      </c>
      <c r="K203" s="35">
        <f>K189*$C$189</f>
        <v>297794610.00000006</v>
      </c>
      <c r="L203" s="35">
        <f>L189*$C$189</f>
        <v>248162175</v>
      </c>
      <c r="M203" s="35">
        <f>M189*$C$189</f>
        <v>223345957.50000003</v>
      </c>
      <c r="N203" s="35">
        <f>N189*$C$189</f>
        <v>198529740</v>
      </c>
      <c r="O203" s="35">
        <f>O189*$C$189</f>
        <v>496324350</v>
      </c>
      <c r="P203" s="39">
        <f>SUM(D203:O203)</f>
        <v>3573535320</v>
      </c>
      <c r="Q203" s="402"/>
      <c r="R203" s="54" t="e">
        <f>P203/Q203</f>
        <v>#DIV/0!</v>
      </c>
      <c r="S203" s="424"/>
      <c r="Z203" t="s">
        <v>67</v>
      </c>
      <c r="AA203" s="35">
        <f>AA189*$C$189</f>
        <v>335102932.96482593</v>
      </c>
      <c r="AB203" s="35">
        <f>AB189*$C$189</f>
        <v>283548635.58562189</v>
      </c>
      <c r="AC203" s="35">
        <f>AC189*$C$189</f>
        <v>335102932.96482593</v>
      </c>
      <c r="AD203" s="35">
        <f>AD189*$C$189</f>
        <v>335102932.96482593</v>
      </c>
      <c r="AE203" s="35">
        <f>AE189*$C$189</f>
        <v>386657230.3440299</v>
      </c>
      <c r="AF203" s="35">
        <f>AF189*$C$189</f>
        <v>309325784.27522391</v>
      </c>
      <c r="AG203" s="35">
        <f>AG189*$C$189</f>
        <v>206217189.51681593</v>
      </c>
      <c r="AH203" s="35">
        <f>AH189*$C$189</f>
        <v>309325784.27522391</v>
      </c>
      <c r="AI203" s="35">
        <f>AI189*$C$189</f>
        <v>257771486.89601994</v>
      </c>
      <c r="AJ203" s="35">
        <f>AJ189*$C$189</f>
        <v>231994338.20641795</v>
      </c>
      <c r="AK203" s="35">
        <f>AK189*$C$189</f>
        <v>206217189.51681593</v>
      </c>
      <c r="AL203" s="35">
        <f>AL189*$C$189</f>
        <v>515542973.79203987</v>
      </c>
      <c r="AM203" s="39">
        <f>SUM(AA203:AL203)</f>
        <v>3711909411.3026872</v>
      </c>
      <c r="AN203" s="402"/>
      <c r="AO203" s="54"/>
      <c r="AP203" s="424"/>
    </row>
    <row r="204" spans="1:43">
      <c r="D204" s="35">
        <f>D190*$C$190</f>
        <v>3067711.1999999997</v>
      </c>
      <c r="E204" s="35">
        <f>E190*$C$190</f>
        <v>2738256.3</v>
      </c>
      <c r="F204" s="35">
        <f>F190*$C$190</f>
        <v>3062310.3</v>
      </c>
      <c r="G204" s="35">
        <f>G190*$C$190</f>
        <v>2867445.8280000002</v>
      </c>
      <c r="H204" s="35">
        <f>H190*$C$190</f>
        <v>3539666.7692307699</v>
      </c>
      <c r="I204" s="35">
        <f>I190*$C$190</f>
        <v>2987188.6909090909</v>
      </c>
      <c r="J204" s="35">
        <f>J190*$C$190</f>
        <v>1884498.6461538463</v>
      </c>
      <c r="K204" s="35">
        <f>K190*$C$190</f>
        <v>2646873.0720000002</v>
      </c>
      <c r="L204" s="35">
        <f>L190*$C$190</f>
        <v>2359777.846153846</v>
      </c>
      <c r="M204" s="35">
        <f>M190*$C$190</f>
        <v>2240391.5181818181</v>
      </c>
      <c r="N204" s="35">
        <f>N190*$C$190</f>
        <v>1884498.6461538463</v>
      </c>
      <c r="O204" s="35">
        <f>O190*$C$190</f>
        <v>4411455.12</v>
      </c>
      <c r="P204" s="39">
        <f>SUM(D204:O204)</f>
        <v>33690073.936783217</v>
      </c>
      <c r="Q204" s="84"/>
      <c r="R204" s="54" t="e">
        <f>P204/Q204</f>
        <v>#DIV/0!</v>
      </c>
      <c r="S204" s="424"/>
      <c r="AA204" s="35">
        <f>AA190*$C$190</f>
        <v>3345823.759245954</v>
      </c>
      <c r="AB204" s="35">
        <f>AB190*$C$190</f>
        <v>2986501.1372142578</v>
      </c>
      <c r="AC204" s="35">
        <f>AC190*$C$190</f>
        <v>3339933.2244585487</v>
      </c>
      <c r="AD204" s="35">
        <f>AD190*$C$190</f>
        <v>3127425.169461505</v>
      </c>
      <c r="AE204" s="35">
        <f>AE190*$C$190</f>
        <v>3860600.3993338291</v>
      </c>
      <c r="AF204" s="35">
        <f>AF190*$C$190</f>
        <v>3258026.7407479668</v>
      </c>
      <c r="AG204" s="35">
        <f>AG190*$C$190</f>
        <v>2055347.8381538228</v>
      </c>
      <c r="AH204" s="35">
        <f>AH190*$C$190</f>
        <v>2886866.9488101527</v>
      </c>
      <c r="AI204" s="35">
        <f>AI190*$C$190</f>
        <v>2573714.8994454495</v>
      </c>
      <c r="AJ204" s="35">
        <f>AJ190*$C$190</f>
        <v>2443506.0304781483</v>
      </c>
      <c r="AK204" s="35">
        <f>AK190*$C$190</f>
        <v>2055347.8381538228</v>
      </c>
      <c r="AL204" s="35">
        <f>AL190*$C$190</f>
        <v>4811388.8143522805</v>
      </c>
      <c r="AM204" s="39">
        <f>SUM(AA204:AL204)</f>
        <v>36744482.799855739</v>
      </c>
      <c r="AN204" s="84"/>
      <c r="AO204" s="54"/>
      <c r="AP204" s="424"/>
    </row>
    <row r="205" spans="1:43">
      <c r="A205" s="44"/>
      <c r="B205" s="44"/>
      <c r="C205" s="44"/>
      <c r="D205" s="50"/>
      <c r="E205" s="50"/>
      <c r="F205" s="50"/>
      <c r="G205" s="50"/>
      <c r="H205" s="50"/>
      <c r="I205" s="50"/>
      <c r="J205" s="46"/>
      <c r="K205" s="46"/>
      <c r="L205" s="46"/>
      <c r="M205" s="46"/>
      <c r="N205" s="46"/>
      <c r="O205" s="46"/>
      <c r="P205" s="48">
        <f>P203+P204</f>
        <v>3607225393.9367833</v>
      </c>
      <c r="Q205" s="44"/>
      <c r="R205" s="44"/>
      <c r="S205" s="424">
        <f>P205/$P$277</f>
        <v>1.6881251127760958E-2</v>
      </c>
      <c r="T205" s="430">
        <f>$P$279*S205</f>
        <v>0</v>
      </c>
      <c r="Y205" s="44"/>
      <c r="Z205" s="44"/>
      <c r="AA205" s="50"/>
      <c r="AB205" s="50"/>
      <c r="AC205" s="50"/>
      <c r="AD205" s="50"/>
      <c r="AE205" s="50"/>
      <c r="AF205" s="50"/>
      <c r="AG205" s="46"/>
      <c r="AH205" s="46"/>
      <c r="AI205" s="46"/>
      <c r="AJ205" s="46"/>
      <c r="AK205" s="46"/>
      <c r="AL205" s="46"/>
      <c r="AM205" s="48">
        <f>AM203+AM204</f>
        <v>3748653894.1025429</v>
      </c>
      <c r="AN205" s="44"/>
      <c r="AO205" s="44"/>
      <c r="AP205" s="424">
        <f>AM205/$P$277</f>
        <v>1.7543114406926654E-2</v>
      </c>
      <c r="AQ205" s="430">
        <f>$P$279*AP205</f>
        <v>0</v>
      </c>
    </row>
    <row r="206" spans="1:43">
      <c r="A206" s="44"/>
      <c r="B206" s="44"/>
      <c r="C206" s="44"/>
      <c r="D206" s="50"/>
      <c r="E206" s="50"/>
      <c r="F206" s="50"/>
      <c r="G206" s="50"/>
      <c r="H206" s="50"/>
      <c r="I206" s="50"/>
      <c r="J206" s="46"/>
      <c r="K206" s="46"/>
      <c r="L206" s="46"/>
      <c r="M206" s="46"/>
      <c r="N206" s="46"/>
      <c r="O206" s="46"/>
      <c r="P206" s="48"/>
      <c r="Q206" s="44"/>
      <c r="R206" s="44"/>
      <c r="S206" s="423"/>
      <c r="Y206" s="44"/>
      <c r="Z206" s="44"/>
      <c r="AA206" s="50"/>
      <c r="AB206" s="50"/>
      <c r="AC206" s="50"/>
      <c r="AD206" s="50"/>
      <c r="AE206" s="50"/>
      <c r="AF206" s="50"/>
      <c r="AG206" s="46"/>
      <c r="AH206" s="46"/>
      <c r="AI206" s="46"/>
      <c r="AJ206" s="46"/>
      <c r="AK206" s="46"/>
      <c r="AL206" s="46"/>
      <c r="AM206" s="48"/>
      <c r="AN206" s="44"/>
      <c r="AO206" s="44"/>
      <c r="AP206" s="423"/>
    </row>
    <row r="207" spans="1:43">
      <c r="B207" t="s">
        <v>57</v>
      </c>
      <c r="D207" s="429">
        <f>'[1]PANDU PELSUS'!C65</f>
        <v>33</v>
      </c>
      <c r="E207" s="429">
        <f>'[1]PANDU PELSUS'!D65</f>
        <v>34</v>
      </c>
      <c r="F207" s="429">
        <f>'[1]PANDU PELSUS'!E65</f>
        <v>26</v>
      </c>
      <c r="G207" s="429">
        <f>'[1]PANDU PELSUS'!F65</f>
        <v>27</v>
      </c>
      <c r="H207" s="429">
        <f>'[1]PANDU PELSUS'!G65</f>
        <v>32</v>
      </c>
      <c r="I207" s="429">
        <f>'[1]PANDU PELSUS'!H65</f>
        <v>34</v>
      </c>
      <c r="J207" s="103">
        <f>'[1]PANDU PELSUS'!I65</f>
        <v>33</v>
      </c>
      <c r="K207" s="103">
        <f>'[1]PANDU PELSUS'!J65</f>
        <v>30</v>
      </c>
      <c r="L207" s="103">
        <f>'[1]PANDU PELSUS'!K65</f>
        <v>29</v>
      </c>
      <c r="M207" s="103">
        <f>'[1]PANDU PELSUS'!L65</f>
        <v>28</v>
      </c>
      <c r="N207" s="103">
        <f>'[1]PANDU PELSUS'!M65</f>
        <v>25</v>
      </c>
      <c r="O207" s="103">
        <f>'[1]PANDU PELSUS'!N65</f>
        <v>16</v>
      </c>
      <c r="P207" s="39">
        <f>SUM(D207:O207)</f>
        <v>347</v>
      </c>
      <c r="Q207">
        <f>P208/P207</f>
        <v>33800.214612514494</v>
      </c>
      <c r="S207" s="423"/>
      <c r="Y207" t="s">
        <v>57</v>
      </c>
      <c r="AA207" s="428">
        <f>'[1]PANDU PELSUS'!U65</f>
        <v>33</v>
      </c>
      <c r="AB207" s="428">
        <f>'[1]PANDU PELSUS'!V65</f>
        <v>34</v>
      </c>
      <c r="AC207" s="428">
        <f>'[1]PANDU PELSUS'!W65</f>
        <v>26</v>
      </c>
      <c r="AD207" s="428">
        <f>'[1]PANDU PELSUS'!X65</f>
        <v>27</v>
      </c>
      <c r="AE207" s="428">
        <f>'[1]PANDU PELSUS'!Y65</f>
        <v>32</v>
      </c>
      <c r="AF207" s="428">
        <f>'[1]PANDU PELSUS'!Z65</f>
        <v>34</v>
      </c>
      <c r="AG207" s="428">
        <f>'[1]PANDU PELSUS'!AA65</f>
        <v>33</v>
      </c>
      <c r="AH207" s="428">
        <f>'[1]PANDU PELSUS'!AB65</f>
        <v>30</v>
      </c>
      <c r="AI207" s="428">
        <f>'[1]PANDU PELSUS'!AC65</f>
        <v>29</v>
      </c>
      <c r="AJ207" s="428">
        <f>'[1]PANDU PELSUS'!AD65</f>
        <v>28</v>
      </c>
      <c r="AK207" s="428">
        <f>'[1]PANDU PELSUS'!AE65</f>
        <v>25</v>
      </c>
      <c r="AL207" s="428">
        <f>'[1]PANDU PELSUS'!AF65</f>
        <v>16</v>
      </c>
      <c r="AM207" s="39">
        <f>SUM(AA207:AL207)</f>
        <v>347</v>
      </c>
      <c r="AP207" s="423"/>
    </row>
    <row r="208" spans="1:43">
      <c r="D208" s="429">
        <f>'[1]PANDU PELSUS'!C66</f>
        <v>1934606</v>
      </c>
      <c r="E208" s="429">
        <f>'[1]PANDU PELSUS'!D66</f>
        <v>911059</v>
      </c>
      <c r="F208" s="429">
        <f>'[1]PANDU PELSUS'!E66</f>
        <v>564855</v>
      </c>
      <c r="G208" s="429">
        <f>'[1]PANDU PELSUS'!F66</f>
        <v>673395</v>
      </c>
      <c r="H208" s="429">
        <f>'[1]PANDU PELSUS'!G66</f>
        <v>1875981.5757575757</v>
      </c>
      <c r="I208" s="429">
        <f>'[1]PANDU PELSUS'!H66</f>
        <v>911059</v>
      </c>
      <c r="J208" s="103">
        <f>'[1]PANDU PELSUS'!I66</f>
        <v>716931.34615384613</v>
      </c>
      <c r="K208" s="103">
        <f>'[1]PANDU PELSUS'!J66</f>
        <v>748216.66666666663</v>
      </c>
      <c r="L208" s="103">
        <f>'[1]PANDU PELSUS'!K66</f>
        <v>1700108.303030303</v>
      </c>
      <c r="M208" s="103">
        <f>'[1]PANDU PELSUS'!L66</f>
        <v>750283.8823529412</v>
      </c>
      <c r="N208" s="103">
        <f>'[1]PANDU PELSUS'!M66</f>
        <v>543129.80769230775</v>
      </c>
      <c r="O208" s="103">
        <f>'[1]PANDU PELSUS'!N66</f>
        <v>399048.88888888888</v>
      </c>
      <c r="P208" s="39">
        <f>SUM(D208:O208)</f>
        <v>11728674.47054253</v>
      </c>
      <c r="S208" s="423"/>
      <c r="AA208" s="428">
        <f>'[1]PANDU PELSUS'!U66</f>
        <v>2031337</v>
      </c>
      <c r="AB208" s="428">
        <f>'[1]PANDU PELSUS'!V66</f>
        <v>956612</v>
      </c>
      <c r="AC208" s="428">
        <f>'[1]PANDU PELSUS'!W66</f>
        <v>593098</v>
      </c>
      <c r="AD208" s="428">
        <f>'[1]PANDU PELSUS'!X66</f>
        <v>707065</v>
      </c>
      <c r="AE208" s="428">
        <f>'[1]PANDU PELSUS'!Y66</f>
        <v>1969781</v>
      </c>
      <c r="AF208" s="428">
        <f>'[1]PANDU PELSUS'!Z66</f>
        <v>956612</v>
      </c>
      <c r="AG208" s="428">
        <f>'[1]PANDU PELSUS'!AA66</f>
        <v>752778</v>
      </c>
      <c r="AH208" s="428">
        <f>'[1]PANDU PELSUS'!AB66</f>
        <v>785628</v>
      </c>
      <c r="AI208" s="428">
        <f>'[1]PANDU PELSUS'!AC66</f>
        <v>1785114</v>
      </c>
      <c r="AJ208" s="428">
        <f>'[1]PANDU PELSUS'!AD66</f>
        <v>787799</v>
      </c>
      <c r="AK208" s="428">
        <f>'[1]PANDU PELSUS'!AE66</f>
        <v>570287</v>
      </c>
      <c r="AL208" s="428">
        <f>'[1]PANDU PELSUS'!AF66</f>
        <v>419002</v>
      </c>
      <c r="AM208" s="39">
        <f>SUM(AA208:AL208)</f>
        <v>12315113</v>
      </c>
      <c r="AP208" s="423"/>
    </row>
    <row r="209" spans="1:42">
      <c r="A209" s="427" t="s">
        <v>222</v>
      </c>
      <c r="B209" s="40" t="s">
        <v>20</v>
      </c>
      <c r="C209" s="49">
        <v>2102150</v>
      </c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9"/>
      <c r="S209" s="423"/>
      <c r="Y209" s="40" t="s">
        <v>20</v>
      </c>
      <c r="Z209" s="49">
        <v>2102150</v>
      </c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9"/>
      <c r="AP209" s="423"/>
    </row>
    <row r="210" spans="1:42">
      <c r="A210" s="427"/>
      <c r="B210" s="40" t="s">
        <v>21</v>
      </c>
      <c r="C210" s="49">
        <v>7.06</v>
      </c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9"/>
      <c r="S210" s="423"/>
      <c r="Y210" s="40" t="s">
        <v>21</v>
      </c>
      <c r="Z210" s="49">
        <v>7.06</v>
      </c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9"/>
      <c r="AP210" s="423"/>
    </row>
    <row r="211" spans="1:42">
      <c r="A211" s="427" t="s">
        <v>230</v>
      </c>
      <c r="B211" s="40" t="s">
        <v>20</v>
      </c>
      <c r="C211" s="49">
        <v>3243950</v>
      </c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9"/>
      <c r="S211" s="423"/>
      <c r="Y211" s="40" t="s">
        <v>20</v>
      </c>
      <c r="Z211" s="49">
        <v>3243950</v>
      </c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9"/>
      <c r="AP211" s="423"/>
    </row>
    <row r="212" spans="1:42">
      <c r="A212" s="427"/>
      <c r="B212" s="40" t="s">
        <v>21</v>
      </c>
      <c r="C212" s="49">
        <v>7.06</v>
      </c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9"/>
      <c r="S212" s="423"/>
      <c r="Y212" s="40" t="s">
        <v>21</v>
      </c>
      <c r="Z212" s="49">
        <v>7.06</v>
      </c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9"/>
      <c r="AP212" s="423"/>
    </row>
    <row r="213" spans="1:42">
      <c r="A213" s="427" t="s">
        <v>224</v>
      </c>
      <c r="B213" s="40" t="s">
        <v>20</v>
      </c>
      <c r="C213" s="49">
        <v>3898120</v>
      </c>
      <c r="D213" s="35"/>
      <c r="E213" s="35"/>
      <c r="F213" s="35"/>
      <c r="G213" s="35"/>
      <c r="H213" s="35"/>
      <c r="I213" s="35"/>
      <c r="J213" s="30"/>
      <c r="K213" s="30"/>
      <c r="L213" s="30"/>
      <c r="M213" s="30"/>
      <c r="N213" s="30"/>
      <c r="O213" s="30"/>
      <c r="P213" s="39"/>
      <c r="S213" s="423"/>
      <c r="Y213" s="40" t="s">
        <v>20</v>
      </c>
      <c r="Z213" s="49">
        <v>3898120</v>
      </c>
      <c r="AA213" s="35"/>
      <c r="AB213" s="35"/>
      <c r="AC213" s="35"/>
      <c r="AD213" s="35"/>
      <c r="AE213" s="35"/>
      <c r="AF213" s="35"/>
      <c r="AG213" s="30"/>
      <c r="AH213" s="30"/>
      <c r="AI213" s="30"/>
      <c r="AJ213" s="30"/>
      <c r="AK213" s="30"/>
      <c r="AL213" s="30"/>
      <c r="AM213" s="39"/>
      <c r="AP213" s="423"/>
    </row>
    <row r="214" spans="1:42">
      <c r="A214" s="427"/>
      <c r="B214" s="40" t="s">
        <v>21</v>
      </c>
      <c r="C214" s="49">
        <v>7.46</v>
      </c>
      <c r="D214" s="35"/>
      <c r="E214" s="35"/>
      <c r="F214" s="35"/>
      <c r="G214" s="35"/>
      <c r="H214" s="35"/>
      <c r="I214" s="35"/>
      <c r="J214" s="30"/>
      <c r="K214" s="30"/>
      <c r="L214" s="30"/>
      <c r="M214" s="30"/>
      <c r="N214" s="30"/>
      <c r="O214" s="30"/>
      <c r="P214" s="39"/>
      <c r="S214" s="423"/>
      <c r="Y214" s="40" t="s">
        <v>21</v>
      </c>
      <c r="Z214" s="49">
        <v>7.46</v>
      </c>
      <c r="AA214" s="35"/>
      <c r="AB214" s="35"/>
      <c r="AC214" s="35"/>
      <c r="AD214" s="35"/>
      <c r="AE214" s="35"/>
      <c r="AF214" s="35"/>
      <c r="AG214" s="30"/>
      <c r="AH214" s="30"/>
      <c r="AI214" s="30"/>
      <c r="AJ214" s="30"/>
      <c r="AK214" s="30"/>
      <c r="AL214" s="30"/>
      <c r="AM214" s="39"/>
      <c r="AP214" s="423"/>
    </row>
    <row r="215" spans="1:42">
      <c r="A215" s="427" t="s">
        <v>229</v>
      </c>
      <c r="B215" s="40" t="s">
        <v>20</v>
      </c>
      <c r="C215" s="49">
        <v>4239050</v>
      </c>
      <c r="D215" s="35">
        <f>D207*$F$3</f>
        <v>252.45000000000002</v>
      </c>
      <c r="E215" s="35">
        <f>E207*$F$3</f>
        <v>260.10000000000002</v>
      </c>
      <c r="F215" s="35">
        <f>F207*$F$3</f>
        <v>198.9</v>
      </c>
      <c r="G215" s="35">
        <f>G207*$F$3</f>
        <v>206.55</v>
      </c>
      <c r="H215" s="35">
        <f>H207*$F$3</f>
        <v>244.8</v>
      </c>
      <c r="I215" s="35">
        <f>I207*$F$3</f>
        <v>260.10000000000002</v>
      </c>
      <c r="J215" s="35">
        <f>J207*$F$3</f>
        <v>252.45000000000002</v>
      </c>
      <c r="K215" s="35">
        <f>K207*$F$3</f>
        <v>229.5</v>
      </c>
      <c r="L215" s="35">
        <f>L207*$F$3</f>
        <v>221.85000000000002</v>
      </c>
      <c r="M215" s="35">
        <f>M207*$F$3</f>
        <v>214.20000000000002</v>
      </c>
      <c r="N215" s="35">
        <f>N207*$F$3</f>
        <v>191.25</v>
      </c>
      <c r="O215" s="35">
        <f>O207*$F$3</f>
        <v>122.4</v>
      </c>
      <c r="P215" s="39">
        <f>SUM(D215:O215)</f>
        <v>2654.55</v>
      </c>
      <c r="S215" s="423"/>
      <c r="Y215" s="40" t="s">
        <v>20</v>
      </c>
      <c r="Z215" s="49">
        <v>4239050</v>
      </c>
      <c r="AA215" s="35">
        <f>AA207*$AC$3</f>
        <v>262.22534464367999</v>
      </c>
      <c r="AB215" s="35">
        <f>AB207*$AC$3</f>
        <v>270.17156720864</v>
      </c>
      <c r="AC215" s="35">
        <f>AC207*$AC$3</f>
        <v>206.60178668896</v>
      </c>
      <c r="AD215" s="35">
        <f>AD207*$AC$3</f>
        <v>214.54800925392001</v>
      </c>
      <c r="AE215" s="35">
        <f>AE207*$AC$3</f>
        <v>254.27912207872001</v>
      </c>
      <c r="AF215" s="35">
        <f>AF207*$AC$3</f>
        <v>270.17156720864</v>
      </c>
      <c r="AG215" s="35">
        <f>AG207*$AC$3</f>
        <v>262.22534464367999</v>
      </c>
      <c r="AH215" s="35">
        <f>AH207*$AC$3</f>
        <v>238.38667694880002</v>
      </c>
      <c r="AI215" s="35">
        <f>AI207*$AC$3</f>
        <v>230.44045438384001</v>
      </c>
      <c r="AJ215" s="35">
        <f>AJ207*$AC$3</f>
        <v>222.49423181888</v>
      </c>
      <c r="AK215" s="35">
        <f>AK207*$AC$3</f>
        <v>198.65556412399999</v>
      </c>
      <c r="AL215" s="35">
        <f>AL207*$AC$3</f>
        <v>127.13956103936</v>
      </c>
      <c r="AM215" s="39">
        <f>SUM(AA215:AL215)</f>
        <v>2757.3392300411206</v>
      </c>
      <c r="AP215" s="423"/>
    </row>
    <row r="216" spans="1:42">
      <c r="A216" s="427"/>
      <c r="B216" s="40" t="s">
        <v>21</v>
      </c>
      <c r="C216" s="49">
        <v>7.46</v>
      </c>
      <c r="D216" s="35">
        <f>D208*$F$3</f>
        <v>14799735.9</v>
      </c>
      <c r="E216" s="35">
        <f>E208*$F$3</f>
        <v>6969601.3500000006</v>
      </c>
      <c r="F216" s="35">
        <f>F208*$F$3</f>
        <v>4321140.75</v>
      </c>
      <c r="G216" s="35">
        <f>G208*$F$3</f>
        <v>5151471.75</v>
      </c>
      <c r="H216" s="35">
        <f>H208*$F$3</f>
        <v>14351259.054545455</v>
      </c>
      <c r="I216" s="35">
        <f>I208*$F$3</f>
        <v>6969601.3500000006</v>
      </c>
      <c r="J216" s="35">
        <f>J208*$F$3</f>
        <v>5484524.798076923</v>
      </c>
      <c r="K216" s="35">
        <f>K208*$F$3</f>
        <v>5723857.5</v>
      </c>
      <c r="L216" s="35">
        <f>L208*$F$3</f>
        <v>13005828.518181818</v>
      </c>
      <c r="M216" s="35">
        <f>M208*$F$3</f>
        <v>5739671.7000000002</v>
      </c>
      <c r="N216" s="35">
        <f>N208*$F$3</f>
        <v>4154943.0288461545</v>
      </c>
      <c r="O216" s="35">
        <f>O208*$F$3</f>
        <v>3052724</v>
      </c>
      <c r="P216" s="39">
        <f>SUM(D216:O216)</f>
        <v>89724359.699650362</v>
      </c>
      <c r="S216" s="423"/>
      <c r="Y216" s="40" t="s">
        <v>21</v>
      </c>
      <c r="Z216" s="49">
        <v>7.46</v>
      </c>
      <c r="AA216" s="35">
        <f>AA208*$AC$3</f>
        <v>16141455.906438151</v>
      </c>
      <c r="AB216" s="35">
        <f>AB208*$AC$3</f>
        <v>7601451.8603115156</v>
      </c>
      <c r="AC216" s="35">
        <f>AC208*$AC$3</f>
        <v>4712888.7108326461</v>
      </c>
      <c r="AD216" s="35">
        <f>AD208*$AC$3</f>
        <v>5618495.8578934427</v>
      </c>
      <c r="AE216" s="35">
        <f>AE208*$AC$3</f>
        <v>15652318.230229475</v>
      </c>
      <c r="AF216" s="35">
        <f>AF208*$AC$3</f>
        <v>7601451.8603115156</v>
      </c>
      <c r="AG216" s="35">
        <f>AG208*$AC$3</f>
        <v>5981741.5300054587</v>
      </c>
      <c r="AH216" s="35">
        <f>AH208*$AC$3</f>
        <v>6242774.9412643947</v>
      </c>
      <c r="AI216" s="35">
        <f>AI208*$AC$3</f>
        <v>14184913.147826007</v>
      </c>
      <c r="AJ216" s="35">
        <f>AJ208*$AC$3</f>
        <v>6260026.1904529231</v>
      </c>
      <c r="AK216" s="35">
        <f>AK208*$AC$3</f>
        <v>4531627.4279033439</v>
      </c>
      <c r="AL216" s="35">
        <f>AL208*$AC$3</f>
        <v>3329483.1471633702</v>
      </c>
      <c r="AM216" s="39">
        <f>SUM(AA216:AL216)</f>
        <v>97858628.810632229</v>
      </c>
      <c r="AP216" s="423"/>
    </row>
    <row r="217" spans="1:42">
      <c r="A217" s="427" t="s">
        <v>228</v>
      </c>
      <c r="B217" s="40" t="s">
        <v>20</v>
      </c>
      <c r="C217" s="49">
        <v>4371600</v>
      </c>
      <c r="D217" s="35"/>
      <c r="E217" s="35"/>
      <c r="F217" s="35"/>
      <c r="G217" s="35"/>
      <c r="H217" s="35"/>
      <c r="I217" s="35"/>
      <c r="J217" s="30"/>
      <c r="K217" s="30"/>
      <c r="L217" s="30"/>
      <c r="M217" s="30"/>
      <c r="N217" s="30"/>
      <c r="O217" s="30"/>
      <c r="P217" s="39"/>
      <c r="S217" s="423"/>
      <c r="Y217" s="40" t="s">
        <v>20</v>
      </c>
      <c r="Z217" s="49">
        <v>4371600</v>
      </c>
      <c r="AA217" s="35"/>
      <c r="AB217" s="35"/>
      <c r="AC217" s="35"/>
      <c r="AD217" s="35"/>
      <c r="AE217" s="35"/>
      <c r="AF217" s="35"/>
      <c r="AG217" s="30"/>
      <c r="AH217" s="30"/>
      <c r="AI217" s="30"/>
      <c r="AJ217" s="30"/>
      <c r="AK217" s="30"/>
      <c r="AL217" s="30"/>
      <c r="AM217" s="39"/>
      <c r="AP217" s="423"/>
    </row>
    <row r="218" spans="1:42">
      <c r="A218" s="427"/>
      <c r="B218" s="40" t="s">
        <v>21</v>
      </c>
      <c r="C218" s="49">
        <v>5.97</v>
      </c>
      <c r="D218" s="35"/>
      <c r="E218" s="35"/>
      <c r="F218" s="35"/>
      <c r="G218" s="35"/>
      <c r="H218" s="35"/>
      <c r="I218" s="35"/>
      <c r="J218" s="30"/>
      <c r="K218" s="30"/>
      <c r="L218" s="30"/>
      <c r="M218" s="30"/>
      <c r="N218" s="30"/>
      <c r="O218" s="30"/>
      <c r="P218" s="39"/>
      <c r="S218" s="423"/>
      <c r="Y218" s="40" t="s">
        <v>21</v>
      </c>
      <c r="Z218" s="49">
        <v>5.97</v>
      </c>
      <c r="AA218" s="35"/>
      <c r="AB218" s="35"/>
      <c r="AC218" s="35"/>
      <c r="AD218" s="35"/>
      <c r="AE218" s="35"/>
      <c r="AF218" s="35"/>
      <c r="AG218" s="30"/>
      <c r="AH218" s="30"/>
      <c r="AI218" s="30"/>
      <c r="AJ218" s="30"/>
      <c r="AK218" s="30"/>
      <c r="AL218" s="30"/>
      <c r="AM218" s="39"/>
      <c r="AP218" s="423"/>
    </row>
    <row r="219" spans="1:42">
      <c r="A219" s="427" t="s">
        <v>225</v>
      </c>
      <c r="B219" s="40" t="s">
        <v>20</v>
      </c>
      <c r="C219" s="49">
        <v>5120900</v>
      </c>
      <c r="D219" s="35"/>
      <c r="E219" s="35"/>
      <c r="F219" s="35"/>
      <c r="G219" s="35"/>
      <c r="H219" s="35"/>
      <c r="I219" s="35"/>
      <c r="J219" s="30"/>
      <c r="K219" s="30"/>
      <c r="L219" s="30"/>
      <c r="M219" s="30"/>
      <c r="N219" s="30"/>
      <c r="O219" s="30"/>
      <c r="P219" s="39"/>
      <c r="S219" s="423"/>
      <c r="Y219" s="40" t="s">
        <v>20</v>
      </c>
      <c r="Z219" s="49">
        <v>5120900</v>
      </c>
      <c r="AA219" s="35"/>
      <c r="AB219" s="35"/>
      <c r="AC219" s="35"/>
      <c r="AD219" s="35"/>
      <c r="AE219" s="35"/>
      <c r="AF219" s="35"/>
      <c r="AG219" s="30"/>
      <c r="AH219" s="30"/>
      <c r="AI219" s="30"/>
      <c r="AJ219" s="30"/>
      <c r="AK219" s="30"/>
      <c r="AL219" s="30"/>
      <c r="AM219" s="39"/>
      <c r="AP219" s="423"/>
    </row>
    <row r="220" spans="1:42">
      <c r="A220" s="427"/>
      <c r="B220" s="40" t="s">
        <v>21</v>
      </c>
      <c r="C220" s="49">
        <v>5.97</v>
      </c>
      <c r="D220" s="35"/>
      <c r="E220" s="35"/>
      <c r="F220" s="35"/>
      <c r="G220" s="35"/>
      <c r="H220" s="35"/>
      <c r="I220" s="35"/>
      <c r="J220" s="30"/>
      <c r="K220" s="30"/>
      <c r="L220" s="30"/>
      <c r="M220" s="30"/>
      <c r="N220" s="30"/>
      <c r="O220" s="30"/>
      <c r="P220" s="39"/>
      <c r="S220" s="423"/>
      <c r="Y220" s="40" t="s">
        <v>21</v>
      </c>
      <c r="Z220" s="49">
        <v>5.97</v>
      </c>
      <c r="AA220" s="35"/>
      <c r="AB220" s="35"/>
      <c r="AC220" s="35"/>
      <c r="AD220" s="35"/>
      <c r="AE220" s="35"/>
      <c r="AF220" s="35"/>
      <c r="AG220" s="30"/>
      <c r="AH220" s="30"/>
      <c r="AI220" s="30"/>
      <c r="AJ220" s="30"/>
      <c r="AK220" s="30"/>
      <c r="AL220" s="30"/>
      <c r="AM220" s="39"/>
      <c r="AP220" s="423"/>
    </row>
    <row r="221" spans="1:42">
      <c r="A221" s="427" t="s">
        <v>227</v>
      </c>
      <c r="B221" s="40" t="s">
        <v>20</v>
      </c>
      <c r="C221" s="49">
        <v>4937500</v>
      </c>
      <c r="D221" s="35"/>
      <c r="E221" s="35"/>
      <c r="F221" s="35"/>
      <c r="G221" s="35"/>
      <c r="H221" s="35"/>
      <c r="I221" s="35"/>
      <c r="J221" s="30"/>
      <c r="K221" s="30"/>
      <c r="L221" s="30"/>
      <c r="M221" s="30"/>
      <c r="N221" s="30"/>
      <c r="O221" s="30"/>
      <c r="P221" s="39"/>
      <c r="S221" s="423"/>
      <c r="Y221" s="40" t="s">
        <v>20</v>
      </c>
      <c r="Z221" s="49">
        <v>4937500</v>
      </c>
      <c r="AA221" s="35"/>
      <c r="AB221" s="35"/>
      <c r="AC221" s="35"/>
      <c r="AD221" s="35"/>
      <c r="AE221" s="35"/>
      <c r="AF221" s="35"/>
      <c r="AG221" s="30"/>
      <c r="AH221" s="30"/>
      <c r="AI221" s="30"/>
      <c r="AJ221" s="30"/>
      <c r="AK221" s="30"/>
      <c r="AL221" s="30"/>
      <c r="AM221" s="39"/>
      <c r="AP221" s="423"/>
    </row>
    <row r="222" spans="1:42">
      <c r="A222" s="427"/>
      <c r="B222" s="40" t="s">
        <v>21</v>
      </c>
      <c r="C222" s="49">
        <v>5.97</v>
      </c>
      <c r="D222" s="35"/>
      <c r="E222" s="35"/>
      <c r="F222" s="35"/>
      <c r="G222" s="35"/>
      <c r="H222" s="35"/>
      <c r="I222" s="35"/>
      <c r="J222" s="30"/>
      <c r="K222" s="30"/>
      <c r="L222" s="30"/>
      <c r="M222" s="30"/>
      <c r="N222" s="30"/>
      <c r="O222" s="30"/>
      <c r="P222" s="39"/>
      <c r="S222" s="423"/>
      <c r="Y222" s="40" t="s">
        <v>21</v>
      </c>
      <c r="Z222" s="49">
        <v>5.97</v>
      </c>
      <c r="AA222" s="35"/>
      <c r="AB222" s="35"/>
      <c r="AC222" s="35"/>
      <c r="AD222" s="35"/>
      <c r="AE222" s="35"/>
      <c r="AF222" s="35"/>
      <c r="AG222" s="30"/>
      <c r="AH222" s="30"/>
      <c r="AI222" s="30"/>
      <c r="AJ222" s="30"/>
      <c r="AK222" s="30"/>
      <c r="AL222" s="30"/>
      <c r="AM222" s="39"/>
      <c r="AP222" s="423"/>
    </row>
    <row r="223" spans="1:42">
      <c r="A223" s="427" t="s">
        <v>226</v>
      </c>
      <c r="B223" s="40" t="s">
        <v>20</v>
      </c>
      <c r="C223" s="49">
        <v>6248800</v>
      </c>
      <c r="D223" s="35"/>
      <c r="E223" s="35"/>
      <c r="F223" s="35"/>
      <c r="G223" s="35"/>
      <c r="H223" s="35"/>
      <c r="I223" s="35"/>
      <c r="J223" s="30"/>
      <c r="K223" s="30"/>
      <c r="L223" s="30"/>
      <c r="M223" s="30"/>
      <c r="N223" s="30"/>
      <c r="O223" s="30"/>
      <c r="P223" s="39"/>
      <c r="S223" s="423"/>
      <c r="Y223" s="40" t="s">
        <v>20</v>
      </c>
      <c r="Z223" s="49">
        <v>6248800</v>
      </c>
      <c r="AA223" s="35"/>
      <c r="AB223" s="35"/>
      <c r="AC223" s="35"/>
      <c r="AD223" s="35"/>
      <c r="AE223" s="35"/>
      <c r="AF223" s="35"/>
      <c r="AG223" s="30"/>
      <c r="AH223" s="30"/>
      <c r="AI223" s="30"/>
      <c r="AJ223" s="30"/>
      <c r="AK223" s="30"/>
      <c r="AL223" s="30"/>
      <c r="AM223" s="39"/>
      <c r="AP223" s="423"/>
    </row>
    <row r="224" spans="1:42">
      <c r="A224" s="427"/>
      <c r="B224" s="40" t="s">
        <v>21</v>
      </c>
      <c r="C224" s="49">
        <v>5.97</v>
      </c>
      <c r="D224" s="35"/>
      <c r="E224" s="35"/>
      <c r="F224" s="35"/>
      <c r="G224" s="35"/>
      <c r="H224" s="35"/>
      <c r="I224" s="35"/>
      <c r="J224" s="30"/>
      <c r="K224" s="30"/>
      <c r="L224" s="30"/>
      <c r="M224" s="30"/>
      <c r="N224" s="30"/>
      <c r="O224" s="30"/>
      <c r="P224" s="39"/>
      <c r="S224" s="423"/>
      <c r="Y224" s="40" t="s">
        <v>21</v>
      </c>
      <c r="Z224" s="49">
        <v>5.97</v>
      </c>
      <c r="AA224" s="35"/>
      <c r="AB224" s="35"/>
      <c r="AC224" s="35"/>
      <c r="AD224" s="35"/>
      <c r="AE224" s="35"/>
      <c r="AF224" s="35"/>
      <c r="AG224" s="30"/>
      <c r="AH224" s="30"/>
      <c r="AI224" s="30"/>
      <c r="AJ224" s="30"/>
      <c r="AK224" s="30"/>
      <c r="AL224" s="30"/>
      <c r="AM224" s="39"/>
      <c r="AP224" s="423"/>
    </row>
    <row r="225" spans="1:43">
      <c r="C225" t="s">
        <v>67</v>
      </c>
      <c r="D225" s="35">
        <f>D215*$C$215</f>
        <v>1070148172.5000001</v>
      </c>
      <c r="E225" s="35">
        <f>E215*$C$215</f>
        <v>1102576905</v>
      </c>
      <c r="F225" s="35">
        <f>F215*$C$215</f>
        <v>843147045</v>
      </c>
      <c r="G225" s="35">
        <f>G215*$C$215</f>
        <v>875575777.5</v>
      </c>
      <c r="H225" s="35">
        <f>H215*$C$215</f>
        <v>1037719440</v>
      </c>
      <c r="I225" s="35">
        <f>I215*$C$215</f>
        <v>1102576905</v>
      </c>
      <c r="J225" s="35">
        <f>J215*$C$215</f>
        <v>1070148172.5000001</v>
      </c>
      <c r="K225" s="35">
        <f>K215*$C$215</f>
        <v>972861975</v>
      </c>
      <c r="L225" s="35">
        <f>L215*$C$215</f>
        <v>940433242.50000012</v>
      </c>
      <c r="M225" s="35">
        <f>M215*$C$215</f>
        <v>908004510.00000012</v>
      </c>
      <c r="N225" s="35">
        <f>N215*$C$215</f>
        <v>810718312.5</v>
      </c>
      <c r="O225" s="35">
        <f>O215*$C$215</f>
        <v>518859720</v>
      </c>
      <c r="P225" s="39">
        <f>SUM(D225:O225)</f>
        <v>11252770177.5</v>
      </c>
      <c r="Q225" s="84"/>
      <c r="R225" s="54" t="e">
        <f>P225/Q225</f>
        <v>#DIV/0!</v>
      </c>
      <c r="S225" s="424"/>
      <c r="Z225" t="s">
        <v>67</v>
      </c>
      <c r="AA225" s="35">
        <f>AA215*$C$215</f>
        <v>1111586347.2117918</v>
      </c>
      <c r="AB225" s="35">
        <f>AB215*$C$215</f>
        <v>1145270781.9757855</v>
      </c>
      <c r="AC225" s="35">
        <f>AC215*$C$215</f>
        <v>875795303.86383593</v>
      </c>
      <c r="AD225" s="35">
        <f>AD215*$C$215</f>
        <v>909479738.62782967</v>
      </c>
      <c r="AE225" s="35">
        <f>AE215*$C$215</f>
        <v>1077901912.447798</v>
      </c>
      <c r="AF225" s="35">
        <f>AF215*$C$215</f>
        <v>1145270781.9757855</v>
      </c>
      <c r="AG225" s="35">
        <f>AG215*$C$215</f>
        <v>1111586347.2117918</v>
      </c>
      <c r="AH225" s="35">
        <f>AH215*$C$215</f>
        <v>1010533042.9198107</v>
      </c>
      <c r="AI225" s="35">
        <f>AI215*$C$215</f>
        <v>976848608.15581703</v>
      </c>
      <c r="AJ225" s="35">
        <f>AJ215*$C$215</f>
        <v>943164173.39182329</v>
      </c>
      <c r="AK225" s="35">
        <f>AK215*$C$215</f>
        <v>842110869.09984219</v>
      </c>
      <c r="AL225" s="35">
        <f>AL215*$C$215</f>
        <v>538950956.22389901</v>
      </c>
      <c r="AM225" s="39">
        <f>SUM(AA225:AL225)</f>
        <v>11688498863.10581</v>
      </c>
      <c r="AN225" s="84"/>
      <c r="AO225" s="54"/>
      <c r="AP225" s="424"/>
    </row>
    <row r="226" spans="1:43">
      <c r="D226" s="35">
        <f>D216*$C$216</f>
        <v>110406029.814</v>
      </c>
      <c r="E226" s="35">
        <f>E216*$C$216</f>
        <v>51993226.071000002</v>
      </c>
      <c r="F226" s="35">
        <f>F216*$C$216</f>
        <v>32235709.995000001</v>
      </c>
      <c r="G226" s="35">
        <f>G216*$C$216</f>
        <v>38429979.255000003</v>
      </c>
      <c r="H226" s="35">
        <f>H216*$C$216</f>
        <v>107060392.54690909</v>
      </c>
      <c r="I226" s="35">
        <f>I216*$C$216</f>
        <v>51993226.071000002</v>
      </c>
      <c r="J226" s="35">
        <f>J216*$C$216</f>
        <v>40914554.993653849</v>
      </c>
      <c r="K226" s="35">
        <f>K216*$C$216</f>
        <v>42699976.950000003</v>
      </c>
      <c r="L226" s="35">
        <f>L216*$C$216</f>
        <v>97023480.745636359</v>
      </c>
      <c r="M226" s="35">
        <f>M216*$C$216</f>
        <v>42817950.881999999</v>
      </c>
      <c r="N226" s="35">
        <f>N216*$C$216</f>
        <v>30995874.995192312</v>
      </c>
      <c r="O226" s="35">
        <f>O216*$C$216</f>
        <v>22773321.039999999</v>
      </c>
      <c r="P226" s="39">
        <f>SUM(D226:O226)</f>
        <v>669343723.35939145</v>
      </c>
      <c r="Q226" s="402"/>
      <c r="R226" s="54" t="e">
        <f>P226/Q226</f>
        <v>#DIV/0!</v>
      </c>
      <c r="S226" s="424"/>
      <c r="AA226" s="35">
        <f>AA216*$C$216</f>
        <v>120415261.0620286</v>
      </c>
      <c r="AB226" s="35">
        <f>AB216*$C$216</f>
        <v>56706830.877923906</v>
      </c>
      <c r="AC226" s="35">
        <f>AC216*$C$216</f>
        <v>35158149.782811537</v>
      </c>
      <c r="AD226" s="35">
        <f>AD216*$C$216</f>
        <v>41913979.099885084</v>
      </c>
      <c r="AE226" s="35">
        <f>AE216*$C$216</f>
        <v>116766293.99751188</v>
      </c>
      <c r="AF226" s="35">
        <f>AF216*$C$216</f>
        <v>56706830.877923906</v>
      </c>
      <c r="AG226" s="35">
        <f>AG216*$C$216</f>
        <v>44623791.813840725</v>
      </c>
      <c r="AH226" s="35">
        <f>AH216*$C$216</f>
        <v>46571101.061832383</v>
      </c>
      <c r="AI226" s="35">
        <f>AI216*$C$216</f>
        <v>105819452.08278202</v>
      </c>
      <c r="AJ226" s="35">
        <f>AJ216*$C$216</f>
        <v>46699795.380778804</v>
      </c>
      <c r="AK226" s="35">
        <f>AK216*$C$216</f>
        <v>33805940.612158947</v>
      </c>
      <c r="AL226" s="35">
        <f>AL216*$C$216</f>
        <v>24837944.27783874</v>
      </c>
      <c r="AM226" s="39">
        <f>SUM(AA226:AL226)</f>
        <v>730025370.92731643</v>
      </c>
      <c r="AN226" s="402"/>
      <c r="AO226" s="54"/>
      <c r="AP226" s="424"/>
    </row>
    <row r="227" spans="1:43">
      <c r="A227" s="44"/>
      <c r="B227" s="44"/>
      <c r="C227" s="44"/>
      <c r="D227" s="50"/>
      <c r="E227" s="50"/>
      <c r="F227" s="50"/>
      <c r="G227" s="50"/>
      <c r="H227" s="50"/>
      <c r="I227" s="50"/>
      <c r="J227" s="46"/>
      <c r="K227" s="46"/>
      <c r="L227" s="46"/>
      <c r="M227" s="46"/>
      <c r="N227" s="46"/>
      <c r="O227" s="46"/>
      <c r="P227" s="48">
        <f>P225+P226</f>
        <v>11922113900.859392</v>
      </c>
      <c r="Q227" s="44"/>
      <c r="R227" s="44"/>
      <c r="S227" s="424">
        <f>P227/$P$277</f>
        <v>5.5793629938530064E-2</v>
      </c>
      <c r="T227" s="430">
        <f>$P$279*S227</f>
        <v>0</v>
      </c>
      <c r="Y227" s="44"/>
      <c r="Z227" s="44"/>
      <c r="AA227" s="50"/>
      <c r="AB227" s="50"/>
      <c r="AC227" s="50"/>
      <c r="AD227" s="50"/>
      <c r="AE227" s="50"/>
      <c r="AF227" s="50"/>
      <c r="AG227" s="46"/>
      <c r="AH227" s="46"/>
      <c r="AI227" s="46"/>
      <c r="AJ227" s="46"/>
      <c r="AK227" s="46"/>
      <c r="AL227" s="46"/>
      <c r="AM227" s="48">
        <f>AM225+AM226</f>
        <v>12418524234.033127</v>
      </c>
      <c r="AN227" s="44"/>
      <c r="AO227" s="44"/>
      <c r="AP227" s="424">
        <f>AM227/$P$277</f>
        <v>5.8116752721710428E-2</v>
      </c>
      <c r="AQ227" s="430">
        <f>$P$279*AP227</f>
        <v>0</v>
      </c>
    </row>
    <row r="228" spans="1:43">
      <c r="A228" s="44"/>
      <c r="B228" s="44"/>
      <c r="C228" s="44"/>
      <c r="D228" s="50"/>
      <c r="E228" s="50"/>
      <c r="F228" s="50"/>
      <c r="G228" s="50"/>
      <c r="H228" s="50"/>
      <c r="I228" s="50"/>
      <c r="J228" s="46"/>
      <c r="K228" s="46"/>
      <c r="L228" s="46"/>
      <c r="M228" s="46"/>
      <c r="N228" s="46"/>
      <c r="O228" s="46"/>
      <c r="P228" s="48"/>
      <c r="Q228" s="44"/>
      <c r="R228" s="44"/>
      <c r="S228" s="423"/>
      <c r="Y228" s="44"/>
      <c r="Z228" s="44"/>
      <c r="AA228" s="50"/>
      <c r="AB228" s="50"/>
      <c r="AC228" s="50"/>
      <c r="AD228" s="50"/>
      <c r="AE228" s="50"/>
      <c r="AF228" s="50"/>
      <c r="AG228" s="46"/>
      <c r="AH228" s="46"/>
      <c r="AI228" s="46"/>
      <c r="AJ228" s="46"/>
      <c r="AK228" s="46"/>
      <c r="AL228" s="46"/>
      <c r="AM228" s="48"/>
      <c r="AN228" s="44"/>
      <c r="AO228" s="44"/>
      <c r="AP228" s="423"/>
    </row>
    <row r="229" spans="1:43">
      <c r="B229" t="s">
        <v>59</v>
      </c>
      <c r="D229" s="433">
        <v>0</v>
      </c>
      <c r="E229" s="433">
        <v>0</v>
      </c>
      <c r="F229" s="433">
        <v>0</v>
      </c>
      <c r="G229" s="433">
        <v>0</v>
      </c>
      <c r="H229" s="433">
        <v>0</v>
      </c>
      <c r="I229" s="433">
        <v>0</v>
      </c>
      <c r="J229" s="37">
        <v>0</v>
      </c>
      <c r="K229" s="37">
        <v>0</v>
      </c>
      <c r="L229" s="37">
        <v>0</v>
      </c>
      <c r="M229" s="37">
        <v>0</v>
      </c>
      <c r="N229" s="37">
        <v>0</v>
      </c>
      <c r="O229" s="37">
        <v>0</v>
      </c>
      <c r="P229" s="39">
        <f>SUM(D229:O229)</f>
        <v>0</v>
      </c>
      <c r="Q229" t="e">
        <f>P230/P229</f>
        <v>#DIV/0!</v>
      </c>
      <c r="S229" s="423"/>
      <c r="Y229" t="s">
        <v>59</v>
      </c>
      <c r="AA229" s="428">
        <f>'[1]PANDU PELSUS'!U71</f>
        <v>0</v>
      </c>
      <c r="AB229" s="428">
        <f>'[1]PANDU PELSUS'!V71</f>
        <v>0</v>
      </c>
      <c r="AC229" s="428">
        <f>'[1]PANDU PELSUS'!W71</f>
        <v>0</v>
      </c>
      <c r="AD229" s="428">
        <f>'[1]PANDU PELSUS'!X71</f>
        <v>0</v>
      </c>
      <c r="AE229" s="428">
        <f>'[1]PANDU PELSUS'!Y71</f>
        <v>0</v>
      </c>
      <c r="AF229" s="428">
        <f>'[1]PANDU PELSUS'!Z71</f>
        <v>0</v>
      </c>
      <c r="AG229" s="428">
        <f>'[1]PANDU PELSUS'!AA71</f>
        <v>0</v>
      </c>
      <c r="AH229" s="428">
        <f>'[1]PANDU PELSUS'!AB71</f>
        <v>0</v>
      </c>
      <c r="AI229" s="428">
        <f>'[1]PANDU PELSUS'!AC71</f>
        <v>0</v>
      </c>
      <c r="AJ229" s="428">
        <f>'[1]PANDU PELSUS'!AD71</f>
        <v>0</v>
      </c>
      <c r="AK229" s="428">
        <f>'[1]PANDU PELSUS'!AE71</f>
        <v>0</v>
      </c>
      <c r="AL229" s="428">
        <f>'[1]PANDU PELSUS'!AF71</f>
        <v>0</v>
      </c>
      <c r="AM229" s="39">
        <f>SUM(AA229:AL229)</f>
        <v>0</v>
      </c>
      <c r="AP229" s="423"/>
    </row>
    <row r="230" spans="1:43">
      <c r="D230" s="433">
        <v>0</v>
      </c>
      <c r="E230" s="433">
        <v>0</v>
      </c>
      <c r="F230" s="433">
        <v>0</v>
      </c>
      <c r="G230" s="433">
        <v>0</v>
      </c>
      <c r="H230" s="433">
        <v>0</v>
      </c>
      <c r="I230" s="433">
        <v>0</v>
      </c>
      <c r="J230" s="37">
        <v>0</v>
      </c>
      <c r="K230" s="37">
        <v>0</v>
      </c>
      <c r="L230" s="37">
        <v>0</v>
      </c>
      <c r="M230" s="37">
        <v>0</v>
      </c>
      <c r="N230" s="37">
        <v>0</v>
      </c>
      <c r="O230" s="37">
        <v>0</v>
      </c>
      <c r="P230" s="39">
        <f>SUM(D230:O230)</f>
        <v>0</v>
      </c>
      <c r="S230" s="423"/>
      <c r="AA230" s="428">
        <f>'[1]PANDU PELSUS'!U72</f>
        <v>0</v>
      </c>
      <c r="AB230" s="428">
        <f>'[1]PANDU PELSUS'!V72</f>
        <v>0</v>
      </c>
      <c r="AC230" s="428">
        <f>'[1]PANDU PELSUS'!W72</f>
        <v>0</v>
      </c>
      <c r="AD230" s="428">
        <f>'[1]PANDU PELSUS'!X72</f>
        <v>0</v>
      </c>
      <c r="AE230" s="428">
        <f>'[1]PANDU PELSUS'!Y72</f>
        <v>0</v>
      </c>
      <c r="AF230" s="428">
        <f>'[1]PANDU PELSUS'!Z72</f>
        <v>0</v>
      </c>
      <c r="AG230" s="428">
        <f>'[1]PANDU PELSUS'!AA72</f>
        <v>0</v>
      </c>
      <c r="AH230" s="428">
        <f>'[1]PANDU PELSUS'!AB72</f>
        <v>0</v>
      </c>
      <c r="AI230" s="428">
        <f>'[1]PANDU PELSUS'!AC72</f>
        <v>0</v>
      </c>
      <c r="AJ230" s="428">
        <f>'[1]PANDU PELSUS'!AD72</f>
        <v>0</v>
      </c>
      <c r="AK230" s="428">
        <f>'[1]PANDU PELSUS'!AE72</f>
        <v>0</v>
      </c>
      <c r="AL230" s="428">
        <f>'[1]PANDU PELSUS'!AF72</f>
        <v>0</v>
      </c>
      <c r="AM230" s="39">
        <f>SUM(AA230:AL230)</f>
        <v>0</v>
      </c>
      <c r="AP230" s="423"/>
    </row>
    <row r="231" spans="1:43">
      <c r="A231" s="427" t="s">
        <v>225</v>
      </c>
      <c r="B231" s="40" t="s">
        <v>20</v>
      </c>
      <c r="C231" s="49">
        <v>0</v>
      </c>
      <c r="D231" s="35">
        <f>D229*$F$3</f>
        <v>0</v>
      </c>
      <c r="E231" s="35">
        <f>E229*$F$3</f>
        <v>0</v>
      </c>
      <c r="F231" s="35">
        <f>F229*$F$3</f>
        <v>0</v>
      </c>
      <c r="G231" s="35">
        <f>G229*$F$3</f>
        <v>0</v>
      </c>
      <c r="H231" s="35">
        <f>H229*$F$3</f>
        <v>0</v>
      </c>
      <c r="I231" s="35">
        <f>I229*$F$3</f>
        <v>0</v>
      </c>
      <c r="J231" s="35">
        <f>J229*$F$3</f>
        <v>0</v>
      </c>
      <c r="K231" s="35">
        <f>K229*$F$3</f>
        <v>0</v>
      </c>
      <c r="L231" s="35">
        <f>L229*$F$3</f>
        <v>0</v>
      </c>
      <c r="M231" s="35">
        <f>M229*$F$3</f>
        <v>0</v>
      </c>
      <c r="N231" s="35">
        <f>N229*$F$3</f>
        <v>0</v>
      </c>
      <c r="O231" s="35">
        <f>O229*$F$3</f>
        <v>0</v>
      </c>
      <c r="P231" s="39">
        <f>SUM(D231:O231)</f>
        <v>0</v>
      </c>
      <c r="S231" s="423"/>
      <c r="Y231" s="40" t="s">
        <v>20</v>
      </c>
      <c r="Z231" s="49">
        <v>0</v>
      </c>
      <c r="AA231" s="35">
        <f>AA229*$F$3</f>
        <v>0</v>
      </c>
      <c r="AB231" s="35">
        <f>AB229*$F$3</f>
        <v>0</v>
      </c>
      <c r="AC231" s="35">
        <f>AC229*$F$3</f>
        <v>0</v>
      </c>
      <c r="AD231" s="35">
        <f>AD229*$F$3</f>
        <v>0</v>
      </c>
      <c r="AE231" s="35">
        <f>AE229*$F$3</f>
        <v>0</v>
      </c>
      <c r="AF231" s="35">
        <f>AF229*$F$3</f>
        <v>0</v>
      </c>
      <c r="AG231" s="35">
        <f>AG229*$F$3</f>
        <v>0</v>
      </c>
      <c r="AH231" s="35">
        <f>AH229*$F$3</f>
        <v>0</v>
      </c>
      <c r="AI231" s="35">
        <f>AI229*$F$3</f>
        <v>0</v>
      </c>
      <c r="AJ231" s="35">
        <f>AJ229*$F$3</f>
        <v>0</v>
      </c>
      <c r="AK231" s="35">
        <f>AK229*$F$3</f>
        <v>0</v>
      </c>
      <c r="AL231" s="35">
        <f>AL229*$F$3</f>
        <v>0</v>
      </c>
      <c r="AM231" s="39">
        <f>SUM(AA231:AL231)</f>
        <v>0</v>
      </c>
      <c r="AP231" s="423"/>
    </row>
    <row r="232" spans="1:43">
      <c r="A232" s="427"/>
      <c r="B232" s="40" t="s">
        <v>21</v>
      </c>
      <c r="C232" s="49">
        <v>0</v>
      </c>
      <c r="D232" s="35">
        <f>D230*$F$3</f>
        <v>0</v>
      </c>
      <c r="E232" s="35">
        <f>E230*$F$3</f>
        <v>0</v>
      </c>
      <c r="F232" s="35">
        <f>F230*$F$3</f>
        <v>0</v>
      </c>
      <c r="G232" s="35">
        <f>G230*$F$3</f>
        <v>0</v>
      </c>
      <c r="H232" s="35">
        <f>H230*$F$3</f>
        <v>0</v>
      </c>
      <c r="I232" s="35">
        <f>I230*$F$3</f>
        <v>0</v>
      </c>
      <c r="J232" s="35">
        <f>J230*$F$3</f>
        <v>0</v>
      </c>
      <c r="K232" s="35">
        <f>K230*$F$3</f>
        <v>0</v>
      </c>
      <c r="L232" s="35">
        <f>L230*$F$3</f>
        <v>0</v>
      </c>
      <c r="M232" s="35">
        <f>M230*$F$3</f>
        <v>0</v>
      </c>
      <c r="N232" s="35">
        <f>N230*$F$3</f>
        <v>0</v>
      </c>
      <c r="O232" s="35">
        <f>O230*$F$3</f>
        <v>0</v>
      </c>
      <c r="P232" s="39">
        <f>SUM(D232:O232)</f>
        <v>0</v>
      </c>
      <c r="S232" s="423"/>
      <c r="Y232" s="40" t="s">
        <v>21</v>
      </c>
      <c r="Z232" s="49">
        <v>0</v>
      </c>
      <c r="AA232" s="35">
        <f>AA230*$F$3</f>
        <v>0</v>
      </c>
      <c r="AB232" s="35">
        <f>AB230*$F$3</f>
        <v>0</v>
      </c>
      <c r="AC232" s="35">
        <f>AC230*$F$3</f>
        <v>0</v>
      </c>
      <c r="AD232" s="35">
        <f>AD230*$F$3</f>
        <v>0</v>
      </c>
      <c r="AE232" s="35">
        <f>AE230*$F$3</f>
        <v>0</v>
      </c>
      <c r="AF232" s="35">
        <f>AF230*$F$3</f>
        <v>0</v>
      </c>
      <c r="AG232" s="35">
        <f>AG230*$F$3</f>
        <v>0</v>
      </c>
      <c r="AH232" s="35">
        <f>AH230*$F$3</f>
        <v>0</v>
      </c>
      <c r="AI232" s="35">
        <f>AI230*$F$3</f>
        <v>0</v>
      </c>
      <c r="AJ232" s="35">
        <f>AJ230*$F$3</f>
        <v>0</v>
      </c>
      <c r="AK232" s="35">
        <f>AK230*$F$3</f>
        <v>0</v>
      </c>
      <c r="AL232" s="35">
        <f>AL230*$F$3</f>
        <v>0</v>
      </c>
      <c r="AM232" s="39">
        <f>SUM(AA232:AL232)</f>
        <v>0</v>
      </c>
      <c r="AP232" s="423"/>
    </row>
    <row r="233" spans="1:43">
      <c r="A233" s="426"/>
      <c r="B233" s="41"/>
      <c r="C233" s="51"/>
      <c r="D233" s="35">
        <f>D231*$C$231</f>
        <v>0</v>
      </c>
      <c r="E233" s="35">
        <f>E231*$C$231</f>
        <v>0</v>
      </c>
      <c r="F233" s="35">
        <f>F231*$C$231</f>
        <v>0</v>
      </c>
      <c r="G233" s="35">
        <f>G231*$C$231</f>
        <v>0</v>
      </c>
      <c r="H233" s="35">
        <f>H231*$C$231</f>
        <v>0</v>
      </c>
      <c r="I233" s="35">
        <f>I231*$C$231</f>
        <v>0</v>
      </c>
      <c r="J233" s="35">
        <f>J231*$C$231</f>
        <v>0</v>
      </c>
      <c r="K233" s="35">
        <f>K231*$C$231</f>
        <v>0</v>
      </c>
      <c r="L233" s="35">
        <f>L231*$C$231</f>
        <v>0</v>
      </c>
      <c r="M233" s="35">
        <f>M231*$C$231</f>
        <v>0</v>
      </c>
      <c r="N233" s="35">
        <f>N231*$C$231</f>
        <v>0</v>
      </c>
      <c r="O233" s="35">
        <f>O231*$C$231</f>
        <v>0</v>
      </c>
      <c r="P233" s="39">
        <f>SUM(D233:O233)</f>
        <v>0</v>
      </c>
      <c r="R233" s="54" t="e">
        <f>P233/Q233</f>
        <v>#DIV/0!</v>
      </c>
      <c r="S233" s="424"/>
      <c r="Y233" s="41"/>
      <c r="Z233" s="51"/>
      <c r="AA233" s="35">
        <f>AA231*$C$231</f>
        <v>0</v>
      </c>
      <c r="AB233" s="35">
        <f>AB231*$C$231</f>
        <v>0</v>
      </c>
      <c r="AC233" s="35">
        <f>AC231*$C$231</f>
        <v>0</v>
      </c>
      <c r="AD233" s="35">
        <f>AD231*$C$231</f>
        <v>0</v>
      </c>
      <c r="AE233" s="35">
        <f>AE231*$C$231</f>
        <v>0</v>
      </c>
      <c r="AF233" s="35">
        <f>AF231*$C$231</f>
        <v>0</v>
      </c>
      <c r="AG233" s="35">
        <f>AG231*$C$231</f>
        <v>0</v>
      </c>
      <c r="AH233" s="35">
        <f>AH231*$C$231</f>
        <v>0</v>
      </c>
      <c r="AI233" s="35">
        <f>AI231*$C$231</f>
        <v>0</v>
      </c>
      <c r="AJ233" s="35">
        <f>AJ231*$C$231</f>
        <v>0</v>
      </c>
      <c r="AK233" s="35">
        <f>AK231*$C$231</f>
        <v>0</v>
      </c>
      <c r="AL233" s="35">
        <f>AL231*$C$231</f>
        <v>0</v>
      </c>
      <c r="AM233" s="39">
        <f>SUM(AA233:AL233)</f>
        <v>0</v>
      </c>
      <c r="AO233" s="54"/>
      <c r="AP233" s="424"/>
    </row>
    <row r="234" spans="1:43">
      <c r="A234" s="426"/>
      <c r="B234" s="41"/>
      <c r="C234" s="51"/>
      <c r="D234" s="35">
        <f>D232*$C$232</f>
        <v>0</v>
      </c>
      <c r="E234" s="35">
        <f>E232*$C$232</f>
        <v>0</v>
      </c>
      <c r="F234" s="35">
        <f>F232*$C$232</f>
        <v>0</v>
      </c>
      <c r="G234" s="35">
        <f>G232*$C$232</f>
        <v>0</v>
      </c>
      <c r="H234" s="35">
        <f>H232*$C$232</f>
        <v>0</v>
      </c>
      <c r="I234" s="35">
        <f>I232*$C$232</f>
        <v>0</v>
      </c>
      <c r="J234" s="35">
        <f>J232*$C$232</f>
        <v>0</v>
      </c>
      <c r="K234" s="35">
        <f>K232*$C$232</f>
        <v>0</v>
      </c>
      <c r="L234" s="35">
        <f>L232*$C$232</f>
        <v>0</v>
      </c>
      <c r="M234" s="35">
        <f>M232*$C$232</f>
        <v>0</v>
      </c>
      <c r="N234" s="35">
        <f>N232*$C$232</f>
        <v>0</v>
      </c>
      <c r="O234" s="35">
        <f>O232*$C$232</f>
        <v>0</v>
      </c>
      <c r="P234" s="39">
        <f>SUM(D234:O234)</f>
        <v>0</v>
      </c>
      <c r="R234" s="54" t="e">
        <f>P234/Q234</f>
        <v>#DIV/0!</v>
      </c>
      <c r="S234" s="424"/>
      <c r="Y234" s="41"/>
      <c r="Z234" s="51"/>
      <c r="AA234" s="35">
        <f>AA232*$C$232</f>
        <v>0</v>
      </c>
      <c r="AB234" s="35">
        <f>AB232*$C$232</f>
        <v>0</v>
      </c>
      <c r="AC234" s="35">
        <f>AC232*$C$232</f>
        <v>0</v>
      </c>
      <c r="AD234" s="35">
        <f>AD232*$C$232</f>
        <v>0</v>
      </c>
      <c r="AE234" s="35">
        <f>AE232*$C$232</f>
        <v>0</v>
      </c>
      <c r="AF234" s="35">
        <f>AF232*$C$232</f>
        <v>0</v>
      </c>
      <c r="AG234" s="35">
        <f>AG232*$C$232</f>
        <v>0</v>
      </c>
      <c r="AH234" s="35">
        <f>AH232*$C$232</f>
        <v>0</v>
      </c>
      <c r="AI234" s="35">
        <f>AI232*$C$232</f>
        <v>0</v>
      </c>
      <c r="AJ234" s="35">
        <f>AJ232*$C$232</f>
        <v>0</v>
      </c>
      <c r="AK234" s="35">
        <f>AK232*$C$232</f>
        <v>0</v>
      </c>
      <c r="AL234" s="35">
        <f>AL232*$C$232</f>
        <v>0</v>
      </c>
      <c r="AM234" s="39">
        <f>SUM(AA234:AL234)</f>
        <v>0</v>
      </c>
      <c r="AO234" s="54"/>
      <c r="AP234" s="424"/>
    </row>
    <row r="235" spans="1:43">
      <c r="A235" s="44"/>
      <c r="B235" s="44"/>
      <c r="C235" s="44"/>
      <c r="D235" s="50"/>
      <c r="E235" s="50"/>
      <c r="F235" s="50"/>
      <c r="G235" s="50"/>
      <c r="H235" s="50"/>
      <c r="I235" s="50"/>
      <c r="J235" s="46"/>
      <c r="K235" s="46"/>
      <c r="L235" s="46"/>
      <c r="M235" s="46"/>
      <c r="N235" s="46"/>
      <c r="O235" s="46"/>
      <c r="P235" s="48">
        <f>P233+P234</f>
        <v>0</v>
      </c>
      <c r="Q235" s="44"/>
      <c r="R235" s="44"/>
      <c r="S235" s="424">
        <f>P235/$P$277</f>
        <v>0</v>
      </c>
      <c r="T235" s="430">
        <f>$P$279*S235</f>
        <v>0</v>
      </c>
      <c r="Y235" s="44"/>
      <c r="Z235" s="44"/>
      <c r="AA235" s="50"/>
      <c r="AB235" s="50"/>
      <c r="AC235" s="50"/>
      <c r="AD235" s="50"/>
      <c r="AE235" s="50"/>
      <c r="AF235" s="50"/>
      <c r="AG235" s="46"/>
      <c r="AH235" s="46"/>
      <c r="AI235" s="46"/>
      <c r="AJ235" s="46"/>
      <c r="AK235" s="46"/>
      <c r="AL235" s="46"/>
      <c r="AM235" s="48">
        <f>AM233+AM234</f>
        <v>0</v>
      </c>
      <c r="AN235" s="44"/>
      <c r="AO235" s="44"/>
      <c r="AP235" s="424">
        <f>AM235/$P$277</f>
        <v>0</v>
      </c>
      <c r="AQ235" s="430">
        <f>$P$279*AP235</f>
        <v>0</v>
      </c>
    </row>
    <row r="236" spans="1:43">
      <c r="A236" s="44"/>
      <c r="B236" s="44"/>
      <c r="C236" s="44"/>
      <c r="D236" s="50"/>
      <c r="E236" s="50"/>
      <c r="F236" s="50"/>
      <c r="G236" s="50"/>
      <c r="H236" s="50"/>
      <c r="I236" s="50"/>
      <c r="J236" s="46"/>
      <c r="K236" s="46"/>
      <c r="L236" s="46"/>
      <c r="M236" s="46"/>
      <c r="N236" s="46"/>
      <c r="O236" s="46"/>
      <c r="P236" s="48"/>
      <c r="Q236" s="44"/>
      <c r="R236" s="44"/>
      <c r="S236" s="423"/>
      <c r="Y236" s="44"/>
      <c r="Z236" s="44"/>
      <c r="AA236" s="50"/>
      <c r="AB236" s="50"/>
      <c r="AC236" s="50"/>
      <c r="AD236" s="50"/>
      <c r="AE236" s="50"/>
      <c r="AF236" s="50"/>
      <c r="AG236" s="46"/>
      <c r="AH236" s="46"/>
      <c r="AI236" s="46"/>
      <c r="AJ236" s="46"/>
      <c r="AK236" s="46"/>
      <c r="AL236" s="46"/>
      <c r="AM236" s="48"/>
      <c r="AN236" s="44"/>
      <c r="AO236" s="44"/>
      <c r="AP236" s="423"/>
    </row>
    <row r="237" spans="1:43">
      <c r="B237" t="s">
        <v>216</v>
      </c>
      <c r="D237" s="429">
        <f>'[1]PANDU PELSUS'!C77</f>
        <v>0</v>
      </c>
      <c r="E237" s="429">
        <f>'[1]PANDU PELSUS'!D77</f>
        <v>0</v>
      </c>
      <c r="F237" s="429">
        <f>'[1]PANDU PELSUS'!E77</f>
        <v>0</v>
      </c>
      <c r="G237" s="429">
        <f>'[1]PANDU PELSUS'!F77</f>
        <v>0</v>
      </c>
      <c r="H237" s="429">
        <f>'[1]PANDU PELSUS'!G77</f>
        <v>0</v>
      </c>
      <c r="I237" s="429">
        <f>'[1]PANDU PELSUS'!H77</f>
        <v>0</v>
      </c>
      <c r="J237" s="103">
        <f>'[1]PANDU PELSUS'!I77</f>
        <v>0</v>
      </c>
      <c r="K237" s="103">
        <f>'[1]PANDU PELSUS'!J77</f>
        <v>0</v>
      </c>
      <c r="L237" s="103">
        <f>'[1]PANDU PELSUS'!K77</f>
        <v>0</v>
      </c>
      <c r="M237" s="103">
        <f>'[1]PANDU PELSUS'!L77</f>
        <v>0</v>
      </c>
      <c r="N237" s="103">
        <f>'[1]PANDU PELSUS'!M77</f>
        <v>0</v>
      </c>
      <c r="O237" s="103">
        <f>'[1]PANDU PELSUS'!N77</f>
        <v>0</v>
      </c>
      <c r="P237" s="39">
        <f>SUM(D237:O237)</f>
        <v>0</v>
      </c>
      <c r="Q237" t="e">
        <f>P238/P237</f>
        <v>#DIV/0!</v>
      </c>
      <c r="S237" s="423"/>
      <c r="Y237" t="s">
        <v>216</v>
      </c>
      <c r="AA237" s="428">
        <f>'[1]PANDU PELSUS'!U77</f>
        <v>0</v>
      </c>
      <c r="AB237" s="428">
        <f>'[1]PANDU PELSUS'!V77</f>
        <v>0</v>
      </c>
      <c r="AC237" s="428">
        <f>'[1]PANDU PELSUS'!W77</f>
        <v>0</v>
      </c>
      <c r="AD237" s="428">
        <f>'[1]PANDU PELSUS'!X77</f>
        <v>0</v>
      </c>
      <c r="AE237" s="428">
        <f>'[1]PANDU PELSUS'!Y77</f>
        <v>0</v>
      </c>
      <c r="AF237" s="428">
        <f>'[1]PANDU PELSUS'!Z77</f>
        <v>0</v>
      </c>
      <c r="AG237" s="428">
        <f>'[1]PANDU PELSUS'!AA77</f>
        <v>0</v>
      </c>
      <c r="AH237" s="428">
        <f>'[1]PANDU PELSUS'!AB77</f>
        <v>0</v>
      </c>
      <c r="AI237" s="428">
        <f>'[1]PANDU PELSUS'!AC77</f>
        <v>0</v>
      </c>
      <c r="AJ237" s="428">
        <f>'[1]PANDU PELSUS'!AD77</f>
        <v>0</v>
      </c>
      <c r="AK237" s="428">
        <f>'[1]PANDU PELSUS'!AE77</f>
        <v>0</v>
      </c>
      <c r="AL237" s="428">
        <f>'[1]PANDU PELSUS'!AF77</f>
        <v>0</v>
      </c>
      <c r="AM237" s="39">
        <f>SUM(AA237:AL237)</f>
        <v>0</v>
      </c>
      <c r="AP237" s="423"/>
    </row>
    <row r="238" spans="1:43">
      <c r="D238" s="429">
        <f>'[1]PANDU PELSUS'!C78</f>
        <v>0</v>
      </c>
      <c r="E238" s="429">
        <f>'[1]PANDU PELSUS'!D78</f>
        <v>0</v>
      </c>
      <c r="F238" s="429">
        <f>'[1]PANDU PELSUS'!E78</f>
        <v>0</v>
      </c>
      <c r="G238" s="429">
        <f>'[1]PANDU PELSUS'!F78</f>
        <v>0</v>
      </c>
      <c r="H238" s="429">
        <f>'[1]PANDU PELSUS'!G78</f>
        <v>0</v>
      </c>
      <c r="I238" s="429">
        <f>'[1]PANDU PELSUS'!H78</f>
        <v>0</v>
      </c>
      <c r="J238" s="103">
        <f>'[1]PANDU PELSUS'!I78</f>
        <v>0</v>
      </c>
      <c r="K238" s="103">
        <f>'[1]PANDU PELSUS'!J78</f>
        <v>0</v>
      </c>
      <c r="L238" s="103">
        <f>'[1]PANDU PELSUS'!K78</f>
        <v>0</v>
      </c>
      <c r="M238" s="103">
        <f>'[1]PANDU PELSUS'!L78</f>
        <v>0</v>
      </c>
      <c r="N238" s="103">
        <f>'[1]PANDU PELSUS'!M78</f>
        <v>0</v>
      </c>
      <c r="O238" s="103">
        <f>'[1]PANDU PELSUS'!N78</f>
        <v>0</v>
      </c>
      <c r="P238" s="39">
        <f>SUM(D238:O238)</f>
        <v>0</v>
      </c>
      <c r="S238" s="423"/>
      <c r="AA238" s="428">
        <f>'[1]PANDU PELSUS'!U78</f>
        <v>0</v>
      </c>
      <c r="AB238" s="428">
        <f>'[1]PANDU PELSUS'!V78</f>
        <v>0</v>
      </c>
      <c r="AC238" s="428">
        <f>'[1]PANDU PELSUS'!W78</f>
        <v>0</v>
      </c>
      <c r="AD238" s="428">
        <f>'[1]PANDU PELSUS'!X78</f>
        <v>0</v>
      </c>
      <c r="AE238" s="428">
        <f>'[1]PANDU PELSUS'!Y78</f>
        <v>0</v>
      </c>
      <c r="AF238" s="428">
        <f>'[1]PANDU PELSUS'!Z78</f>
        <v>0</v>
      </c>
      <c r="AG238" s="428">
        <f>'[1]PANDU PELSUS'!AA78</f>
        <v>0</v>
      </c>
      <c r="AH238" s="428">
        <f>'[1]PANDU PELSUS'!AB78</f>
        <v>0</v>
      </c>
      <c r="AI238" s="428">
        <f>'[1]PANDU PELSUS'!AC78</f>
        <v>0</v>
      </c>
      <c r="AJ238" s="428">
        <f>'[1]PANDU PELSUS'!AD78</f>
        <v>0</v>
      </c>
      <c r="AK238" s="428">
        <f>'[1]PANDU PELSUS'!AE78</f>
        <v>0</v>
      </c>
      <c r="AL238" s="428">
        <f>'[1]PANDU PELSUS'!AF78</f>
        <v>0</v>
      </c>
      <c r="AM238" s="39">
        <f>SUM(AA238:AL238)</f>
        <v>0</v>
      </c>
      <c r="AP238" s="423"/>
    </row>
    <row r="239" spans="1:43">
      <c r="A239" s="427" t="s">
        <v>224</v>
      </c>
      <c r="B239" s="40" t="s">
        <v>20</v>
      </c>
      <c r="C239" s="49">
        <v>2102150</v>
      </c>
      <c r="D239" s="432">
        <f>D237*$F$3</f>
        <v>0</v>
      </c>
      <c r="E239" s="432">
        <f>E237*$F$3</f>
        <v>0</v>
      </c>
      <c r="F239" s="432">
        <f>F237*$F$3</f>
        <v>0</v>
      </c>
      <c r="G239" s="432">
        <f>G237*$F$3</f>
        <v>0</v>
      </c>
      <c r="H239" s="432">
        <f>H237*$F$3</f>
        <v>0</v>
      </c>
      <c r="I239" s="432">
        <f>I237*$F$3</f>
        <v>0</v>
      </c>
      <c r="J239" s="432">
        <f>J237*$F$3</f>
        <v>0</v>
      </c>
      <c r="K239" s="432">
        <f>K237*$F$3</f>
        <v>0</v>
      </c>
      <c r="L239" s="432">
        <f>L237*$F$3</f>
        <v>0</v>
      </c>
      <c r="M239" s="432">
        <f>M237*$F$3</f>
        <v>0</v>
      </c>
      <c r="N239" s="432">
        <f>N237*$F$3</f>
        <v>0</v>
      </c>
      <c r="O239" s="432">
        <f>O237*$F$3</f>
        <v>0</v>
      </c>
      <c r="P239" s="39">
        <f>SUM(D239:O239)</f>
        <v>0</v>
      </c>
      <c r="S239" s="423"/>
      <c r="Y239" s="40" t="s">
        <v>20</v>
      </c>
      <c r="Z239" s="49">
        <v>2102150</v>
      </c>
      <c r="AA239" s="432">
        <f>AA237*$AC$3*$AF$3</f>
        <v>0</v>
      </c>
      <c r="AB239" s="432">
        <f>AB237*$AC$3*$AF$3</f>
        <v>0</v>
      </c>
      <c r="AC239" s="432">
        <f>AC237*$AC$3*$AF$3</f>
        <v>0</v>
      </c>
      <c r="AD239" s="432">
        <f>AD237*$AC$3*$AF$3</f>
        <v>0</v>
      </c>
      <c r="AE239" s="432">
        <f>AE237*$AC$3*$AF$3</f>
        <v>0</v>
      </c>
      <c r="AF239" s="432">
        <f>AF237*$AC$3*$AF$3</f>
        <v>0</v>
      </c>
      <c r="AG239" s="432">
        <f>AG237*$AC$3*$AF$3</f>
        <v>0</v>
      </c>
      <c r="AH239" s="432">
        <f>AH237*$AC$3*$AF$3</f>
        <v>0</v>
      </c>
      <c r="AI239" s="432">
        <f>AI237*$AC$3*$AF$3</f>
        <v>0</v>
      </c>
      <c r="AJ239" s="432">
        <f>AJ237*$AC$3*$AF$3</f>
        <v>0</v>
      </c>
      <c r="AK239" s="432">
        <f>AK237*$AC$3*$AF$3</f>
        <v>0</v>
      </c>
      <c r="AL239" s="432">
        <f>AL237*$AC$3*$AF$3</f>
        <v>0</v>
      </c>
      <c r="AM239" s="39">
        <f>SUM(AA239:AL239)</f>
        <v>0</v>
      </c>
      <c r="AP239" s="423"/>
    </row>
    <row r="240" spans="1:43">
      <c r="A240" s="427"/>
      <c r="B240" s="40" t="s">
        <v>21</v>
      </c>
      <c r="C240" s="51">
        <v>7.06</v>
      </c>
      <c r="D240" s="432">
        <f>D238*$F$3</f>
        <v>0</v>
      </c>
      <c r="E240" s="432">
        <f>E238*$F$3</f>
        <v>0</v>
      </c>
      <c r="F240" s="432">
        <f>F238*$F$3</f>
        <v>0</v>
      </c>
      <c r="G240" s="432">
        <f>G238*$F$3</f>
        <v>0</v>
      </c>
      <c r="H240" s="432">
        <f>H238*$F$3</f>
        <v>0</v>
      </c>
      <c r="I240" s="432">
        <f>I238*$F$3</f>
        <v>0</v>
      </c>
      <c r="J240" s="432">
        <f>J238*$F$3</f>
        <v>0</v>
      </c>
      <c r="K240" s="432">
        <f>K238*$F$3</f>
        <v>0</v>
      </c>
      <c r="L240" s="432">
        <f>L238*$F$3</f>
        <v>0</v>
      </c>
      <c r="M240" s="432">
        <f>M238*$F$3</f>
        <v>0</v>
      </c>
      <c r="N240" s="432">
        <f>N238*$F$3</f>
        <v>0</v>
      </c>
      <c r="O240" s="432">
        <f>O238*$F$3</f>
        <v>0</v>
      </c>
      <c r="P240" s="39">
        <f>SUM(D240:O240)</f>
        <v>0</v>
      </c>
      <c r="S240" s="423"/>
      <c r="Y240" s="40" t="s">
        <v>21</v>
      </c>
      <c r="Z240" s="51">
        <v>7.06</v>
      </c>
      <c r="AA240" s="432">
        <f>AA238*$AC$3*$AF$3</f>
        <v>0</v>
      </c>
      <c r="AB240" s="432">
        <f>AB238*$AC$3*$AF$3</f>
        <v>0</v>
      </c>
      <c r="AC240" s="432">
        <f>AC238*$AC$3*$AF$3</f>
        <v>0</v>
      </c>
      <c r="AD240" s="432">
        <f>AD238*$AC$3*$AF$3</f>
        <v>0</v>
      </c>
      <c r="AE240" s="432">
        <f>AE238*$AC$3*$AF$3</f>
        <v>0</v>
      </c>
      <c r="AF240" s="432">
        <f>AF238*$AC$3*$AF$3</f>
        <v>0</v>
      </c>
      <c r="AG240" s="432">
        <f>AG238*$AC$3*$AF$3</f>
        <v>0</v>
      </c>
      <c r="AH240" s="432">
        <f>AH238*$AC$3*$AF$3</f>
        <v>0</v>
      </c>
      <c r="AI240" s="432">
        <f>AI238*$AC$3*$AF$3</f>
        <v>0</v>
      </c>
      <c r="AJ240" s="432">
        <f>AJ238*$AC$3*$AF$3</f>
        <v>0</v>
      </c>
      <c r="AK240" s="432">
        <f>AK238*$AC$3*$AF$3</f>
        <v>0</v>
      </c>
      <c r="AL240" s="432">
        <f>AL238*$AC$3*$AF$3</f>
        <v>0</v>
      </c>
      <c r="AM240" s="39">
        <f>SUM(AA240:AL240)</f>
        <v>0</v>
      </c>
      <c r="AP240" s="423"/>
    </row>
    <row r="241" spans="1:43">
      <c r="A241" s="426"/>
      <c r="B241" s="41"/>
      <c r="D241" s="35">
        <f>D239*$C$239</f>
        <v>0</v>
      </c>
      <c r="E241" s="35">
        <f>E239*$C$239</f>
        <v>0</v>
      </c>
      <c r="F241" s="35">
        <f>F239*$C$239</f>
        <v>0</v>
      </c>
      <c r="G241" s="35">
        <f>G239*$C$239</f>
        <v>0</v>
      </c>
      <c r="H241" s="35">
        <f>H239*$C$239</f>
        <v>0</v>
      </c>
      <c r="I241" s="35">
        <f>I239*$C$239</f>
        <v>0</v>
      </c>
      <c r="J241" s="35">
        <f>J239*$C$239</f>
        <v>0</v>
      </c>
      <c r="K241" s="35">
        <f>K239*$C$239</f>
        <v>0</v>
      </c>
      <c r="L241" s="35">
        <f>L239*$C$239</f>
        <v>0</v>
      </c>
      <c r="M241" s="35">
        <f>M239*$C$239</f>
        <v>0</v>
      </c>
      <c r="N241" s="35">
        <f>N239*$C$239</f>
        <v>0</v>
      </c>
      <c r="O241" s="35">
        <f>O239*$C$239</f>
        <v>0</v>
      </c>
      <c r="P241" s="39">
        <f>SUM(D241:O241)</f>
        <v>0</v>
      </c>
      <c r="Q241" s="431">
        <v>251126020.39381</v>
      </c>
      <c r="R241" s="54">
        <f>P241/Q241</f>
        <v>0</v>
      </c>
      <c r="S241" s="424"/>
      <c r="Y241" s="41"/>
      <c r="AA241" s="35">
        <f>AA239*$C$239</f>
        <v>0</v>
      </c>
      <c r="AB241" s="35">
        <f>AB239*$C$239</f>
        <v>0</v>
      </c>
      <c r="AC241" s="35">
        <f>AC239*$C$239</f>
        <v>0</v>
      </c>
      <c r="AD241" s="35">
        <f>AD239*$C$239</f>
        <v>0</v>
      </c>
      <c r="AE241" s="35">
        <f>AE239*$C$239</f>
        <v>0</v>
      </c>
      <c r="AF241" s="35">
        <f>AF239*$C$239</f>
        <v>0</v>
      </c>
      <c r="AG241" s="35">
        <f>AG239*$C$239</f>
        <v>0</v>
      </c>
      <c r="AH241" s="35">
        <f>AH239*$C$239</f>
        <v>0</v>
      </c>
      <c r="AI241" s="35">
        <f>AI239*$C$239</f>
        <v>0</v>
      </c>
      <c r="AJ241" s="35">
        <f>AJ239*$C$239</f>
        <v>0</v>
      </c>
      <c r="AK241" s="35">
        <f>AK239*$C$239</f>
        <v>0</v>
      </c>
      <c r="AL241" s="35">
        <f>AL239*$C$239</f>
        <v>0</v>
      </c>
      <c r="AM241" s="39">
        <f>SUM(AA241:AL241)</f>
        <v>0</v>
      </c>
      <c r="AN241" s="431"/>
      <c r="AO241" s="54"/>
      <c r="AP241" s="424"/>
    </row>
    <row r="242" spans="1:43">
      <c r="A242" s="426"/>
      <c r="B242" s="41"/>
      <c r="C242" s="51"/>
      <c r="D242" s="35">
        <f>D240*$C$240</f>
        <v>0</v>
      </c>
      <c r="E242" s="35">
        <f>E240*$C$240</f>
        <v>0</v>
      </c>
      <c r="F242" s="35">
        <f>F240*$C$240</f>
        <v>0</v>
      </c>
      <c r="G242" s="35">
        <f>G240*$C$240</f>
        <v>0</v>
      </c>
      <c r="H242" s="35">
        <f>H240*$C$240</f>
        <v>0</v>
      </c>
      <c r="I242" s="35">
        <f>I240*$C$240</f>
        <v>0</v>
      </c>
      <c r="J242" s="35">
        <f>J240*$C$240</f>
        <v>0</v>
      </c>
      <c r="K242" s="35">
        <f>K240*$C$240</f>
        <v>0</v>
      </c>
      <c r="L242" s="35">
        <f>L240*$C$240</f>
        <v>0</v>
      </c>
      <c r="M242" s="35">
        <f>M240*$C$240</f>
        <v>0</v>
      </c>
      <c r="N242" s="35">
        <f>N240*$C$240</f>
        <v>0</v>
      </c>
      <c r="O242" s="35">
        <f>O240*$C$240</f>
        <v>0</v>
      </c>
      <c r="P242" s="39">
        <f>SUM(D242:O242)</f>
        <v>0</v>
      </c>
      <c r="Q242" s="431">
        <v>8937450.1561031993</v>
      </c>
      <c r="R242" s="54">
        <f>P242/Q242</f>
        <v>0</v>
      </c>
      <c r="S242" s="424"/>
      <c r="Y242" s="41"/>
      <c r="Z242" s="51"/>
      <c r="AA242" s="35">
        <f>AA240*$C$240</f>
        <v>0</v>
      </c>
      <c r="AB242" s="35">
        <f>AB240*$C$240</f>
        <v>0</v>
      </c>
      <c r="AC242" s="35">
        <f>AC240*$C$240</f>
        <v>0</v>
      </c>
      <c r="AD242" s="35">
        <f>AD240*$C$240</f>
        <v>0</v>
      </c>
      <c r="AE242" s="35">
        <f>AE240*$C$240</f>
        <v>0</v>
      </c>
      <c r="AF242" s="35">
        <f>AF240*$C$240</f>
        <v>0</v>
      </c>
      <c r="AG242" s="35">
        <f>AG240*$C$240</f>
        <v>0</v>
      </c>
      <c r="AH242" s="35">
        <f>AH240*$C$240</f>
        <v>0</v>
      </c>
      <c r="AI242" s="35">
        <f>AI240*$C$240</f>
        <v>0</v>
      </c>
      <c r="AJ242" s="35">
        <f>AJ240*$C$240</f>
        <v>0</v>
      </c>
      <c r="AK242" s="35">
        <f>AK240*$C$240</f>
        <v>0</v>
      </c>
      <c r="AL242" s="35">
        <f>AL240*$C$240</f>
        <v>0</v>
      </c>
      <c r="AM242" s="39">
        <f>SUM(AA242:AL242)</f>
        <v>0</v>
      </c>
      <c r="AN242" s="431"/>
      <c r="AO242" s="54"/>
      <c r="AP242" s="424"/>
    </row>
    <row r="243" spans="1:43">
      <c r="A243" s="44"/>
      <c r="B243" s="44"/>
      <c r="C243" s="44"/>
      <c r="D243" s="50"/>
      <c r="E243" s="50"/>
      <c r="F243" s="50"/>
      <c r="G243" s="50"/>
      <c r="H243" s="50"/>
      <c r="I243" s="50"/>
      <c r="J243" s="46"/>
      <c r="K243" s="46"/>
      <c r="L243" s="46"/>
      <c r="M243" s="46"/>
      <c r="N243" s="46"/>
      <c r="O243" s="46"/>
      <c r="P243" s="48">
        <f>P241+P242</f>
        <v>0</v>
      </c>
      <c r="Q243" s="44"/>
      <c r="R243" s="44"/>
      <c r="S243" s="424">
        <f>P243/$P$277</f>
        <v>0</v>
      </c>
      <c r="T243" s="430">
        <f>$P$279*S243</f>
        <v>0</v>
      </c>
      <c r="Y243" s="44"/>
      <c r="Z243" s="44"/>
      <c r="AA243" s="50"/>
      <c r="AB243" s="50"/>
      <c r="AC243" s="50"/>
      <c r="AD243" s="50"/>
      <c r="AE243" s="50"/>
      <c r="AF243" s="50"/>
      <c r="AG243" s="46"/>
      <c r="AH243" s="46"/>
      <c r="AI243" s="46"/>
      <c r="AJ243" s="46"/>
      <c r="AK243" s="46"/>
      <c r="AL243" s="46"/>
      <c r="AM243" s="48">
        <f>AM241+AM242</f>
        <v>0</v>
      </c>
      <c r="AN243" s="44"/>
      <c r="AO243" s="44"/>
      <c r="AP243" s="424">
        <f>AM243/$P$277</f>
        <v>0</v>
      </c>
      <c r="AQ243" s="430">
        <f>$P$279*AP243</f>
        <v>0</v>
      </c>
    </row>
    <row r="244" spans="1:43">
      <c r="A244" s="44"/>
      <c r="B244" s="44"/>
      <c r="C244" s="44"/>
      <c r="D244" s="50"/>
      <c r="E244" s="50"/>
      <c r="F244" s="50"/>
      <c r="G244" s="50"/>
      <c r="H244" s="50"/>
      <c r="I244" s="50"/>
      <c r="J244" s="46"/>
      <c r="K244" s="46"/>
      <c r="L244" s="46"/>
      <c r="M244" s="46"/>
      <c r="N244" s="46"/>
      <c r="O244" s="46"/>
      <c r="P244" s="48"/>
      <c r="Q244" s="44"/>
      <c r="R244" s="44"/>
      <c r="S244" s="423"/>
      <c r="Y244" s="44"/>
      <c r="Z244" s="44"/>
      <c r="AA244" s="50"/>
      <c r="AB244" s="50"/>
      <c r="AC244" s="50"/>
      <c r="AD244" s="50"/>
      <c r="AE244" s="50"/>
      <c r="AF244" s="50"/>
      <c r="AG244" s="46"/>
      <c r="AH244" s="46"/>
      <c r="AI244" s="46"/>
      <c r="AJ244" s="46"/>
      <c r="AK244" s="46"/>
      <c r="AL244" s="46"/>
      <c r="AM244" s="48"/>
      <c r="AN244" s="44"/>
      <c r="AO244" s="44"/>
      <c r="AP244" s="423"/>
    </row>
    <row r="245" spans="1:43">
      <c r="B245" t="s">
        <v>68</v>
      </c>
      <c r="D245" s="429">
        <f>'[1]PANDU PELSUS'!C83</f>
        <v>67</v>
      </c>
      <c r="E245" s="429">
        <f>'[1]PANDU PELSUS'!D83</f>
        <v>72</v>
      </c>
      <c r="F245" s="429">
        <f>'[1]PANDU PELSUS'!E83</f>
        <v>80</v>
      </c>
      <c r="G245" s="429">
        <f>'[1]PANDU PELSUS'!F83</f>
        <v>84</v>
      </c>
      <c r="H245" s="429">
        <f>'[1]PANDU PELSUS'!G83</f>
        <v>84</v>
      </c>
      <c r="I245" s="429">
        <f>'[1]PANDU PELSUS'!H83</f>
        <v>80</v>
      </c>
      <c r="J245" s="103">
        <f>'[1]PANDU PELSUS'!I83</f>
        <v>74</v>
      </c>
      <c r="K245" s="103">
        <f>'[1]PANDU PELSUS'!J83</f>
        <v>72</v>
      </c>
      <c r="L245" s="103">
        <f>'[1]PANDU PELSUS'!K83</f>
        <v>84</v>
      </c>
      <c r="M245" s="103">
        <f>'[1]PANDU PELSUS'!L83</f>
        <v>68</v>
      </c>
      <c r="N245" s="103">
        <f>'[1]PANDU PELSUS'!M83</f>
        <v>70</v>
      </c>
      <c r="O245" s="103">
        <f>'[1]PANDU PELSUS'!N83</f>
        <v>74</v>
      </c>
      <c r="P245" s="39">
        <f>SUM(D245:O245)</f>
        <v>909</v>
      </c>
      <c r="S245" s="423"/>
      <c r="Y245" t="s">
        <v>68</v>
      </c>
      <c r="AA245" s="428">
        <f>'[1]PANDU PELSUS'!U83</f>
        <v>67</v>
      </c>
      <c r="AB245" s="428">
        <f>'[1]PANDU PELSUS'!V83</f>
        <v>72</v>
      </c>
      <c r="AC245" s="428">
        <f>'[1]PANDU PELSUS'!W83</f>
        <v>80</v>
      </c>
      <c r="AD245" s="428">
        <f>'[1]PANDU PELSUS'!X83</f>
        <v>84</v>
      </c>
      <c r="AE245" s="428">
        <f>'[1]PANDU PELSUS'!Y83</f>
        <v>84</v>
      </c>
      <c r="AF245" s="428">
        <f>'[1]PANDU PELSUS'!Z83</f>
        <v>80</v>
      </c>
      <c r="AG245" s="428">
        <f>'[1]PANDU PELSUS'!AA83</f>
        <v>74</v>
      </c>
      <c r="AH245" s="428">
        <f>'[1]PANDU PELSUS'!AB83</f>
        <v>72</v>
      </c>
      <c r="AI245" s="428">
        <f>'[1]PANDU PELSUS'!AC83</f>
        <v>84</v>
      </c>
      <c r="AJ245" s="428">
        <f>'[1]PANDU PELSUS'!AD83</f>
        <v>68</v>
      </c>
      <c r="AK245" s="428">
        <f>'[1]PANDU PELSUS'!AE83</f>
        <v>70</v>
      </c>
      <c r="AL245" s="428">
        <f>'[1]PANDU PELSUS'!AF83</f>
        <v>74</v>
      </c>
      <c r="AM245" s="39">
        <f>SUM(AA245:AL245)</f>
        <v>909</v>
      </c>
      <c r="AP245" s="423"/>
    </row>
    <row r="246" spans="1:43">
      <c r="D246" s="429">
        <f>'[1]PANDU PELSUS'!C84</f>
        <v>170669</v>
      </c>
      <c r="E246" s="429">
        <f>'[1]PANDU PELSUS'!D84</f>
        <v>138361</v>
      </c>
      <c r="F246" s="429">
        <f>'[1]PANDU PELSUS'!E84</f>
        <v>168021</v>
      </c>
      <c r="G246" s="429">
        <f>'[1]PANDU PELSUS'!F84</f>
        <v>148690</v>
      </c>
      <c r="H246" s="429">
        <f>'[1]PANDU PELSUS'!G84</f>
        <v>213973.07462686568</v>
      </c>
      <c r="I246" s="429">
        <f>'[1]PANDU PELSUS'!H84</f>
        <v>153734.44444444444</v>
      </c>
      <c r="J246" s="103">
        <f>'[1]PANDU PELSUS'!I84</f>
        <v>155419.42499999999</v>
      </c>
      <c r="K246" s="103">
        <f>'[1]PANDU PELSUS'!J84</f>
        <v>127448.57142857143</v>
      </c>
      <c r="L246" s="103">
        <f>'[1]PANDU PELSUS'!K84</f>
        <v>213973.07462686568</v>
      </c>
      <c r="M246" s="103">
        <f>'[1]PANDU PELSUS'!L84</f>
        <v>130674.27777777778</v>
      </c>
      <c r="N246" s="103">
        <f>'[1]PANDU PELSUS'!M84</f>
        <v>147018.375</v>
      </c>
      <c r="O246" s="103">
        <f>'[1]PANDU PELSUS'!N84</f>
        <v>130988.80952380953</v>
      </c>
      <c r="P246" s="39">
        <f>SUM(D246:O246)</f>
        <v>1898971.0524283345</v>
      </c>
      <c r="S246" s="423"/>
      <c r="AA246" s="428">
        <f>'[1]PANDU PELSUS'!U84</f>
        <v>179203</v>
      </c>
      <c r="AB246" s="428">
        <f>'[1]PANDU PELSUS'!V84</f>
        <v>145280</v>
      </c>
      <c r="AC246" s="428">
        <f>'[1]PANDU PELSUS'!W84</f>
        <v>176423</v>
      </c>
      <c r="AD246" s="428">
        <f>'[1]PANDU PELSUS'!X84</f>
        <v>156125</v>
      </c>
      <c r="AE246" s="428">
        <f>'[1]PANDU PELSUS'!Y84</f>
        <v>224672</v>
      </c>
      <c r="AF246" s="428">
        <f>'[1]PANDU PELSUS'!Z84</f>
        <v>161422</v>
      </c>
      <c r="AG246" s="428">
        <f>'[1]PANDU PELSUS'!AA84</f>
        <v>163191</v>
      </c>
      <c r="AH246" s="428">
        <f>'[1]PANDU PELSUS'!AB84</f>
        <v>133821</v>
      </c>
      <c r="AI246" s="428">
        <f>'[1]PANDU PELSUS'!AC84</f>
        <v>224672</v>
      </c>
      <c r="AJ246" s="428">
        <f>'[1]PANDU PELSUS'!AD84</f>
        <v>137208</v>
      </c>
      <c r="AK246" s="428">
        <f>'[1]PANDU PELSUS'!AE84</f>
        <v>154370</v>
      </c>
      <c r="AL246" s="428">
        <f>'[1]PANDU PELSUS'!AF84</f>
        <v>137539</v>
      </c>
      <c r="AM246" s="39">
        <f>SUM(AA246:AL246)</f>
        <v>1993926</v>
      </c>
      <c r="AP246" s="423"/>
    </row>
    <row r="247" spans="1:43">
      <c r="A247" s="427" t="s">
        <v>222</v>
      </c>
      <c r="B247" s="40" t="s">
        <v>20</v>
      </c>
      <c r="C247" s="49">
        <v>2102150</v>
      </c>
      <c r="D247" s="35">
        <f>D245*$F$3*0.5</f>
        <v>256.27500000000003</v>
      </c>
      <c r="E247" s="35">
        <f>E245*$F$3*0.5</f>
        <v>275.40000000000003</v>
      </c>
      <c r="F247" s="35">
        <f>F245*$F$3*0.5</f>
        <v>306</v>
      </c>
      <c r="G247" s="35">
        <f>G245*$F$3*0.5</f>
        <v>321.3</v>
      </c>
      <c r="H247" s="35">
        <f>H245*$F$3*0.5</f>
        <v>321.3</v>
      </c>
      <c r="I247" s="35">
        <f>I245*$F$3*0.5</f>
        <v>306</v>
      </c>
      <c r="J247" s="35">
        <f>J245*$F$3*0.5</f>
        <v>283.05</v>
      </c>
      <c r="K247" s="35">
        <f>K245*$F$3*0.5</f>
        <v>275.40000000000003</v>
      </c>
      <c r="L247" s="35">
        <f>L245*$F$3*0.5</f>
        <v>321.3</v>
      </c>
      <c r="M247" s="35">
        <f>M245*$F$3*0.5</f>
        <v>260.10000000000002</v>
      </c>
      <c r="N247" s="35">
        <f>N245*$F$3*0.5</f>
        <v>267.75</v>
      </c>
      <c r="O247" s="35">
        <f>O245*$F$3*0.5</f>
        <v>283.05</v>
      </c>
      <c r="P247" s="39">
        <f>SUM(D247:O247)</f>
        <v>3476.9250000000006</v>
      </c>
      <c r="S247" s="423"/>
      <c r="Y247" s="40" t="s">
        <v>20</v>
      </c>
      <c r="Z247" s="49">
        <v>2102150</v>
      </c>
      <c r="AA247" s="35">
        <f>AA245*$AC$3*0.5</f>
        <v>266.19845592616002</v>
      </c>
      <c r="AB247" s="35">
        <f>AB245*$AC$3*0.5</f>
        <v>286.06401233856002</v>
      </c>
      <c r="AC247" s="35">
        <f>AC245*$AC$3*0.5</f>
        <v>317.8489025984</v>
      </c>
      <c r="AD247" s="35">
        <f>AD245*$AC$3*0.5</f>
        <v>333.74134772832002</v>
      </c>
      <c r="AE247" s="35">
        <f>AE245*$AC$3*0.5</f>
        <v>333.74134772832002</v>
      </c>
      <c r="AF247" s="35">
        <f>AF245*$AC$3*0.5</f>
        <v>317.8489025984</v>
      </c>
      <c r="AG247" s="35">
        <f>AG245*$AC$3*0.5</f>
        <v>294.01023490352003</v>
      </c>
      <c r="AH247" s="35">
        <f>AH245*$AC$3*0.5</f>
        <v>286.06401233856002</v>
      </c>
      <c r="AI247" s="35">
        <f>AI245*$AC$3*0.5</f>
        <v>333.74134772832002</v>
      </c>
      <c r="AJ247" s="35">
        <f>AJ245*$AC$3*0.5</f>
        <v>270.17156720864</v>
      </c>
      <c r="AK247" s="35">
        <f>AK245*$AC$3*0.5</f>
        <v>278.11778977360001</v>
      </c>
      <c r="AL247" s="35">
        <f>AL245*$AC$3*0.5</f>
        <v>294.01023490352003</v>
      </c>
      <c r="AM247" s="39">
        <f>SUM(AA247:AL247)</f>
        <v>3611.5581557743208</v>
      </c>
      <c r="AP247" s="423"/>
    </row>
    <row r="248" spans="1:43">
      <c r="A248" s="427"/>
      <c r="B248" s="40" t="s">
        <v>21</v>
      </c>
      <c r="C248" s="51">
        <v>7.06</v>
      </c>
      <c r="D248" s="35">
        <f>D246*$F$3*0.5</f>
        <v>652808.92500000005</v>
      </c>
      <c r="E248" s="35">
        <f>E246*$F$3*0.5</f>
        <v>529230.82500000007</v>
      </c>
      <c r="F248" s="35">
        <f>F246*$F$3*0.5</f>
        <v>642680.32500000007</v>
      </c>
      <c r="G248" s="35">
        <f>G246*$F$3*0.5</f>
        <v>568739.25</v>
      </c>
      <c r="H248" s="35">
        <f>H246*$F$3*0.5</f>
        <v>818447.01044776128</v>
      </c>
      <c r="I248" s="35">
        <f>I246*$F$3*0.5</f>
        <v>588034.25</v>
      </c>
      <c r="J248" s="35">
        <f>J246*$F$3*0.5</f>
        <v>594479.30062500003</v>
      </c>
      <c r="K248" s="35">
        <f>K246*$F$3*0.5</f>
        <v>487490.78571428574</v>
      </c>
      <c r="L248" s="35">
        <f>L246*$F$3*0.5</f>
        <v>818447.01044776128</v>
      </c>
      <c r="M248" s="35">
        <f>M246*$F$3*0.5</f>
        <v>499829.11250000005</v>
      </c>
      <c r="N248" s="35">
        <f>N246*$F$3*0.5</f>
        <v>562345.28437500005</v>
      </c>
      <c r="O248" s="35">
        <f>O246*$F$3*0.5</f>
        <v>501032.19642857148</v>
      </c>
      <c r="P248" s="39">
        <f>SUM(D248:O248)</f>
        <v>7263564.2755383793</v>
      </c>
      <c r="S248" s="423"/>
      <c r="Y248" s="40" t="s">
        <v>21</v>
      </c>
      <c r="Z248" s="51">
        <v>7.06</v>
      </c>
      <c r="AA248" s="35">
        <f>AA246*$AC$3*0.5</f>
        <v>711993.46115426347</v>
      </c>
      <c r="AB248" s="35">
        <f>AB246*$AC$3*0.5</f>
        <v>577213.60711869446</v>
      </c>
      <c r="AC248" s="35">
        <f>AC246*$AC$3*0.5</f>
        <v>700948.21178896911</v>
      </c>
      <c r="AD248" s="35">
        <f>AD246*$AC$3*0.5</f>
        <v>620301.99897719</v>
      </c>
      <c r="AE248" s="35">
        <f>AE246*$AC$3*0.5</f>
        <v>892646.85805734654</v>
      </c>
      <c r="AF248" s="35">
        <f>AF246*$AC$3*0.5</f>
        <v>641347.56944048661</v>
      </c>
      <c r="AG248" s="35">
        <f>AG246*$AC$3*0.5</f>
        <v>648376.00329919369</v>
      </c>
      <c r="AH248" s="35">
        <f>AH246*$AC$3*0.5</f>
        <v>531685.72493275604</v>
      </c>
      <c r="AI248" s="35">
        <f>AI246*$AC$3*0.5</f>
        <v>892646.85805734654</v>
      </c>
      <c r="AJ248" s="35">
        <f>AJ246*$AC$3*0.5</f>
        <v>545142.65284651588</v>
      </c>
      <c r="AK248" s="35">
        <f>AK246*$AC$3*0.5</f>
        <v>613329.1886764376</v>
      </c>
      <c r="AL248" s="35">
        <f>AL246*$AC$3*0.5</f>
        <v>546457.75268101669</v>
      </c>
      <c r="AM248" s="39">
        <f>SUM(AA248:AL248)</f>
        <v>7922089.8870302169</v>
      </c>
      <c r="AP248" s="423"/>
    </row>
    <row r="249" spans="1:43">
      <c r="A249" s="426"/>
      <c r="B249" s="41"/>
      <c r="D249" s="35">
        <f>D247*$C$247</f>
        <v>538728491.25000012</v>
      </c>
      <c r="E249" s="35">
        <f>E247*$C$247</f>
        <v>578932110.00000012</v>
      </c>
      <c r="F249" s="35">
        <f>F247*$C$247</f>
        <v>643257900</v>
      </c>
      <c r="G249" s="35">
        <f>G247*$C$247</f>
        <v>675420795</v>
      </c>
      <c r="H249" s="35">
        <f>H247*$C$247</f>
        <v>675420795</v>
      </c>
      <c r="I249" s="35">
        <f>I247*$C$247</f>
        <v>643257900</v>
      </c>
      <c r="J249" s="35">
        <f>J247*$C$247</f>
        <v>595013557.5</v>
      </c>
      <c r="K249" s="35">
        <f>K247*$C$247</f>
        <v>578932110.00000012</v>
      </c>
      <c r="L249" s="35">
        <f>L247*$C$247</f>
        <v>675420795</v>
      </c>
      <c r="M249" s="35">
        <f>M247*$C$247</f>
        <v>546769215</v>
      </c>
      <c r="N249" s="35">
        <f>N247*$C$247</f>
        <v>562850662.5</v>
      </c>
      <c r="O249" s="35">
        <f>O247*$C$247</f>
        <v>595013557.5</v>
      </c>
      <c r="P249" s="39">
        <f>SUM(D249:O249)</f>
        <v>7309017888.75</v>
      </c>
      <c r="Q249" s="402">
        <v>3902200460.659997</v>
      </c>
      <c r="R249" s="54">
        <f>P249/Q249</f>
        <v>1.8730503372227556</v>
      </c>
      <c r="S249" s="424"/>
      <c r="Y249" s="41"/>
      <c r="AA249" s="35">
        <f>AA247*$C$247</f>
        <v>559589084.12517726</v>
      </c>
      <c r="AB249" s="35">
        <f>AB247*$C$247</f>
        <v>601349463.53750396</v>
      </c>
      <c r="AC249" s="35">
        <f>AC247*$C$247</f>
        <v>668166070.59722662</v>
      </c>
      <c r="AD249" s="35">
        <f>AD247*$C$247</f>
        <v>701574374.12708795</v>
      </c>
      <c r="AE249" s="35">
        <f>AE247*$C$247</f>
        <v>701574374.12708795</v>
      </c>
      <c r="AF249" s="35">
        <f>AF247*$C$247</f>
        <v>668166070.59722662</v>
      </c>
      <c r="AG249" s="35">
        <f>AG247*$C$247</f>
        <v>618053615.30243468</v>
      </c>
      <c r="AH249" s="35">
        <f>AH247*$C$247</f>
        <v>601349463.53750396</v>
      </c>
      <c r="AI249" s="35">
        <f>AI247*$C$247</f>
        <v>701574374.12708795</v>
      </c>
      <c r="AJ249" s="35">
        <f>AJ247*$C$247</f>
        <v>567941160.00764263</v>
      </c>
      <c r="AK249" s="35">
        <f>AK247*$C$247</f>
        <v>584645311.77257323</v>
      </c>
      <c r="AL249" s="35">
        <f>AL247*$C$247</f>
        <v>618053615.30243468</v>
      </c>
      <c r="AM249" s="39">
        <f>SUM(AA249:AL249)</f>
        <v>7592036977.1609879</v>
      </c>
      <c r="AN249" s="402"/>
      <c r="AO249" s="54"/>
      <c r="AP249" s="424"/>
    </row>
    <row r="250" spans="1:43">
      <c r="A250" s="426"/>
      <c r="B250" s="41"/>
      <c r="C250" s="51"/>
      <c r="D250" s="35">
        <f>D248*$C$248</f>
        <v>4608831.0104999999</v>
      </c>
      <c r="E250" s="35">
        <f>E248*$C$248</f>
        <v>3736369.6245000004</v>
      </c>
      <c r="F250" s="35">
        <f>F248*$C$248</f>
        <v>4537323.0945000006</v>
      </c>
      <c r="G250" s="35">
        <f>G248*$C$248</f>
        <v>4015299.105</v>
      </c>
      <c r="H250" s="35">
        <f>H248*$C$248</f>
        <v>5778235.8937611943</v>
      </c>
      <c r="I250" s="35">
        <f>I248*$C$248</f>
        <v>4151521.8049999997</v>
      </c>
      <c r="J250" s="35">
        <f>J248*$C$248</f>
        <v>4197023.8624125002</v>
      </c>
      <c r="K250" s="35">
        <f>K248*$C$248</f>
        <v>3441684.9471428571</v>
      </c>
      <c r="L250" s="35">
        <f>L248*$C$248</f>
        <v>5778235.8937611943</v>
      </c>
      <c r="M250" s="35">
        <f>M248*$C$248</f>
        <v>3528793.53425</v>
      </c>
      <c r="N250" s="35">
        <f>N248*$C$248</f>
        <v>3970157.7076874999</v>
      </c>
      <c r="O250" s="35">
        <f>O248*$C$248</f>
        <v>3537287.3067857143</v>
      </c>
      <c r="P250" s="39">
        <f>SUM(D250:O250)</f>
        <v>51280763.785300963</v>
      </c>
      <c r="Q250" s="84">
        <v>37292104.1615621</v>
      </c>
      <c r="R250" s="54">
        <f>P250/Q250</f>
        <v>1.3751104942519528</v>
      </c>
      <c r="S250" s="424"/>
      <c r="Y250" s="41"/>
      <c r="Z250" s="51"/>
      <c r="AA250" s="35">
        <f>AA248*$C$248</f>
        <v>5026673.8357491</v>
      </c>
      <c r="AB250" s="35">
        <f>AB248*$C$248</f>
        <v>4075128.0662579825</v>
      </c>
      <c r="AC250" s="35">
        <f>AC248*$C$248</f>
        <v>4948694.3752301214</v>
      </c>
      <c r="AD250" s="35">
        <f>AD248*$C$248</f>
        <v>4379332.1127789607</v>
      </c>
      <c r="AE250" s="35">
        <f>AE248*$C$248</f>
        <v>6302086.8178848661</v>
      </c>
      <c r="AF250" s="35">
        <f>AF248*$C$248</f>
        <v>4527913.8402498355</v>
      </c>
      <c r="AG250" s="35">
        <f>AG248*$C$248</f>
        <v>4577534.5832923073</v>
      </c>
      <c r="AH250" s="35">
        <f>AH248*$C$248</f>
        <v>3753701.2180252573</v>
      </c>
      <c r="AI250" s="35">
        <f>AI248*$C$248</f>
        <v>6302086.8178848661</v>
      </c>
      <c r="AJ250" s="35">
        <f>AJ248*$C$248</f>
        <v>3848707.1290964019</v>
      </c>
      <c r="AK250" s="35">
        <f>AK248*$C$248</f>
        <v>4330104.072055649</v>
      </c>
      <c r="AL250" s="35">
        <f>AL248*$C$248</f>
        <v>3857991.7339279777</v>
      </c>
      <c r="AM250" s="39">
        <f>SUM(AA250:AL250)</f>
        <v>55929954.602433339</v>
      </c>
      <c r="AN250" s="84"/>
      <c r="AO250" s="54"/>
      <c r="AP250" s="424"/>
    </row>
    <row r="251" spans="1:43">
      <c r="A251" s="44"/>
      <c r="B251" s="44"/>
      <c r="C251" s="44"/>
      <c r="D251" s="50"/>
      <c r="E251" s="50"/>
      <c r="F251" s="50"/>
      <c r="G251" s="50"/>
      <c r="H251" s="50"/>
      <c r="I251" s="50"/>
      <c r="J251" s="46"/>
      <c r="K251" s="46"/>
      <c r="L251" s="46"/>
      <c r="M251" s="46"/>
      <c r="N251" s="46"/>
      <c r="O251" s="46"/>
      <c r="P251" s="48">
        <f>P249+P250</f>
        <v>7360298652.5353012</v>
      </c>
      <c r="Q251" s="44"/>
      <c r="R251" s="44"/>
      <c r="S251" s="424">
        <f>P251/$P$277</f>
        <v>3.4445047469896614E-2</v>
      </c>
      <c r="T251" s="430">
        <f>$P$279*S251</f>
        <v>0</v>
      </c>
      <c r="Y251" s="44"/>
      <c r="Z251" s="44"/>
      <c r="AA251" s="50"/>
      <c r="AB251" s="50"/>
      <c r="AC251" s="50"/>
      <c r="AD251" s="50"/>
      <c r="AE251" s="50"/>
      <c r="AF251" s="50"/>
      <c r="AG251" s="46"/>
      <c r="AH251" s="46"/>
      <c r="AI251" s="46"/>
      <c r="AJ251" s="46"/>
      <c r="AK251" s="46"/>
      <c r="AL251" s="46"/>
      <c r="AM251" s="48">
        <f>AM249+AM250</f>
        <v>7647966931.7634211</v>
      </c>
      <c r="AN251" s="44"/>
      <c r="AO251" s="44"/>
      <c r="AP251" s="424">
        <f>AM251/$P$277</f>
        <v>3.5791290061585872E-2</v>
      </c>
      <c r="AQ251" s="430">
        <f>$P$279*AP251</f>
        <v>0</v>
      </c>
    </row>
    <row r="252" spans="1:43">
      <c r="A252" s="44"/>
      <c r="B252" s="44"/>
      <c r="C252" s="44"/>
      <c r="D252" s="50"/>
      <c r="E252" s="50"/>
      <c r="F252" s="50"/>
      <c r="G252" s="50"/>
      <c r="H252" s="50"/>
      <c r="I252" s="50"/>
      <c r="J252" s="46"/>
      <c r="K252" s="46"/>
      <c r="L252" s="46"/>
      <c r="M252" s="46"/>
      <c r="N252" s="46"/>
      <c r="O252" s="46"/>
      <c r="P252" s="48"/>
      <c r="Q252" s="44"/>
      <c r="R252" s="44"/>
      <c r="S252" s="423"/>
      <c r="Y252" s="44"/>
      <c r="Z252" s="44"/>
      <c r="AA252" s="50"/>
      <c r="AB252" s="50"/>
      <c r="AC252" s="50"/>
      <c r="AD252" s="50"/>
      <c r="AE252" s="50"/>
      <c r="AF252" s="50"/>
      <c r="AG252" s="46"/>
      <c r="AH252" s="46"/>
      <c r="AI252" s="46"/>
      <c r="AJ252" s="46"/>
      <c r="AK252" s="46"/>
      <c r="AL252" s="46"/>
      <c r="AM252" s="48"/>
      <c r="AN252" s="44"/>
      <c r="AO252" s="44"/>
      <c r="AP252" s="423"/>
    </row>
    <row r="253" spans="1:43">
      <c r="B253" t="s">
        <v>223</v>
      </c>
      <c r="D253" s="429">
        <f>'[1]PANDU PELSUS'!C89</f>
        <v>0</v>
      </c>
      <c r="E253" s="429">
        <f>'[1]PANDU PELSUS'!D89</f>
        <v>0</v>
      </c>
      <c r="F253" s="429">
        <f>'[1]PANDU PELSUS'!E89</f>
        <v>0</v>
      </c>
      <c r="G253" s="429">
        <f>'[1]PANDU PELSUS'!F89</f>
        <v>0</v>
      </c>
      <c r="H253" s="429">
        <f>'[1]PANDU PELSUS'!G89</f>
        <v>0</v>
      </c>
      <c r="I253" s="429">
        <f>'[1]PANDU PELSUS'!H89</f>
        <v>0</v>
      </c>
      <c r="J253" s="429">
        <f>'[1]PANDU PELSUS'!I89</f>
        <v>0</v>
      </c>
      <c r="K253" s="429">
        <f>'[1]PANDU PELSUS'!J89</f>
        <v>0</v>
      </c>
      <c r="L253" s="429">
        <f>'[1]PANDU PELSUS'!K89</f>
        <v>0</v>
      </c>
      <c r="M253" s="429">
        <f>'[1]PANDU PELSUS'!L89</f>
        <v>0</v>
      </c>
      <c r="N253" s="429">
        <f>'[1]PANDU PELSUS'!M89</f>
        <v>0</v>
      </c>
      <c r="O253" s="429">
        <f>'[1]PANDU PELSUS'!N89</f>
        <v>0</v>
      </c>
      <c r="P253" s="39">
        <f>SUM(D253:O253)</f>
        <v>0</v>
      </c>
      <c r="S253" s="423"/>
      <c r="Y253" t="s">
        <v>223</v>
      </c>
      <c r="AA253" s="428">
        <f>'[1]PANDU PELSUS'!U89</f>
        <v>0</v>
      </c>
      <c r="AB253" s="428">
        <f>'[1]PANDU PELSUS'!V89</f>
        <v>0</v>
      </c>
      <c r="AC253" s="428">
        <f>'[1]PANDU PELSUS'!W89</f>
        <v>0</v>
      </c>
      <c r="AD253" s="428">
        <f>'[1]PANDU PELSUS'!X89</f>
        <v>0</v>
      </c>
      <c r="AE253" s="428">
        <f>'[1]PANDU PELSUS'!Y89</f>
        <v>0</v>
      </c>
      <c r="AF253" s="428">
        <f>'[1]PANDU PELSUS'!Z89</f>
        <v>0</v>
      </c>
      <c r="AG253" s="428">
        <f>'[1]PANDU PELSUS'!AA89</f>
        <v>0</v>
      </c>
      <c r="AH253" s="428">
        <f>'[1]PANDU PELSUS'!AB89</f>
        <v>0</v>
      </c>
      <c r="AI253" s="428">
        <f>'[1]PANDU PELSUS'!AC89</f>
        <v>0</v>
      </c>
      <c r="AJ253" s="428">
        <f>'[1]PANDU PELSUS'!AD89</f>
        <v>0</v>
      </c>
      <c r="AK253" s="428">
        <f>'[1]PANDU PELSUS'!AE89</f>
        <v>0</v>
      </c>
      <c r="AL253" s="428">
        <f>'[1]PANDU PELSUS'!AF89</f>
        <v>0</v>
      </c>
      <c r="AM253" s="39">
        <f>SUM(AA253:AL253)</f>
        <v>0</v>
      </c>
      <c r="AP253" s="423"/>
    </row>
    <row r="254" spans="1:43">
      <c r="D254" s="429">
        <f>'[1]PANDU PELSUS'!C90</f>
        <v>0</v>
      </c>
      <c r="E254" s="429">
        <f>'[1]PANDU PELSUS'!D90</f>
        <v>0</v>
      </c>
      <c r="F254" s="429">
        <f>'[1]PANDU PELSUS'!E90</f>
        <v>0</v>
      </c>
      <c r="G254" s="429">
        <f>'[1]PANDU PELSUS'!F90</f>
        <v>0</v>
      </c>
      <c r="H254" s="429">
        <f>'[1]PANDU PELSUS'!G90</f>
        <v>0</v>
      </c>
      <c r="I254" s="429">
        <f>'[1]PANDU PELSUS'!H90</f>
        <v>0</v>
      </c>
      <c r="J254" s="429">
        <f>'[1]PANDU PELSUS'!I90</f>
        <v>0</v>
      </c>
      <c r="K254" s="429">
        <f>'[1]PANDU PELSUS'!J90</f>
        <v>0</v>
      </c>
      <c r="L254" s="429">
        <f>'[1]PANDU PELSUS'!K90</f>
        <v>0</v>
      </c>
      <c r="M254" s="429">
        <f>'[1]PANDU PELSUS'!L90</f>
        <v>0</v>
      </c>
      <c r="N254" s="429">
        <f>'[1]PANDU PELSUS'!M90</f>
        <v>0</v>
      </c>
      <c r="O254" s="429">
        <f>'[1]PANDU PELSUS'!N90</f>
        <v>0</v>
      </c>
      <c r="P254" s="39">
        <f>SUM(D254:O254)</f>
        <v>0</v>
      </c>
      <c r="S254" s="423"/>
      <c r="AA254" s="428">
        <f>'[1]PANDU PELSUS'!U90</f>
        <v>0</v>
      </c>
      <c r="AB254" s="428">
        <f>'[1]PANDU PELSUS'!V90</f>
        <v>0</v>
      </c>
      <c r="AC254" s="428">
        <f>'[1]PANDU PELSUS'!W90</f>
        <v>0</v>
      </c>
      <c r="AD254" s="428">
        <f>'[1]PANDU PELSUS'!X90</f>
        <v>0</v>
      </c>
      <c r="AE254" s="428">
        <f>'[1]PANDU PELSUS'!Y90</f>
        <v>0</v>
      </c>
      <c r="AF254" s="428">
        <f>'[1]PANDU PELSUS'!Z90</f>
        <v>0</v>
      </c>
      <c r="AG254" s="428">
        <f>'[1]PANDU PELSUS'!AA90</f>
        <v>0</v>
      </c>
      <c r="AH254" s="428">
        <f>'[1]PANDU PELSUS'!AB90</f>
        <v>0</v>
      </c>
      <c r="AI254" s="428">
        <f>'[1]PANDU PELSUS'!AC90</f>
        <v>0</v>
      </c>
      <c r="AJ254" s="428">
        <f>'[1]PANDU PELSUS'!AD90</f>
        <v>0</v>
      </c>
      <c r="AK254" s="428">
        <f>'[1]PANDU PELSUS'!AE90</f>
        <v>0</v>
      </c>
      <c r="AL254" s="428">
        <f>'[1]PANDU PELSUS'!AF90</f>
        <v>0</v>
      </c>
      <c r="AM254" s="39">
        <f>SUM(AA254:AL254)</f>
        <v>0</v>
      </c>
      <c r="AP254" s="423"/>
    </row>
    <row r="255" spans="1:43">
      <c r="A255" s="427" t="s">
        <v>222</v>
      </c>
      <c r="B255" s="40" t="s">
        <v>20</v>
      </c>
      <c r="C255" s="49">
        <v>2102150</v>
      </c>
      <c r="D255" s="35">
        <f>D253*$F$3</f>
        <v>0</v>
      </c>
      <c r="E255" s="35">
        <f>E253*$F$3</f>
        <v>0</v>
      </c>
      <c r="F255" s="35">
        <f>F253*$F$3</f>
        <v>0</v>
      </c>
      <c r="G255" s="35">
        <f>G253*$F$3</f>
        <v>0</v>
      </c>
      <c r="H255" s="35">
        <f>H253*$F$3</f>
        <v>0</v>
      </c>
      <c r="I255" s="35">
        <f>I253*$F$3</f>
        <v>0</v>
      </c>
      <c r="J255" s="35">
        <f>J253*$F$3</f>
        <v>0</v>
      </c>
      <c r="K255" s="35">
        <f>K253*$F$3</f>
        <v>0</v>
      </c>
      <c r="L255" s="35">
        <f>L253*$F$3</f>
        <v>0</v>
      </c>
      <c r="M255" s="35">
        <f>M253*$F$3</f>
        <v>0</v>
      </c>
      <c r="N255" s="35">
        <f>N253*$F$3</f>
        <v>0</v>
      </c>
      <c r="O255" s="35">
        <f>O253*$F$3</f>
        <v>0</v>
      </c>
      <c r="P255" s="39">
        <f>SUM(D255:O255)</f>
        <v>0</v>
      </c>
      <c r="S255" s="423"/>
      <c r="Y255" s="40" t="s">
        <v>20</v>
      </c>
      <c r="Z255" s="49">
        <v>2102150</v>
      </c>
      <c r="AA255" s="35">
        <f>AA253*$AC$3*0.5</f>
        <v>0</v>
      </c>
      <c r="AB255" s="35">
        <f>AB253*$AC$3*0.5</f>
        <v>0</v>
      </c>
      <c r="AC255" s="35">
        <f>AC253*$AC$3*0.5</f>
        <v>0</v>
      </c>
      <c r="AD255" s="35">
        <f>AD253*$AC$3*0.5</f>
        <v>0</v>
      </c>
      <c r="AE255" s="35">
        <f>AE253*$AC$3*0.5</f>
        <v>0</v>
      </c>
      <c r="AF255" s="35">
        <f>AF253*$AC$3*0.5</f>
        <v>0</v>
      </c>
      <c r="AG255" s="35">
        <f>AG253*$AC$3*0.5</f>
        <v>0</v>
      </c>
      <c r="AH255" s="35">
        <f>AH253*$AC$3*0.5</f>
        <v>0</v>
      </c>
      <c r="AI255" s="35">
        <f>AI253*$AC$3*0.5</f>
        <v>0</v>
      </c>
      <c r="AJ255" s="35">
        <f>AJ253*$AC$3*0.5</f>
        <v>0</v>
      </c>
      <c r="AK255" s="35">
        <f>AK253*$AC$3*0.5</f>
        <v>0</v>
      </c>
      <c r="AL255" s="35">
        <f>AL253*$AC$3*0.5</f>
        <v>0</v>
      </c>
      <c r="AM255" s="39">
        <f>SUM(AA255:AL255)</f>
        <v>0</v>
      </c>
      <c r="AP255" s="423"/>
    </row>
    <row r="256" spans="1:43">
      <c r="A256" s="427"/>
      <c r="B256" s="40" t="s">
        <v>21</v>
      </c>
      <c r="C256" s="51">
        <v>7.06</v>
      </c>
      <c r="D256" s="35">
        <f>D254*$F$3</f>
        <v>0</v>
      </c>
      <c r="E256" s="35">
        <f>E254*$F$3</f>
        <v>0</v>
      </c>
      <c r="F256" s="35">
        <f>F254*$F$3</f>
        <v>0</v>
      </c>
      <c r="G256" s="35">
        <f>G254*$F$3</f>
        <v>0</v>
      </c>
      <c r="H256" s="35">
        <f>H254*$F$3</f>
        <v>0</v>
      </c>
      <c r="I256" s="35">
        <f>I254*$F$3</f>
        <v>0</v>
      </c>
      <c r="J256" s="35">
        <f>J254*$F$3</f>
        <v>0</v>
      </c>
      <c r="K256" s="35">
        <f>K254*$F$3</f>
        <v>0</v>
      </c>
      <c r="L256" s="35">
        <f>L254*$F$3</f>
        <v>0</v>
      </c>
      <c r="M256" s="35">
        <f>M254*$F$3</f>
        <v>0</v>
      </c>
      <c r="N256" s="35">
        <f>N254*$F$3</f>
        <v>0</v>
      </c>
      <c r="O256" s="35">
        <f>O254*$F$3</f>
        <v>0</v>
      </c>
      <c r="P256" s="39">
        <f>SUM(D256:O256)</f>
        <v>0</v>
      </c>
      <c r="S256" s="423"/>
      <c r="Y256" s="40" t="s">
        <v>21</v>
      </c>
      <c r="Z256" s="51">
        <v>7.06</v>
      </c>
      <c r="AA256" s="35">
        <f>AA254*$AC$3*0.5</f>
        <v>0</v>
      </c>
      <c r="AB256" s="35">
        <f>AB254*$AC$3*0.5</f>
        <v>0</v>
      </c>
      <c r="AC256" s="35">
        <f>AC254*$AC$3*0.5</f>
        <v>0</v>
      </c>
      <c r="AD256" s="35">
        <f>AD254*$AC$3*0.5</f>
        <v>0</v>
      </c>
      <c r="AE256" s="35">
        <f>AE254*$AC$3*0.5</f>
        <v>0</v>
      </c>
      <c r="AF256" s="35">
        <f>AF254*$AC$3*0.5</f>
        <v>0</v>
      </c>
      <c r="AG256" s="35">
        <f>AG254*$AC$3*0.5</f>
        <v>0</v>
      </c>
      <c r="AH256" s="35">
        <f>AH254*$AC$3*0.5</f>
        <v>0</v>
      </c>
      <c r="AI256" s="35">
        <f>AI254*$AC$3*0.5</f>
        <v>0</v>
      </c>
      <c r="AJ256" s="35">
        <f>AJ254*$AC$3*0.5</f>
        <v>0</v>
      </c>
      <c r="AK256" s="35">
        <f>AK254*$AC$3*0.5</f>
        <v>0</v>
      </c>
      <c r="AL256" s="35">
        <f>AL254*$AC$3*0.5</f>
        <v>0</v>
      </c>
      <c r="AM256" s="39">
        <f>SUM(AA256:AL256)</f>
        <v>0</v>
      </c>
      <c r="AP256" s="423"/>
    </row>
    <row r="257" spans="1:42">
      <c r="A257" s="426"/>
      <c r="B257" s="41"/>
      <c r="D257" s="35">
        <f>D255*$C$247</f>
        <v>0</v>
      </c>
      <c r="E257" s="35">
        <f>E255*$C$247</f>
        <v>0</v>
      </c>
      <c r="F257" s="35">
        <f>F255*$C$247</f>
        <v>0</v>
      </c>
      <c r="G257" s="35">
        <f>G255*$C$247</f>
        <v>0</v>
      </c>
      <c r="H257" s="35">
        <f>H255*$C$247</f>
        <v>0</v>
      </c>
      <c r="I257" s="35">
        <f>I255*$C$247</f>
        <v>0</v>
      </c>
      <c r="J257" s="35">
        <f>J255*$C$247</f>
        <v>0</v>
      </c>
      <c r="K257" s="35">
        <f>K255*$C$247</f>
        <v>0</v>
      </c>
      <c r="L257" s="35">
        <f>L255*$C$247</f>
        <v>0</v>
      </c>
      <c r="M257" s="35">
        <f>M255*$C$247</f>
        <v>0</v>
      </c>
      <c r="N257" s="35">
        <f>N255*$C$247</f>
        <v>0</v>
      </c>
      <c r="O257" s="35">
        <f>O255*$C$247</f>
        <v>0</v>
      </c>
      <c r="P257" s="39">
        <f>SUM(D257:O257)</f>
        <v>0</v>
      </c>
      <c r="Q257" s="402">
        <v>3902200460.659997</v>
      </c>
      <c r="R257" s="54">
        <f>P257/Q257</f>
        <v>0</v>
      </c>
      <c r="S257" s="424"/>
      <c r="Y257" s="41"/>
      <c r="AA257" s="35">
        <f>AA255*$C$247</f>
        <v>0</v>
      </c>
      <c r="AB257" s="35">
        <f>AB255*$C$247</f>
        <v>0</v>
      </c>
      <c r="AC257" s="35">
        <f>AC255*$C$247</f>
        <v>0</v>
      </c>
      <c r="AD257" s="35">
        <f>AD255*$C$247</f>
        <v>0</v>
      </c>
      <c r="AE257" s="35">
        <f>AE255*$C$247</f>
        <v>0</v>
      </c>
      <c r="AF257" s="35">
        <f>AF255*$C$247</f>
        <v>0</v>
      </c>
      <c r="AG257" s="35">
        <f>AG255*$C$247</f>
        <v>0</v>
      </c>
      <c r="AH257" s="35">
        <f>AH255*$C$247</f>
        <v>0</v>
      </c>
      <c r="AI257" s="35">
        <f>AI255*$C$247</f>
        <v>0</v>
      </c>
      <c r="AJ257" s="35">
        <f>AJ255*$C$247</f>
        <v>0</v>
      </c>
      <c r="AK257" s="35">
        <f>AK255*$C$247</f>
        <v>0</v>
      </c>
      <c r="AL257" s="35">
        <f>AL255*$C$247</f>
        <v>0</v>
      </c>
      <c r="AM257" s="39">
        <f>SUM(AA257:AL257)</f>
        <v>0</v>
      </c>
      <c r="AN257" s="402"/>
      <c r="AO257" s="54"/>
      <c r="AP257" s="424"/>
    </row>
    <row r="258" spans="1:42">
      <c r="A258" s="426"/>
      <c r="B258" s="41"/>
      <c r="C258" s="51"/>
      <c r="D258" s="35">
        <f>D256*$C$248</f>
        <v>0</v>
      </c>
      <c r="E258" s="35">
        <f>E256*$C$248</f>
        <v>0</v>
      </c>
      <c r="F258" s="35">
        <f>F256*$C$248</f>
        <v>0</v>
      </c>
      <c r="G258" s="35">
        <f>G256*$C$248</f>
        <v>0</v>
      </c>
      <c r="H258" s="35">
        <f>H256*$C$248</f>
        <v>0</v>
      </c>
      <c r="I258" s="35">
        <f>I256*$C$248</f>
        <v>0</v>
      </c>
      <c r="J258" s="35">
        <f>J256*$C$248</f>
        <v>0</v>
      </c>
      <c r="K258" s="35">
        <f>K256*$C$248</f>
        <v>0</v>
      </c>
      <c r="L258" s="35">
        <f>L256*$C$248</f>
        <v>0</v>
      </c>
      <c r="M258" s="35">
        <f>M256*$C$248</f>
        <v>0</v>
      </c>
      <c r="N258" s="35">
        <f>N256*$C$248</f>
        <v>0</v>
      </c>
      <c r="O258" s="35">
        <f>O256*$C$248</f>
        <v>0</v>
      </c>
      <c r="P258" s="39">
        <f>SUM(D258:O258)</f>
        <v>0</v>
      </c>
      <c r="Q258" s="84">
        <v>37292104.1615621</v>
      </c>
      <c r="R258" s="54">
        <f>P258/Q258</f>
        <v>0</v>
      </c>
      <c r="S258" s="424"/>
      <c r="Y258" s="41"/>
      <c r="Z258" s="51"/>
      <c r="AA258" s="35">
        <f>AA256*$C$248</f>
        <v>0</v>
      </c>
      <c r="AB258" s="35">
        <f>AB256*$C$248</f>
        <v>0</v>
      </c>
      <c r="AC258" s="35">
        <f>AC256*$C$248</f>
        <v>0</v>
      </c>
      <c r="AD258" s="35">
        <f>AD256*$C$248</f>
        <v>0</v>
      </c>
      <c r="AE258" s="35">
        <f>AE256*$C$248</f>
        <v>0</v>
      </c>
      <c r="AF258" s="35">
        <f>AF256*$C$248</f>
        <v>0</v>
      </c>
      <c r="AG258" s="35">
        <f>AG256*$C$248</f>
        <v>0</v>
      </c>
      <c r="AH258" s="35">
        <f>AH256*$C$248</f>
        <v>0</v>
      </c>
      <c r="AI258" s="35">
        <f>AI256*$C$248</f>
        <v>0</v>
      </c>
      <c r="AJ258" s="35">
        <f>AJ256*$C$248</f>
        <v>0</v>
      </c>
      <c r="AK258" s="35">
        <f>AK256*$C$248</f>
        <v>0</v>
      </c>
      <c r="AL258" s="35">
        <f>AL256*$C$248</f>
        <v>0</v>
      </c>
      <c r="AM258" s="39">
        <f>SUM(AA258:AL258)</f>
        <v>0</v>
      </c>
      <c r="AN258" s="84"/>
      <c r="AO258" s="54"/>
      <c r="AP258" s="424"/>
    </row>
    <row r="259" spans="1:42">
      <c r="A259" s="426"/>
      <c r="B259" s="41"/>
      <c r="C259" s="51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39"/>
      <c r="Q259" s="425"/>
      <c r="R259" s="54"/>
      <c r="S259" s="424"/>
      <c r="Y259" s="41"/>
      <c r="Z259" s="51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39"/>
      <c r="AN259" s="425"/>
      <c r="AO259" s="54"/>
      <c r="AP259" s="424"/>
    </row>
    <row r="260" spans="1:42">
      <c r="A260" s="426"/>
      <c r="B260" s="41"/>
      <c r="C260" s="51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39"/>
      <c r="Q260" s="425"/>
      <c r="R260" s="54"/>
      <c r="S260" s="424"/>
      <c r="Y260" s="41"/>
      <c r="Z260" s="51"/>
      <c r="AA260" s="52">
        <f>AA247+AA255</f>
        <v>266.19845592616002</v>
      </c>
      <c r="AB260" s="52">
        <f>AB247+AB255</f>
        <v>286.06401233856002</v>
      </c>
      <c r="AC260" s="52">
        <f>AC247+AC255</f>
        <v>317.8489025984</v>
      </c>
      <c r="AD260" s="52">
        <f>AD247+AD255</f>
        <v>333.74134772832002</v>
      </c>
      <c r="AE260" s="52">
        <f>AE247+AE255</f>
        <v>333.74134772832002</v>
      </c>
      <c r="AF260" s="52">
        <f>AF247+AF255</f>
        <v>317.8489025984</v>
      </c>
      <c r="AG260" s="52">
        <f>AG247+AG255</f>
        <v>294.01023490352003</v>
      </c>
      <c r="AH260" s="52">
        <f>AH247+AH255</f>
        <v>286.06401233856002</v>
      </c>
      <c r="AI260" s="52">
        <f>AI247+AI255</f>
        <v>333.74134772832002</v>
      </c>
      <c r="AJ260" s="52">
        <f>AJ247+AJ255</f>
        <v>270.17156720864</v>
      </c>
      <c r="AK260" s="52">
        <f>AK247+AK255</f>
        <v>278.11778977360001</v>
      </c>
      <c r="AL260" s="52">
        <f>AL247+AL255</f>
        <v>294.01023490352003</v>
      </c>
      <c r="AM260" s="39">
        <f>SUM(AA260:AL260)</f>
        <v>3611.5581557743208</v>
      </c>
      <c r="AN260" s="425"/>
      <c r="AO260" s="54"/>
      <c r="AP260" s="424"/>
    </row>
    <row r="261" spans="1:42">
      <c r="P261" s="31">
        <f>P249+P241+P233+P225+P203+P159+P137</f>
        <v>38067335021.25</v>
      </c>
      <c r="Q261" s="402">
        <v>35072497447.996216</v>
      </c>
      <c r="R261" s="54">
        <f>P261/Q261</f>
        <v>1.0853899149239197</v>
      </c>
      <c r="S261" s="423"/>
      <c r="AA261" s="52">
        <f>AA248+AA256</f>
        <v>711993.46115426347</v>
      </c>
      <c r="AB261" s="52">
        <f>AB248+AB256</f>
        <v>577213.60711869446</v>
      </c>
      <c r="AC261" s="52">
        <f>AC248+AC256</f>
        <v>700948.21178896911</v>
      </c>
      <c r="AD261" s="52">
        <f>AD248+AD256</f>
        <v>620301.99897719</v>
      </c>
      <c r="AE261" s="52">
        <f>AE248+AE256</f>
        <v>892646.85805734654</v>
      </c>
      <c r="AF261" s="52">
        <f>AF248+AF256</f>
        <v>641347.56944048661</v>
      </c>
      <c r="AG261" s="52">
        <f>AG248+AG256</f>
        <v>648376.00329919369</v>
      </c>
      <c r="AH261" s="52">
        <f>AH248+AH256</f>
        <v>531685.72493275604</v>
      </c>
      <c r="AI261" s="52">
        <f>AI248+AI256</f>
        <v>892646.85805734654</v>
      </c>
      <c r="AJ261" s="52">
        <f>AJ248+AJ256</f>
        <v>545142.65284651588</v>
      </c>
      <c r="AK261" s="52">
        <f>AK248+AK256</f>
        <v>613329.1886764376</v>
      </c>
      <c r="AL261" s="52">
        <f>AL248+AL256</f>
        <v>546457.75268101669</v>
      </c>
      <c r="AM261" s="39">
        <f>SUM(AA261:AL261)</f>
        <v>7922089.8870302169</v>
      </c>
      <c r="AN261" s="402"/>
      <c r="AO261" s="54"/>
      <c r="AP261" s="423"/>
    </row>
    <row r="262" spans="1:42">
      <c r="P262" s="31">
        <f>P250+P242+P234+P226+P204+P160+P138</f>
        <v>1036840173.3604555</v>
      </c>
      <c r="Q262" s="402">
        <v>602477832.43467665</v>
      </c>
      <c r="R262" s="54">
        <f>P262/Q262</f>
        <v>1.7209598719515948</v>
      </c>
      <c r="S262" s="423"/>
      <c r="AM262" s="31"/>
      <c r="AN262" s="402"/>
      <c r="AO262" s="54"/>
      <c r="AP262" s="423"/>
    </row>
    <row r="263" spans="1:42">
      <c r="A263" t="s">
        <v>62</v>
      </c>
      <c r="B263" s="40" t="s">
        <v>20</v>
      </c>
      <c r="C263" s="31"/>
      <c r="D263" s="38">
        <f>D26+D48+D70+D92+D114+D137+D159+D181+D203+D225+D233+D241+D249+D257</f>
        <v>14508240261.75</v>
      </c>
      <c r="E263" s="38">
        <f>E26+E48+E70+E92+E114+E137+E159+E181+E203+E225+E233+E241+E249+E257</f>
        <v>17014902106.5</v>
      </c>
      <c r="F263" s="38">
        <f>F26+F48+F70+F92+F114+F137+F159+F181+F203+F225+F233+F241+F249+F257</f>
        <v>17687071728</v>
      </c>
      <c r="G263" s="38">
        <f>G26+G48+G70+G92+G114+G137+G159+G181+G203+G225+G233+G241+G249+G257</f>
        <v>14030111781</v>
      </c>
      <c r="H263" s="38">
        <f>H26+H48+H70+H92+H114+H137+H159+H181+H203+H225+H233+H241+H249+H257</f>
        <v>11140564720.500002</v>
      </c>
      <c r="I263" s="38">
        <f>I26+I48+I70+I92+I114+I137+I159+I181+I203+I225+I233+I241+I249+I257</f>
        <v>15578234631.000002</v>
      </c>
      <c r="J263" s="38">
        <f>J26+J48+J70+J92+J114+J137+J159+J181+J203+J225+J233+J241+J249+J257</f>
        <v>15837263019</v>
      </c>
      <c r="K263" s="38">
        <f>K26+K48+K70+K92+K114+K137+K159+K181+K203+K225+K233+K241+K249+K257</f>
        <v>18225625072.5</v>
      </c>
      <c r="L263" s="38">
        <f>L26+L48+L70+L92+L114+L137+L159+L181+L203+L225+L233+L241+L249+L257</f>
        <v>16215246994.5</v>
      </c>
      <c r="M263" s="38">
        <f>M26+M48+M70+M92+M114+M137+M159+M181+M203+M225+M233+M241+M249+M257</f>
        <v>16523214574.500002</v>
      </c>
      <c r="N263" s="38">
        <f>N26+N48+N70+N92+N114+N137+N159+N181+N203+N225+N233+N241+N249+N257</f>
        <v>15574063621.5</v>
      </c>
      <c r="O263" s="38">
        <f>O26+O48+O70+O92+O114+O137+O159+O181+O203+O225+O233+O241+O249+O257</f>
        <v>20174094148.500004</v>
      </c>
      <c r="P263" s="39">
        <f>SUM(D263:O263)</f>
        <v>192508632659.25</v>
      </c>
      <c r="Q263" s="39"/>
      <c r="Y263" s="40" t="s">
        <v>20</v>
      </c>
      <c r="Z263" s="31"/>
      <c r="AA263" s="38">
        <f>AA26+AA48+AA70+AA92+AA114+AA137+AA159+AA181+AA203+AA225+AA233+AA241+AA249+AA257</f>
        <v>14830910648.055944</v>
      </c>
      <c r="AB263" s="38">
        <f>AB26+AB48+AB70+AB92+AB114+AB137+AB159+AB181+AB203+AB225+AB233+AB241+AB249+AB257</f>
        <v>17398247949.001869</v>
      </c>
      <c r="AC263" s="38">
        <f>AC26+AC48+AC70+AC92+AC114+AC137+AC159+AC181+AC203+AC225+AC233+AC241+AC249+AC257</f>
        <v>18080850716.755116</v>
      </c>
      <c r="AD263" s="38">
        <f>AD26+AD48+AD70+AD92+AD114+AD137+AD159+AD181+AD203+AD225+AD233+AD241+AD249+AD257</f>
        <v>14334268122.214678</v>
      </c>
      <c r="AE263" s="38">
        <f>AE26+AE48+AE70+AE92+AE114+AE137+AE159+AE181+AE203+AE225+AE233+AE241+AE249+AE257</f>
        <v>11332832298.076254</v>
      </c>
      <c r="AF263" s="38">
        <f>AF26+AF48+AF70+AF92+AF114+AF137+AF159+AF181+AF203+AF225+AF233+AF241+AF249+AF257</f>
        <v>15885157251.894548</v>
      </c>
      <c r="AG263" s="38">
        <f>AG26+AG48+AG70+AG92+AG114+AG137+AG159+AG181+AG203+AG225+AG233+AG241+AG249+AG257</f>
        <v>16149017531.830967</v>
      </c>
      <c r="AH263" s="38">
        <f>AH26+AH48+AH70+AH92+AH114+AH137+AH159+AH181+AH203+AH225+AH233+AH241+AH249+AH257</f>
        <v>18572681526.715508</v>
      </c>
      <c r="AI263" s="38">
        <f>AI26+AI48+AI70+AI92+AI114+AI137+AI159+AI181+AI203+AI225+AI233+AI241+AI249+AI257</f>
        <v>16484457781.943676</v>
      </c>
      <c r="AJ263" s="38">
        <f>AJ26+AJ48+AJ70+AJ92+AJ114+AJ137+AJ159+AJ181+AJ203+AJ225+AJ233+AJ241+AJ249+AJ257</f>
        <v>16778359550.909184</v>
      </c>
      <c r="AK263" s="38">
        <f>AK26+AK48+AK70+AK92+AK114+AK137+AK159+AK181+AK203+AK225+AK233+AK241+AK249+AK257</f>
        <v>15875626552.550133</v>
      </c>
      <c r="AL263" s="38">
        <f>AL26+AL48+AL70+AL92+AL114+AL137+AL159+AL181+AL203+AL225+AL233+AL241+AL249+AL257</f>
        <v>20586202674.229702</v>
      </c>
      <c r="AM263" s="39">
        <f>SUM(AA263:AL263)</f>
        <v>196308612604.17755</v>
      </c>
      <c r="AN263" s="39"/>
    </row>
    <row r="264" spans="1:42">
      <c r="B264" s="40" t="s">
        <v>21</v>
      </c>
      <c r="C264" s="31"/>
      <c r="D264" s="38">
        <f>D27+D49+D71+D93+D115+D138+D160+D182+D204+D226+D234+D242+D250+D258</f>
        <v>765358363.40850008</v>
      </c>
      <c r="E264" s="38">
        <f>E27+E49+E71+E93+E115+E138+E160+E182+E204+E226+E234+E242+E250+E258</f>
        <v>831773496.92849994</v>
      </c>
      <c r="F264" s="38">
        <f>F27+F49+F71+F93+F115+F138+F160+F182+F204+F226+F234+F242+F250+F258</f>
        <v>810577317.26249993</v>
      </c>
      <c r="G264" s="38">
        <f>G27+G49+G71+G93+G115+G138+G160+G182+G204+G226+G234+G242+G250+G258</f>
        <v>626500937.91599989</v>
      </c>
      <c r="H264" s="38">
        <f>H27+H49+H71+H93+H115+H138+H160+H182+H204+H226+H234+H242+H250+H258</f>
        <v>550725155.36321926</v>
      </c>
      <c r="I264" s="38">
        <f>I27+I49+I71+I93+I115+I138+I160+I182+I204+I226+I234+I242+I250+I258</f>
        <v>737327683.37284052</v>
      </c>
      <c r="J264" s="38">
        <f>J27+J49+J71+J93+J115+J138+J160+J182+J204+J226+J234+J242+J250+J258</f>
        <v>714362905.31407332</v>
      </c>
      <c r="K264" s="38">
        <f>K27+K49+K71+K93+K115+K138+K160+K182+K204+K226+K234+K242+K250+K258</f>
        <v>847334341.0554893</v>
      </c>
      <c r="L264" s="38">
        <f>L27+L49+L71+L93+L115+L138+L160+L182+L204+L226+L234+L242+L250+L258</f>
        <v>835645942.04871047</v>
      </c>
      <c r="M264" s="38">
        <f>M27+M49+M71+M93+M115+M138+M160+M182+M204+M226+M234+M242+M250+M258</f>
        <v>791457338.72307086</v>
      </c>
      <c r="N264" s="38">
        <f>N27+N49+N71+N93+N115+N138+N160+N182+N204+N226+N234+N242+N250+N258</f>
        <v>708295251.64090836</v>
      </c>
      <c r="O264" s="38">
        <f>O27+O49+O71+O93+O115+O138+O160+O182+O204+O226+O234+O242+O250+O258</f>
        <v>933297115.78636062</v>
      </c>
      <c r="P264" s="39">
        <f>SUM(D264:O264)</f>
        <v>9152655848.8201733</v>
      </c>
      <c r="Q264" s="39"/>
      <c r="Y264" s="40" t="s">
        <v>21</v>
      </c>
      <c r="Z264" s="31"/>
      <c r="AA264" s="38">
        <f>AA27+AA49+AA71+AA93+AA115+AA138+AA160+AA182+AA204+AA226+AA234+AA242+AA250+AA258</f>
        <v>833698710.79555452</v>
      </c>
      <c r="AB264" s="38">
        <f>AB27+AB49+AB71+AB93+AB115+AB138+AB160+AB182+AB204+AB226+AB234+AB242+AB250+AB258</f>
        <v>905873115.55304146</v>
      </c>
      <c r="AC264" s="38">
        <f>AC27+AC49+AC71+AC93+AC115+AC138+AC160+AC182+AC204+AC226+AC234+AC242+AC250+AC258</f>
        <v>882618661.53112423</v>
      </c>
      <c r="AD264" s="38">
        <f>AD27+AD49+AD71+AD93+AD115+AD138+AD160+AD182+AD204+AD226+AD234+AD242+AD250+AD258</f>
        <v>682311619.98609686</v>
      </c>
      <c r="AE264" s="38">
        <f>AE27+AE49+AE71+AE93+AE115+AE138+AE160+AE182+AE204+AE226+AE234+AE242+AE250+AE258</f>
        <v>599607535.6953398</v>
      </c>
      <c r="AF264" s="38">
        <f>AF27+AF49+AF71+AF93+AF115+AF138+AF160+AF182+AF204+AF226+AF234+AF242+AF250+AF258</f>
        <v>802766643.07175612</v>
      </c>
      <c r="AG264" s="38">
        <f>AG27+AG49+AG71+AG93+AG115+AG138+AG160+AG182+AG204+AG226+AG234+AG242+AG250+AG258</f>
        <v>777629063.98429573</v>
      </c>
      <c r="AH264" s="38">
        <f>AH27+AH49+AH71+AH93+AH115+AH138+AH160+AH182+AH204+AH226+AH234+AH242+AH250+AH258</f>
        <v>922616020.64811039</v>
      </c>
      <c r="AI264" s="38">
        <f>AI27+AI49+AI71+AI93+AI115+AI138+AI160+AI182+AI204+AI226+AI234+AI242+AI250+AI258</f>
        <v>909835947.91986048</v>
      </c>
      <c r="AJ264" s="38">
        <f>AJ27+AJ49+AJ71+AJ93+AJ115+AJ138+AJ160+AJ182+AJ204+AJ226+AJ234+AJ242+AJ250+AJ258</f>
        <v>861383625.54848683</v>
      </c>
      <c r="AK264" s="38">
        <f>AK27+AK49+AK71+AK93+AK115+AK138+AK160+AK182+AK204+AK226+AK234+AK242+AK250+AK258</f>
        <v>771011349.94817948</v>
      </c>
      <c r="AL264" s="38">
        <f>AL27+AL49+AL71+AL93+AL115+AL138+AL160+AL182+AL204+AL226+AL234+AL242+AL250+AL258</f>
        <v>1016324386.5207194</v>
      </c>
      <c r="AM264" s="39">
        <f>SUM(AA264:AL264)</f>
        <v>9965676681.2025661</v>
      </c>
      <c r="AN264" s="39"/>
    </row>
    <row r="265" spans="1:42">
      <c r="D265" s="31">
        <f>D263+D264</f>
        <v>15273598625.158501</v>
      </c>
      <c r="E265" s="31">
        <f>E263+E264</f>
        <v>17846675603.428501</v>
      </c>
      <c r="F265" s="31">
        <f>F263+F264</f>
        <v>18497649045.262501</v>
      </c>
      <c r="G265" s="31">
        <f>G263+G264</f>
        <v>14656612718.916</v>
      </c>
      <c r="H265" s="31">
        <f>H263+H264</f>
        <v>11691289875.86322</v>
      </c>
      <c r="I265" s="31">
        <f>I263+I264</f>
        <v>16315562314.372843</v>
      </c>
      <c r="J265" s="31">
        <f>J263+J264</f>
        <v>16551625924.314074</v>
      </c>
      <c r="K265" s="31">
        <f>K263+K264</f>
        <v>19072959413.555489</v>
      </c>
      <c r="L265" s="31">
        <f>L263+L264</f>
        <v>17050892936.54871</v>
      </c>
      <c r="M265" s="31">
        <f>M263+M264</f>
        <v>17314671913.223072</v>
      </c>
      <c r="N265" s="31">
        <f>N263+N264</f>
        <v>16282358873.140909</v>
      </c>
      <c r="O265" s="31">
        <f>O263+O264</f>
        <v>21107391264.286366</v>
      </c>
      <c r="P265" s="31">
        <f>P263+P264</f>
        <v>201661288508.07016</v>
      </c>
      <c r="Q265" s="422">
        <v>138221833357</v>
      </c>
      <c r="AA265" s="31">
        <f>AA263+AA264</f>
        <v>15664609358.8515</v>
      </c>
      <c r="AB265" s="31">
        <f>AB263+AB264</f>
        <v>18304121064.554909</v>
      </c>
      <c r="AC265" s="31">
        <f>AC263+AC264</f>
        <v>18963469378.28624</v>
      </c>
      <c r="AD265" s="31">
        <f>AD263+AD264</f>
        <v>15016579742.200775</v>
      </c>
      <c r="AE265" s="31">
        <f>AE263+AE264</f>
        <v>11932439833.771593</v>
      </c>
      <c r="AF265" s="31">
        <f>AF263+AF264</f>
        <v>16687923894.966305</v>
      </c>
      <c r="AG265" s="31">
        <f>AG263+AG264</f>
        <v>16926646595.815262</v>
      </c>
      <c r="AH265" s="31">
        <f>AH263+AH264</f>
        <v>19495297547.363617</v>
      </c>
      <c r="AI265" s="31">
        <f>AI263+AI264</f>
        <v>17394293729.863537</v>
      </c>
      <c r="AJ265" s="31">
        <f>AJ263+AJ264</f>
        <v>17639743176.457672</v>
      </c>
      <c r="AK265" s="31">
        <f>AK263+AK264</f>
        <v>16646637902.498312</v>
      </c>
      <c r="AL265" s="31">
        <f>AL263+AL264</f>
        <v>21602527060.75042</v>
      </c>
      <c r="AM265" s="31">
        <f>AM263+AM264</f>
        <v>206274289285.38013</v>
      </c>
      <c r="AN265" s="422"/>
    </row>
    <row r="266" spans="1:42">
      <c r="D266" s="31"/>
      <c r="E266" s="31"/>
      <c r="F266" s="31"/>
      <c r="G266" s="31">
        <v>58441202829</v>
      </c>
      <c r="H266" s="31">
        <v>15075704912</v>
      </c>
      <c r="I266" s="31">
        <f>I265-I267</f>
        <v>14095341589.413891</v>
      </c>
      <c r="J266" s="31">
        <f>J265-J267</f>
        <v>14299281677.70742</v>
      </c>
      <c r="K266" s="31">
        <f>K265-K267</f>
        <v>16477512259.461823</v>
      </c>
      <c r="L266" s="31">
        <f>L265-L267</f>
        <v>14730608465.358124</v>
      </c>
      <c r="M266" s="31">
        <f>M265-M267</f>
        <v>14958492414.969582</v>
      </c>
      <c r="N266" s="31">
        <f>N265-N267</f>
        <v>14066656470.440342</v>
      </c>
      <c r="O266" s="31">
        <f>O265-O267</f>
        <v>18235098747.987179</v>
      </c>
      <c r="P266" s="31">
        <f>SUM(D266:O266)</f>
        <v>180379899366.33835</v>
      </c>
      <c r="Q266" s="421">
        <f>P265-Q265</f>
        <v>63439455151.07016</v>
      </c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421"/>
    </row>
    <row r="267" spans="1:42">
      <c r="D267" s="54"/>
      <c r="E267" s="54"/>
      <c r="F267" s="54"/>
      <c r="G267" s="54"/>
      <c r="H267" s="54"/>
      <c r="I267" s="66">
        <f>I268*$Q$268</f>
        <v>2220220724.9589529</v>
      </c>
      <c r="J267" s="66">
        <f>J268*$Q$268</f>
        <v>2252344246.6066523</v>
      </c>
      <c r="K267" s="66">
        <f>K268*$Q$268</f>
        <v>2595447154.0936651</v>
      </c>
      <c r="L267" s="66">
        <f>L268*$Q$268</f>
        <v>2320284471.190587</v>
      </c>
      <c r="M267" s="66">
        <f>M268*$Q$268</f>
        <v>2356179498.2534895</v>
      </c>
      <c r="N267" s="66">
        <f>N268*$Q$268</f>
        <v>2215702402.7005682</v>
      </c>
      <c r="O267" s="66">
        <f>O268*$Q$268</f>
        <v>2872292516.2991858</v>
      </c>
      <c r="P267" s="31">
        <f>SUM(I265:O265)</f>
        <v>123695462639.44145</v>
      </c>
      <c r="Q267" s="421">
        <f>P265-P266</f>
        <v>21281389141.731812</v>
      </c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421"/>
    </row>
    <row r="268" spans="1:42">
      <c r="D268" s="54"/>
      <c r="E268" s="54"/>
      <c r="F268" s="54"/>
      <c r="G268" s="54"/>
      <c r="H268" s="54"/>
      <c r="I268" s="54">
        <f>I265/$P$267</f>
        <v>0.13190105737290378</v>
      </c>
      <c r="J268" s="54">
        <f>J265/$P$267</f>
        <v>0.13380948315428695</v>
      </c>
      <c r="K268" s="54">
        <f>K265/$P$267</f>
        <v>0.15419287827194639</v>
      </c>
      <c r="L268" s="54">
        <f>L265/$P$267</f>
        <v>0.13784574286487913</v>
      </c>
      <c r="M268" s="54">
        <f>M265/$P$267</f>
        <v>0.1399782299508707</v>
      </c>
      <c r="N268" s="54">
        <f>N265/$P$267</f>
        <v>0.13163262843845921</v>
      </c>
      <c r="O268" s="54">
        <f>O265/$P$267</f>
        <v>0.17063997994665389</v>
      </c>
      <c r="P268" s="31"/>
      <c r="Q268" s="421">
        <v>16832471014.1031</v>
      </c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421"/>
    </row>
    <row r="269" spans="1:42">
      <c r="D269" s="107"/>
      <c r="E269" s="107"/>
      <c r="F269" s="107"/>
      <c r="G269" s="107"/>
      <c r="H269" s="107"/>
      <c r="I269" s="31"/>
      <c r="J269" s="31"/>
      <c r="K269" s="31"/>
      <c r="L269" s="31"/>
      <c r="M269" s="31"/>
      <c r="N269" s="31"/>
      <c r="O269" s="31"/>
      <c r="P269" s="39"/>
      <c r="Q269" s="42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421"/>
    </row>
    <row r="270" spans="1:42">
      <c r="D270" s="107"/>
      <c r="E270" s="107"/>
      <c r="F270" s="107"/>
      <c r="G270" s="107"/>
      <c r="H270" s="107"/>
      <c r="I270" s="31"/>
      <c r="J270" s="31"/>
      <c r="K270" s="31"/>
      <c r="L270" s="31"/>
      <c r="M270" s="31"/>
      <c r="N270" s="31"/>
      <c r="O270" s="31"/>
      <c r="P270" s="39"/>
    </row>
    <row r="271" spans="1:42"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31"/>
    </row>
    <row r="272" spans="1:42"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31"/>
    </row>
    <row r="273" spans="1:43">
      <c r="O273" t="s">
        <v>221</v>
      </c>
      <c r="P273" s="39">
        <f>P14+P42+P78+P108+P123+P145+P189+P215+P231+P239+P247</f>
        <v>13529.025</v>
      </c>
      <c r="AL273" t="s">
        <v>221</v>
      </c>
      <c r="AM273" s="39">
        <f>AM14+AM42+AM78+AM108+AM123+AM145+AM189+AM215+AM231+AM239+AM247</f>
        <v>14029.055938436883</v>
      </c>
    </row>
    <row r="274" spans="1:43">
      <c r="A274" t="s">
        <v>100</v>
      </c>
      <c r="P274" s="39">
        <f>P15+P43+P79+P109+P124+P146+P190+P216+P232+P240+P248</f>
        <v>172899538.03878427</v>
      </c>
      <c r="AM274" s="39">
        <f>AM15+AM43+AM79+AM109+AM124+AM146+AM190+AM216+AM232+AM240+AM248</f>
        <v>187579785.37161103</v>
      </c>
    </row>
    <row r="275" spans="1:43">
      <c r="B275" s="40" t="s">
        <v>20</v>
      </c>
      <c r="D275" s="39">
        <f>D14+D42+D78+D108+D123+D145+D189+D215+D231+D239+D247</f>
        <v>1113.075</v>
      </c>
      <c r="E275" s="39">
        <f>E14+E42+E78+E108+E123+E145+E189+E215+E231+E239+E247</f>
        <v>1086.3</v>
      </c>
      <c r="F275" s="39">
        <f>F14+F42+F78+F108+F123+F145+F189+F215+F231+F239+F247</f>
        <v>1139.8499999999999</v>
      </c>
      <c r="G275" s="39">
        <f>G14+G42+G78+G108+G123+G145+G189+G215+G231+G239+G247</f>
        <v>1193.4000000000001</v>
      </c>
      <c r="H275" s="39">
        <f>H14+H42+H78+H108+H123+H145+H189+H215+H231+H239+H247</f>
        <v>1109.25</v>
      </c>
      <c r="I275" s="39">
        <f>I14+I42+I78+I108+I123+I145+I189+I215+I231+I239+I247</f>
        <v>1147.5</v>
      </c>
      <c r="J275" s="39">
        <f>J14+J42+J78+J108+J123+J145+J189+J215+J231+J239+J247</f>
        <v>1086.3000000000002</v>
      </c>
      <c r="K275" s="39">
        <f>K14+K42+K78+K108+K123+K145+K189+K215+K231+K239+K247</f>
        <v>1147.5000000000002</v>
      </c>
      <c r="L275" s="39">
        <f>L14+L42+L78+L108+L123+L145+L189+L215+L231+L239+L247</f>
        <v>1132.2</v>
      </c>
      <c r="M275" s="39">
        <f>M14+M42+M78+M108+M123+M145+M189+M215+M231+M239+M247</f>
        <v>1032.75</v>
      </c>
      <c r="N275" s="39">
        <f>N14+N42+N78+N108+N123+N145+N189+N215+N231+N239+N247</f>
        <v>1025.0999999999999</v>
      </c>
      <c r="O275" s="39">
        <f>O14+O42+O78+O108+O123+O145+O189+O215+O231+O239+O247</f>
        <v>1315.8000000000002</v>
      </c>
      <c r="P275" s="39">
        <f>SUM(D275:O275)</f>
        <v>13529.025000000001</v>
      </c>
      <c r="Y275" s="40" t="s">
        <v>20</v>
      </c>
      <c r="AA275" s="39">
        <f>AA14+AA42+AA78+AA108+AA123+AA145+AA189+AA215+AA231+AA239+AA247</f>
        <v>1156.17538320168</v>
      </c>
      <c r="AB275" s="39">
        <f>AB14+AB42+AB78+AB108+AB123+AB145+AB189+AB215+AB231+AB239+AB247</f>
        <v>1128.3636042243202</v>
      </c>
      <c r="AC275" s="39">
        <f>AC14+AC42+AC78+AC108+AC123+AC145+AC189+AC215+AC231+AC239+AC247</f>
        <v>1183.9871621790401</v>
      </c>
      <c r="AD275" s="39">
        <f>AD14+AD42+AD78+AD108+AD123+AD145+AD189+AD215+AD231+AD239+AD247</f>
        <v>1231.6644975688</v>
      </c>
      <c r="AE275" s="39">
        <f>AE14+AE42+AE78+AE108+AE123+AE145+AE189+AE215+AE231+AE239+AE247</f>
        <v>1152.2022719192</v>
      </c>
      <c r="AF275" s="39">
        <f>AF14+AF42+AF78+AF108+AF123+AF145+AF189+AF215+AF231+AF239+AF247</f>
        <v>1191.933384744</v>
      </c>
      <c r="AG275" s="39">
        <f>AG14+AG42+AG78+AG108+AG123+AG145+AG189+AG215+AG231+AG239+AG247</f>
        <v>1128.3636042243199</v>
      </c>
      <c r="AH275" s="39">
        <f>AH14+AH42+AH78+AH108+AH123+AH145+AH189+AH215+AH231+AH239+AH247</f>
        <v>1183.9871621790403</v>
      </c>
      <c r="AI275" s="39">
        <f>AI14+AI42+AI78+AI108+AI123+AI145+AI189+AI215+AI231+AI239+AI247</f>
        <v>1176.0409396140801</v>
      </c>
      <c r="AJ275" s="39">
        <f>AJ14+AJ42+AJ78+AJ108+AJ123+AJ145+AJ189+AJ215+AJ231+AJ239+AJ247</f>
        <v>1072.7400462696</v>
      </c>
      <c r="AK275" s="39">
        <f>AK14+AK42+AK78+AK108+AK123+AK145+AK189+AK215+AK231+AK239+AK247</f>
        <v>1064.7938237046399</v>
      </c>
      <c r="AL275" s="39">
        <f>AL14+AL42+AL78+AL108+AL123+AL145+AL189+AL215+AL231+AL239+AL247</f>
        <v>1358.8040586081599</v>
      </c>
      <c r="AM275" s="39">
        <f>SUM(AA275:AL275)</f>
        <v>14029.055938436883</v>
      </c>
    </row>
    <row r="276" spans="1:43">
      <c r="B276" s="40" t="s">
        <v>21</v>
      </c>
      <c r="D276" s="39">
        <f>D15+D43+D79+D109+D124+D146+D190+D216+D232+D240+D248</f>
        <v>21483016.875000004</v>
      </c>
      <c r="E276" s="39">
        <f>E15+E43+E79+E109+E124+E146+E190+E216+E232+E240+E248</f>
        <v>13036690.125</v>
      </c>
      <c r="F276" s="39">
        <f>F15+F43+F79+F109+F124+F146+F190+F216+F232+F240+F248</f>
        <v>11288841.074999999</v>
      </c>
      <c r="G276" s="39">
        <f>G15+G43+G79+G109+G124+G146+G190+G216+G232+G240+G248</f>
        <v>12344720.85</v>
      </c>
      <c r="H276" s="39">
        <f>H15+H43+H79+H109+H124+H146+H190+H216+H232+H240+H248</f>
        <v>19958261.86848972</v>
      </c>
      <c r="I276" s="39">
        <f>I15+I43+I79+I109+I124+I146+I190+I216+I232+I240+I248</f>
        <v>13046714.509364322</v>
      </c>
      <c r="J276" s="39">
        <f>J15+J43+J79+J109+J124+J146+J190+J216+J232+J240+J248</f>
        <v>11951612.803155366</v>
      </c>
      <c r="K276" s="39">
        <f>K15+K43+K79+K109+K124+K146+K190+K216+K232+K240+K248</f>
        <v>13520183.926325316</v>
      </c>
      <c r="L276" s="39">
        <f>L15+L43+L79+L109+L124+L146+L190+L216+L232+L240+L248</f>
        <v>20369288.932475735</v>
      </c>
      <c r="M276" s="39">
        <f>M15+M43+M79+M109+M124+M146+M190+M216+M232+M240+M248</f>
        <v>11622801.085500684</v>
      </c>
      <c r="N276" s="39">
        <f>N15+N43+N79+N109+N124+N146+N190+N216+N232+N240+N248</f>
        <v>10823440.884071358</v>
      </c>
      <c r="O276" s="39">
        <f>O15+O43+O79+O109+O124+O146+O190+O216+O232+O240+O248</f>
        <v>13453965.104401745</v>
      </c>
      <c r="P276" s="39">
        <f>SUM(D276:O276)</f>
        <v>172899538.03878424</v>
      </c>
      <c r="Y276" s="40" t="s">
        <v>21</v>
      </c>
      <c r="AA276" s="39">
        <f>AA15+AA43+AA79+AA109+AA124+AA146+AA190+AA216+AA232+AA240+AA248</f>
        <v>23430633.139280587</v>
      </c>
      <c r="AB276" s="39">
        <f>AB15+AB43+AB79+AB109+AB124+AB146+AB190+AB216+AB232+AB240+AB248</f>
        <v>14218581.29283374</v>
      </c>
      <c r="AC276" s="39">
        <f>AC15+AC43+AC79+AC109+AC124+AC146+AC190+AC216+AC232+AC240+AC248</f>
        <v>12312270.58016599</v>
      </c>
      <c r="AD276" s="39">
        <f>AD15+AD43+AD79+AD109+AD124+AD146+AD190+AD216+AD232+AD240+AD248</f>
        <v>13132344.587537555</v>
      </c>
      <c r="AE276" s="39">
        <f>AE15+AE43+AE79+AE109+AE124+AE146+AE190+AE216+AE232+AE240+AE248</f>
        <v>21767651.653997041</v>
      </c>
      <c r="AF276" s="39">
        <f>AF15+AF43+AF79+AF109+AF124+AF146+AF190+AF216+AF232+AF240+AF248</f>
        <v>14229515.295083126</v>
      </c>
      <c r="AG276" s="39">
        <f>AG15+AG43+AG79+AG109+AG124+AG146+AG190+AG216+AG232+AG240+AG248</f>
        <v>13035130.500677835</v>
      </c>
      <c r="AH276" s="39">
        <f>AH15+AH43+AH79+AH109+AH124+AH146+AH190+AH216+AH232+AH240+AH248</f>
        <v>14414372.243723072</v>
      </c>
      <c r="AI276" s="39">
        <f>AI15+AI43+AI79+AI109+AI124+AI146+AI190+AI216+AI232+AI240+AI248</f>
        <v>22215937.799999259</v>
      </c>
      <c r="AJ276" s="39">
        <f>AJ15+AJ43+AJ79+AJ109+AJ124+AJ146+AJ190+AJ216+AJ232+AJ240+AJ248</f>
        <v>12676513.503209908</v>
      </c>
      <c r="AK276" s="39">
        <f>AK15+AK43+AK79+AK109+AK124+AK146+AK190+AK216+AK232+AK240+AK248</f>
        <v>11804685.748272756</v>
      </c>
      <c r="AL276" s="39">
        <f>AL15+AL43+AL79+AL109+AL124+AL146+AL190+AL216+AL232+AL240+AL248</f>
        <v>14342149.026830152</v>
      </c>
      <c r="AM276" s="39">
        <f>SUM(AA276:AL276)</f>
        <v>187579785.371611</v>
      </c>
    </row>
    <row r="277" spans="1:43">
      <c r="P277" s="39">
        <f>P243+P235+P227+P205+P161+P139+P116+P94+P50+P28</f>
        <v>213682348934.71588</v>
      </c>
      <c r="S277" s="420">
        <f>SUM(S5:S250)</f>
        <v>1</v>
      </c>
      <c r="T277" s="419">
        <f>SUM(T5:T250)</f>
        <v>0</v>
      </c>
      <c r="AM277" s="39">
        <f>AM243+AM235+AM227+AM205+AM161+AM139+AM116+AM94+AM50+AM28</f>
        <v>222277751836.42871</v>
      </c>
      <c r="AP277" s="420">
        <f>SUM(AP5:AP250)</f>
        <v>1.0402251423412558</v>
      </c>
      <c r="AQ277" s="419">
        <f>SUM(AQ5:AQ250)</f>
        <v>0</v>
      </c>
    </row>
    <row r="279" spans="1:43">
      <c r="P279" s="20"/>
      <c r="AM279" s="20"/>
    </row>
    <row r="280" spans="1:43">
      <c r="D280" s="418">
        <f>D8+D30+D52+D74+D96+D119+D141+D163+D185+D207+D229+D237+D245+D253</f>
        <v>256</v>
      </c>
      <c r="E280" s="418">
        <f>E8+E30+E52+E74+E96+E119+E141+E163+E185+E207+E229+E237+E245+E253</f>
        <v>266</v>
      </c>
      <c r="F280" s="418">
        <f>F8+F30+F52+F74+F96+F119+F141+F163+F185+F207+F229+F237+F245+F253</f>
        <v>287</v>
      </c>
      <c r="G280" s="418">
        <f>G8+G30+G52+G74+G96+G119+G141+G163+G185+G207+G229+G237+G245+G253</f>
        <v>273</v>
      </c>
      <c r="H280" s="418">
        <f>H8+H30+H52+H74+H96+H119+H141+H163+H185+H207+H229+H237+H245+H253</f>
        <v>255</v>
      </c>
      <c r="I280" s="418">
        <f>I8+I30+I52+I74+I96+I119+I141+I163+I185+I207+I229+I237+I245+I253</f>
        <v>276</v>
      </c>
      <c r="J280" s="418">
        <f>J8+J30+J52+J74+J96+J119+J141+J163+J185+J207+J229+J237+J245+J253</f>
        <v>270</v>
      </c>
      <c r="K280" s="418">
        <f>K8+K30+K52+K74+K96+K119+K141+K163+K185+K207+K229+K237+K245+K253</f>
        <v>293</v>
      </c>
      <c r="L280" s="418">
        <f>L8+L30+L52+L74+L96+L119+L141+L163+L185+L207+L229+L237+L245+L253</f>
        <v>291</v>
      </c>
      <c r="M280" s="418">
        <f>M8+M30+M52+M74+M96+M119+M141+M163+M185+M207+M229+M237+M245+M253</f>
        <v>275</v>
      </c>
      <c r="N280" s="418">
        <f>N8+N30+N52+N74+N96+N119+N141+N163+N185+N207+N229+N237+N245+N253</f>
        <v>260</v>
      </c>
      <c r="O280" s="418">
        <f>O8+O30+O52+O74+O96+O119+O141+O163+O185+O207+O229+O237+O245+O253</f>
        <v>318</v>
      </c>
      <c r="P280" s="410">
        <f>SUM(D280:O280)</f>
        <v>3320</v>
      </c>
      <c r="AA280" s="418">
        <f>AA8+AA30+AA52+AA74+AA96+AA119+AA141+AA163+AA185+AA207+AA229+AA237+AA245+AA253</f>
        <v>256</v>
      </c>
      <c r="AB280" s="418">
        <f>AB8+AB30+AB52+AB74+AB96+AB119+AB141+AB163+AB185+AB207+AB229+AB237+AB245+AB253</f>
        <v>266</v>
      </c>
      <c r="AC280" s="418">
        <f>AC8+AC30+AC52+AC74+AC96+AC119+AC141+AC163+AC185+AC207+AC229+AC237+AC245+AC253</f>
        <v>287</v>
      </c>
      <c r="AD280" s="418">
        <f>AD8+AD30+AD52+AD74+AD96+AD119+AD141+AD163+AD185+AD207+AD229+AD237+AD245+AD253</f>
        <v>273</v>
      </c>
      <c r="AE280" s="418">
        <f>AE8+AE30+AE52+AE74+AE96+AE119+AE141+AE163+AE185+AE207+AE229+AE237+AE245+AE253</f>
        <v>255</v>
      </c>
      <c r="AF280" s="418">
        <f>AF8+AF30+AF52+AF74+AF96+AF119+AF141+AF163+AF185+AF207+AF229+AF237+AF245+AF253</f>
        <v>276</v>
      </c>
      <c r="AG280" s="418">
        <f>AG8+AG30+AG52+AG74+AG96+AG119+AG141+AG163+AG185+AG207+AG229+AG237+AG245+AG253</f>
        <v>270</v>
      </c>
      <c r="AH280" s="418">
        <f>AH8+AH30+AH52+AH74+AH96+AH119+AH141+AH163+AH185+AH207+AH229+AH237+AH245+AH253</f>
        <v>293</v>
      </c>
      <c r="AI280" s="418">
        <f>AI8+AI30+AI52+AI74+AI96+AI119+AI141+AI163+AI185+AI207+AI229+AI237+AI245+AI253</f>
        <v>291</v>
      </c>
      <c r="AJ280" s="418">
        <f>AJ8+AJ30+AJ52+AJ74+AJ96+AJ119+AJ141+AJ163+AJ185+AJ207+AJ229+AJ237+AJ245+AJ253</f>
        <v>275</v>
      </c>
      <c r="AK280" s="418">
        <f>AK8+AK30+AK52+AK74+AK96+AK119+AK141+AK163+AK185+AK207+AK229+AK237+AK245+AK253</f>
        <v>260</v>
      </c>
      <c r="AL280" s="418">
        <f>AL8+AL30+AL52+AL74+AL96+AL119+AL141+AL163+AL185+AL207+AL229+AL237+AL245+AL253</f>
        <v>318</v>
      </c>
      <c r="AM280" s="410">
        <f>SUM(AA280:AL280)</f>
        <v>3320</v>
      </c>
    </row>
    <row r="281" spans="1:43">
      <c r="D281" s="418">
        <f>D9+D31+D53+D75+D97+D120+D142+D164+D186+D208+D230+D238+D246+D254</f>
        <v>3694928</v>
      </c>
      <c r="E281" s="418">
        <f>E9+E31+E53+E75+E97+E120+E142+E164+E186+E208+E230+E238+E246+E254</f>
        <v>2707202</v>
      </c>
      <c r="F281" s="418">
        <f>F9+F31+F53+F75+F97+F120+F142+F164+F186+F208+F230+F238+F246+F254</f>
        <v>2604196</v>
      </c>
      <c r="G281" s="418">
        <f>G9+G31+G53+G75+G97+G120+G142+G164+G186+G208+G230+G238+G246+G254</f>
        <v>2438165</v>
      </c>
      <c r="H281" s="418">
        <f>H9+H31+H53+H75+H97+H120+H142+H164+H186+H208+H230+H238+H246+H254</f>
        <v>3365390.2407107819</v>
      </c>
      <c r="I281" s="418">
        <f>I9+I31+I53+I75+I97+I120+I142+I164+I186+I208+I230+I238+I246+I254</f>
        <v>2714104.8697035615</v>
      </c>
      <c r="J281" s="418">
        <f>J9+J31+J53+J75+J97+J120+J142+J164+J186+J208+J230+J238+J246+J254</f>
        <v>2559277.7507488127</v>
      </c>
      <c r="K281" s="418">
        <f>K9+K31+K53+K75+K97+K120+K142+K164+K186+K208+K230+K238+K246+K254</f>
        <v>2865823.5004929071</v>
      </c>
      <c r="L281" s="418">
        <f>L9+L31+L53+L75+L97+L120+L142+L164+L186+L208+L230+L238+L246+L254</f>
        <v>3719933.227016143</v>
      </c>
      <c r="M281" s="418">
        <f>M9+M31+M53+M75+M97+M120+M142+M164+M186+M208+M230+M238+M246+M254</f>
        <v>2728107.3787002992</v>
      </c>
      <c r="N281" s="418">
        <f>N9+N31+N53+N75+N97+N120+N142+N164+N186+N208+N230+N238+N246+N254</f>
        <v>2366752.1586374156</v>
      </c>
      <c r="O281" s="418">
        <f>O9+O31+O53+O75+O97+O120+O142+O164+O186+O208+O230+O238+O246+O254</f>
        <v>2873236.7558764806</v>
      </c>
      <c r="P281" s="410">
        <f>SUM(D281:O281)</f>
        <v>34637116.8818864</v>
      </c>
      <c r="AA281" s="418">
        <f>AA9+AA31+AA53+AA75+AA97+AA120+AA142+AA164+AA186+AA208+AA230+AA238+AA246+AA254</f>
        <v>3879677</v>
      </c>
      <c r="AB281" s="418">
        <f>AB9+AB31+AB53+AB75+AB97+AB120+AB142+AB164+AB186+AB208+AB230+AB238+AB246+AB254</f>
        <v>2842566</v>
      </c>
      <c r="AC281" s="418">
        <f>AC9+AC31+AC53+AC75+AC97+AC120+AC142+AC164+AC186+AC208+AC230+AC238+AC246+AC254</f>
        <v>2734409</v>
      </c>
      <c r="AD281" s="418">
        <f>AD9+AD31+AD53+AD75+AD97+AD120+AD142+AD164+AD186+AD208+AD230+AD238+AD246+AD254</f>
        <v>2560078</v>
      </c>
      <c r="AE281" s="418">
        <f>AE9+AE31+AE53+AE75+AE97+AE120+AE142+AE164+AE186+AE208+AE230+AE238+AE246+AE254</f>
        <v>3533663</v>
      </c>
      <c r="AF281" s="418">
        <f>AF9+AF31+AF53+AF75+AF97+AF120+AF142+AF164+AF186+AF208+AF230+AF238+AF246+AF254</f>
        <v>2849814</v>
      </c>
      <c r="AG281" s="418">
        <f>AG9+AG31+AG53+AG75+AG97+AG120+AG142+AG164+AG186+AG208+AG230+AG238+AG246+AG254</f>
        <v>2687244</v>
      </c>
      <c r="AH281" s="418">
        <f>AH9+AH31+AH53+AH75+AH97+AH120+AH142+AH164+AH186+AH208+AH230+AH238+AH246+AH254</f>
        <v>3009119</v>
      </c>
      <c r="AI281" s="418">
        <f>AI9+AI31+AI53+AI75+AI97+AI120+AI142+AI164+AI186+AI208+AI230+AI238+AI246+AI254</f>
        <v>3905933</v>
      </c>
      <c r="AJ281" s="418">
        <f>AJ9+AJ31+AJ53+AJ75+AJ97+AJ120+AJ142+AJ164+AJ186+AJ208+AJ230+AJ238+AJ246+AJ254</f>
        <v>2864516</v>
      </c>
      <c r="AK281" s="418">
        <f>AK9+AK31+AK53+AK75+AK97+AK120+AK142+AK164+AK186+AK208+AK230+AK238+AK246+AK254</f>
        <v>2485093</v>
      </c>
      <c r="AL281" s="418">
        <f>AL9+AL31+AL53+AL75+AL97+AL120+AL142+AL164+AL186+AL208+AL230+AL238+AL246+AL254</f>
        <v>3016903</v>
      </c>
      <c r="AM281" s="410">
        <f>SUM(AA281:AL281)</f>
        <v>36369015</v>
      </c>
    </row>
    <row r="282" spans="1:43">
      <c r="D282" s="417">
        <f>D14+D42+D64+D78+D108+D123+D145+D169+D189+D215+D231+D239+D247+D255</f>
        <v>1579.7250000000001</v>
      </c>
      <c r="E282" s="417">
        <f>E14+E42+E64+E78+E108+E123+E145+E169+E189+E215+E231+E239+E247+E255</f>
        <v>1583.5500000000002</v>
      </c>
      <c r="F282" s="417">
        <f>F14+F42+F64+F78+F108+F123+F145+F169+F189+F215+F231+F239+F247+F255</f>
        <v>1721.2500000000002</v>
      </c>
      <c r="G282" s="417">
        <f>G14+G42+G64+G78+G108+G123+G145+G169+G189+G215+G231+G239+G247+G255</f>
        <v>1637.1</v>
      </c>
      <c r="H282" s="417">
        <f>H14+H42+H64+H78+H108+H123+H145+H169+H189+H215+H231+H239+H247+H255</f>
        <v>1537.6499999999999</v>
      </c>
      <c r="I282" s="417">
        <f>I14+I42+I64+I78+I108+I123+I145+I169+I189+I215+I231+I239+I247+I255</f>
        <v>1683</v>
      </c>
      <c r="J282" s="417">
        <f>J14+J42+J64+J78+J108+J123+J145+J169+J189+J215+J231+J239+J247+J255</f>
        <v>1644.7500000000002</v>
      </c>
      <c r="K282" s="417">
        <f>K14+K42+K64+K78+K108+K123+K145+K169+K189+K215+K231+K239+K247+K255</f>
        <v>1790.1000000000001</v>
      </c>
      <c r="L282" s="417">
        <f>L14+L42+L64+L78+L108+L123+L145+L169+L189+L215+L231+L239+L247+L255</f>
        <v>1767.1499999999999</v>
      </c>
      <c r="M282" s="417">
        <f>M14+M42+M64+M78+M108+M123+M145+M169+M189+M215+M231+M239+M247+M255</f>
        <v>1721.25</v>
      </c>
      <c r="N282" s="417">
        <f>N14+N42+N64+N78+N108+N123+N145+N169+N189+N215+N231+N239+N247+N255</f>
        <v>1560.6000000000001</v>
      </c>
      <c r="O282" s="417">
        <f>O14+O42+O64+O78+O108+O123+O145+O169+O189+O215+O231+O239+O247+O255</f>
        <v>1973.7</v>
      </c>
      <c r="P282" s="412">
        <f>SUM(D282:O282)</f>
        <v>20199.825000000001</v>
      </c>
      <c r="AA282" s="417">
        <f>AA14+AA42+AA64+AA78+AA108+AA123+AA145+AA167+AA189+AA215+AA231+AA239+AA247+AA255</f>
        <v>1275.36872167608</v>
      </c>
      <c r="AB282" s="417">
        <f>AB14+AB42+AB64+AB78+AB108+AB123+AB145+AB167+AB189+AB215+AB231+AB239+AB247+AB255</f>
        <v>1223.7182750038401</v>
      </c>
      <c r="AC282" s="417">
        <f>AC14+AC42+AC64+AC78+AC108+AC123+AC145+AC167+AC189+AC215+AC231+AC239+AC247+AC255</f>
        <v>1342.9116134782398</v>
      </c>
      <c r="AD282" s="417">
        <f>AD14+AD42+AD64+AD78+AD108+AD123+AD145+AD167+AD189+AD215+AD231+AD239+AD247+AD255</f>
        <v>1319.07294578336</v>
      </c>
      <c r="AE282" s="417">
        <f>AE14+AE42+AE64+AE78+AE108+AE123+AE145+AE167+AE189+AE215+AE231+AE239+AE247+AE255</f>
        <v>1231.6644975688</v>
      </c>
      <c r="AF282" s="417">
        <f>AF14+AF42+AF64+AF78+AF108+AF123+AF145+AF167+AF189+AF215+AF231+AF239+AF247+AF255</f>
        <v>1295.2342780884801</v>
      </c>
      <c r="AG282" s="417">
        <f>AG14+AG42+AG64+AG78+AG108+AG123+AG145+AG167+AG189+AG215+AG231+AG239+AG247+AG255</f>
        <v>1247.5569426987199</v>
      </c>
      <c r="AH282" s="417">
        <f>AH14+AH42+AH64+AH78+AH108+AH123+AH145+AH167+AH189+AH215+AH231+AH239+AH247+AH255</f>
        <v>1295.2342780884801</v>
      </c>
      <c r="AI282" s="417">
        <f>AI14+AI42+AI64+AI78+AI108+AI123+AI145+AI167+AI189+AI215+AI231+AI239+AI247+AI255</f>
        <v>1287.2880555235201</v>
      </c>
      <c r="AJ282" s="417">
        <f>AJ14+AJ42+AJ64+AJ78+AJ108+AJ123+AJ145+AJ167+AJ189+AJ215+AJ231+AJ239+AJ247+AJ255</f>
        <v>1199.87960730896</v>
      </c>
      <c r="AK282" s="417">
        <f>AK14+AK42+AK64+AK78+AK108+AK123+AK145+AK167+AK189+AK215+AK231+AK239+AK247+AK255</f>
        <v>1160.14849448416</v>
      </c>
      <c r="AL282" s="417">
        <f>AL14+AL42+AL64+AL78+AL108+AL123+AL145+AL167+AL189+AL215+AL231+AL239+AL247+AL255</f>
        <v>1470.0511745176</v>
      </c>
      <c r="AM282" s="412">
        <f>SUM(AA282:AL282)</f>
        <v>15348.128884220241</v>
      </c>
    </row>
    <row r="283" spans="1:43">
      <c r="D283" s="417">
        <f>D15+D43+D65+D79+D109+D124+D146+D170+D190+D216+D232+D240+D248+D256</f>
        <v>26626731.525000002</v>
      </c>
      <c r="E283" s="417">
        <f>E15+E43+E65+E79+E109+E124+E146+E170+E190+E216+E232+E240+E248+E256</f>
        <v>18664703.324999999</v>
      </c>
      <c r="F283" s="417">
        <f>F15+F43+F65+F79+F109+F124+F146+F170+F190+F216+F232+F240+F248+F256</f>
        <v>17921062.125</v>
      </c>
      <c r="G283" s="417">
        <f>G15+G43+G65+G79+G109+G124+G146+G170+G190+G216+G232+G240+G248+G256</f>
        <v>17392091.400000002</v>
      </c>
      <c r="H283" s="417">
        <f>H15+H43+H65+H79+H109+H124+H146+H170+H190+H216+H232+H240+H248+H256</f>
        <v>24186794.268489718</v>
      </c>
      <c r="I283" s="417">
        <f>I15+I43+I65+I79+I109+I124+I146+I170+I190+I216+I232+I240+I248+I256</f>
        <v>19120147.203232244</v>
      </c>
      <c r="J283" s="417">
        <f>J15+J43+J65+J79+J109+J124+J146+J170+J190+J216+J232+J240+J248+J256</f>
        <v>17872612.533512507</v>
      </c>
      <c r="K283" s="417">
        <f>K15+K43+K65+K79+K109+K124+K146+K170+K190+K216+K232+K240+K248+K256</f>
        <v>20500998.593056459</v>
      </c>
      <c r="L283" s="417">
        <f>L15+L43+L65+L79+L109+L124+L146+L170+L190+L216+L232+L240+L248+L256</f>
        <v>26529051.082475737</v>
      </c>
      <c r="M283" s="417">
        <f>M15+M43+M65+M79+M109+M124+M146+M170+M190+M216+M232+M240+M248+M256</f>
        <v>19315471.534557287</v>
      </c>
      <c r="N283" s="417">
        <f>N15+N43+N65+N79+N109+N124+N146+N170+N190+N216+N232+N240+N248+N256</f>
        <v>16246695.276928499</v>
      </c>
      <c r="O283" s="417">
        <f>O15+O43+O65+O79+O109+O124+O146+O170+O190+O216+O232+O240+O248+O256</f>
        <v>20544168.586026505</v>
      </c>
      <c r="P283" s="412">
        <f>SUM(D283:O283)</f>
        <v>244920527.45327896</v>
      </c>
      <c r="AA283" s="417">
        <f>AA15+AA43+AA65+AA79+AA109+AA124+AA146+AA168+AA190+AA216+AA232+AA240+AA248+AA256</f>
        <v>26425087.650660113</v>
      </c>
      <c r="AB283" s="417">
        <f>AB15+AB43+AB65+AB79+AB109+AB124+AB146+AB168+AB190+AB216+AB232+AB240+AB248+AB256</f>
        <v>17085308.222704101</v>
      </c>
      <c r="AC283" s="417">
        <f>AC15+AC43+AC65+AC79+AC109+AC124+AC146+AC168+AC190+AC216+AC232+AC240+AC248+AC256</f>
        <v>15931409.432267282</v>
      </c>
      <c r="AD283" s="417">
        <f>AD15+AD43+AD65+AD79+AD109+AD124+AD146+AD168+AD190+AD216+AD232+AD240+AD248+AD256</f>
        <v>15833615.271160319</v>
      </c>
      <c r="AE283" s="417">
        <f>AE15+AE43+AE65+AE79+AE109+AE124+AE146+AE168+AE190+AE216+AE232+AE240+AE248+AE256</f>
        <v>23763957.310324248</v>
      </c>
      <c r="AF283" s="417">
        <f>AF15+AF43+AF65+AF79+AF109+AF124+AF146+AF168+AF190+AF216+AF232+AF240+AF248+AF256</f>
        <v>17335137.460146442</v>
      </c>
      <c r="AG283" s="417">
        <f>AG15+AG43+AG65+AG79+AG109+AG124+AG146+AG168+AG190+AG216+AG232+AG240+AG248+AG256</f>
        <v>15749480.666642521</v>
      </c>
      <c r="AH283" s="417">
        <f>AH15+AH43+AH65+AH79+AH109+AH124+AH146+AH168+AH190+AH216+AH232+AH240+AH248+AH256</f>
        <v>17852353.113788407</v>
      </c>
      <c r="AI283" s="417">
        <f>AI15+AI43+AI65+AI79+AI109+AI124+AI146+AI168+AI190+AI216+AI232+AI240+AI248+AI256</f>
        <v>25010767.308101859</v>
      </c>
      <c r="AJ283" s="417">
        <f>AJ15+AJ43+AJ65+AJ79+AJ109+AJ124+AJ146+AJ168+AJ190+AJ216+AJ232+AJ240+AJ248+AJ256</f>
        <v>16498813.427629534</v>
      </c>
      <c r="AK283" s="417">
        <f>AK15+AK43+AK65+AK79+AK109+AK124+AK146+AK168+AK190+AK216+AK232+AK240+AK248+AK256</f>
        <v>13976165.881044505</v>
      </c>
      <c r="AL283" s="417">
        <f>AL15+AL43+AL65+AL79+AL109+AL124+AL146+AL168+AL190+AL216+AL232+AL240+AL248+AL256</f>
        <v>17780129.896895487</v>
      </c>
      <c r="AM283" s="412">
        <f>SUM(AA283:AL283)</f>
        <v>223242225.64136481</v>
      </c>
    </row>
    <row r="284" spans="1:43">
      <c r="D284" s="416">
        <f>D26+D48+D70+D92+D114+D137+D159+D181+D203+D225+D241+D249+D257</f>
        <v>14508240261.75</v>
      </c>
      <c r="E284" s="416">
        <f>E26+E48+E70+E92+E114+E137+E159+E181+E203+E225+E241+E249+E257</f>
        <v>17014902106.5</v>
      </c>
      <c r="F284" s="416">
        <f>F26+F48+F70+F92+F114+F137+F159+F181+F203+F225+F241+F249+F257</f>
        <v>17687071728</v>
      </c>
      <c r="G284" s="416">
        <f>G26+G48+G70+G92+G114+G137+G159+G181+G203+G225+G241+G249+G257</f>
        <v>14030111781</v>
      </c>
      <c r="H284" s="416">
        <f>H26+H48+H70+H92+H114+H137+H159+H181+H203+H225+H241+H249+H257</f>
        <v>11140564720.500002</v>
      </c>
      <c r="I284" s="416">
        <f>I26+I48+I70+I92+I114+I137+I159+I181+I203+I225+I241+I249+I257</f>
        <v>15578234631.000002</v>
      </c>
      <c r="J284" s="416">
        <f>J26+J48+J70+J92+J114+J137+J159+J181+J203+J225+J241+J249+J257</f>
        <v>15837263019</v>
      </c>
      <c r="K284" s="416">
        <f>K26+K48+K70+K92+K114+K137+K159+K181+K203+K225+K241+K249+K257</f>
        <v>18225625072.5</v>
      </c>
      <c r="L284" s="416">
        <f>L26+L48+L70+L92+L114+L137+L159+L181+L203+L225+L241+L249+L257</f>
        <v>16215246994.5</v>
      </c>
      <c r="M284" s="416">
        <f>M26+M48+M70+M92+M114+M137+M159+M181+M203+M225+M241+M249+M257</f>
        <v>16523214574.500002</v>
      </c>
      <c r="N284" s="416">
        <f>N26+N48+N70+N92+N114+N137+N159+N181+N203+N225+N241+N249+N257</f>
        <v>15574063621.5</v>
      </c>
      <c r="O284" s="416">
        <f>O26+O48+O70+O92+O114+O137+O159+O181+O203+O225+O241+O249+O257</f>
        <v>20174094148.500004</v>
      </c>
      <c r="P284" s="415">
        <f>SUM(D284:O284)</f>
        <v>192508632659.25</v>
      </c>
      <c r="AA284" s="416">
        <f>AA26+AA48+AA70+AA92+AA114+AA137+AA159+AA181+AA203+AA225+AA241+AA249+AA257</f>
        <v>14830910648.055944</v>
      </c>
      <c r="AB284" s="416">
        <f>AB26+AB48+AB70+AB92+AB114+AB137+AB159+AB181+AB203+AB225+AB241+AB249+AB257</f>
        <v>17398247949.001869</v>
      </c>
      <c r="AC284" s="416">
        <f>AC26+AC48+AC70+AC92+AC114+AC137+AC159+AC181+AC203+AC225+AC241+AC249+AC257</f>
        <v>18080850716.755116</v>
      </c>
      <c r="AD284" s="416">
        <f>AD26+AD48+AD70+AD92+AD114+AD137+AD159+AD181+AD203+AD225+AD241+AD249+AD257</f>
        <v>14334268122.214678</v>
      </c>
      <c r="AE284" s="416">
        <f>AE26+AE48+AE70+AE92+AE114+AE137+AE159+AE181+AE203+AE225+AE241+AE249+AE257</f>
        <v>11332832298.076254</v>
      </c>
      <c r="AF284" s="416">
        <f>AF26+AF48+AF70+AF92+AF114+AF137+AF159+AF181+AF203+AF225+AF241+AF249+AF257</f>
        <v>15885157251.894548</v>
      </c>
      <c r="AG284" s="416">
        <f>AG26+AG48+AG70+AG92+AG114+AG137+AG159+AG181+AG203+AG225+AG241+AG249+AG257</f>
        <v>16149017531.830967</v>
      </c>
      <c r="AH284" s="416">
        <f>AH26+AH48+AH70+AH92+AH114+AH137+AH159+AH181+AH203+AH225+AH241+AH249+AH257</f>
        <v>18572681526.715508</v>
      </c>
      <c r="AI284" s="416">
        <f>AI26+AI48+AI70+AI92+AI114+AI137+AI159+AI181+AI203+AI225+AI241+AI249+AI257</f>
        <v>16484457781.943676</v>
      </c>
      <c r="AJ284" s="416">
        <f>AJ26+AJ48+AJ70+AJ92+AJ114+AJ137+AJ159+AJ181+AJ203+AJ225+AJ241+AJ249+AJ257</f>
        <v>16778359550.909184</v>
      </c>
      <c r="AK284" s="416">
        <f>AK26+AK48+AK70+AK92+AK114+AK137+AK159+AK181+AK203+AK225+AK241+AK249+AK257</f>
        <v>15875626552.550133</v>
      </c>
      <c r="AL284" s="416">
        <f>AL26+AL48+AL70+AL92+AL114+AL137+AL159+AL181+AL203+AL225+AL241+AL249+AL257</f>
        <v>20586202674.229702</v>
      </c>
      <c r="AM284" s="415">
        <f>SUM(AA284:AL284)</f>
        <v>196308612604.17755</v>
      </c>
    </row>
    <row r="285" spans="1:43">
      <c r="D285" s="416">
        <f>D27+D49+D71+D93+D115+D138+D160+D182+D204+D226+D242+D250+D258</f>
        <v>765358363.40850008</v>
      </c>
      <c r="E285" s="416">
        <f>E27+E49+E71+E93+E115+E138+E160+E182+E204+E226+E242+E250+E258</f>
        <v>831773496.92849994</v>
      </c>
      <c r="F285" s="416">
        <f>F27+F49+F71+F93+F115+F138+F160+F182+F204+F226+F242+F250+F258</f>
        <v>810577317.26249993</v>
      </c>
      <c r="G285" s="416">
        <f>G27+G49+G71+G93+G115+G138+G160+G182+G204+G226+G242+G250+G258</f>
        <v>626500937.91599989</v>
      </c>
      <c r="H285" s="416">
        <f>H27+H49+H71+H93+H115+H138+H160+H182+H204+H226+H242+H250+H258</f>
        <v>550725155.36321926</v>
      </c>
      <c r="I285" s="416">
        <f>I27+I49+I71+I93+I115+I138+I160+I182+I204+I226+I242+I250+I258</f>
        <v>737327683.37284052</v>
      </c>
      <c r="J285" s="416">
        <f>J27+J49+J71+J93+J115+J138+J160+J182+J204+J226+J242+J250+J258</f>
        <v>714362905.31407332</v>
      </c>
      <c r="K285" s="416">
        <f>K27+K49+K71+K93+K115+K138+K160+K182+K204+K226+K242+K250+K258</f>
        <v>847334341.0554893</v>
      </c>
      <c r="L285" s="416">
        <f>L27+L49+L71+L93+L115+L138+L160+L182+L204+L226+L242+L250+L258</f>
        <v>835645942.04871047</v>
      </c>
      <c r="M285" s="416">
        <f>M27+M49+M71+M93+M115+M138+M160+M182+M204+M226+M242+M250+M258</f>
        <v>791457338.72307086</v>
      </c>
      <c r="N285" s="416">
        <f>N27+N49+N71+N93+N115+N138+N160+N182+N204+N226+N242+N250+N258</f>
        <v>708295251.64090836</v>
      </c>
      <c r="O285" s="416">
        <f>O27+O49+O71+O93+O115+O138+O160+O182+O204+O226+O242+O250+O258</f>
        <v>933297115.78636062</v>
      </c>
      <c r="P285" s="415">
        <f>SUM(D285:O285)</f>
        <v>9152655848.8201733</v>
      </c>
      <c r="AA285" s="416">
        <f>AA27+AA49+AA71+AA93+AA115+AA138+AA160+AA182+AA204+AA226+AA242+AA250+AA258</f>
        <v>833698710.79555452</v>
      </c>
      <c r="AB285" s="416">
        <f>AB27+AB49+AB71+AB93+AB115+AB138+AB160+AB182+AB204+AB226+AB242+AB250+AB258</f>
        <v>905873115.55304146</v>
      </c>
      <c r="AC285" s="416">
        <f>AC27+AC49+AC71+AC93+AC115+AC138+AC160+AC182+AC204+AC226+AC242+AC250+AC258</f>
        <v>882618661.53112423</v>
      </c>
      <c r="AD285" s="416">
        <f>AD27+AD49+AD71+AD93+AD115+AD138+AD160+AD182+AD204+AD226+AD242+AD250+AD258</f>
        <v>682311619.98609686</v>
      </c>
      <c r="AE285" s="416">
        <f>AE27+AE49+AE71+AE93+AE115+AE138+AE160+AE182+AE204+AE226+AE242+AE250+AE258</f>
        <v>599607535.6953398</v>
      </c>
      <c r="AF285" s="416">
        <f>AF27+AF49+AF71+AF93+AF115+AF138+AF160+AF182+AF204+AF226+AF242+AF250+AF258</f>
        <v>802766643.07175612</v>
      </c>
      <c r="AG285" s="416">
        <f>AG27+AG49+AG71+AG93+AG115+AG138+AG160+AG182+AG204+AG226+AG242+AG250+AG258</f>
        <v>777629063.98429573</v>
      </c>
      <c r="AH285" s="416">
        <f>AH27+AH49+AH71+AH93+AH115+AH138+AH160+AH182+AH204+AH226+AH242+AH250+AH258</f>
        <v>922616020.64811039</v>
      </c>
      <c r="AI285" s="416">
        <f>AI27+AI49+AI71+AI93+AI115+AI138+AI160+AI182+AI204+AI226+AI242+AI250+AI258</f>
        <v>909835947.91986048</v>
      </c>
      <c r="AJ285" s="416">
        <f>AJ27+AJ49+AJ71+AJ93+AJ115+AJ138+AJ160+AJ182+AJ204+AJ226+AJ242+AJ250+AJ258</f>
        <v>861383625.54848683</v>
      </c>
      <c r="AK285" s="416">
        <f>AK27+AK49+AK71+AK93+AK115+AK138+AK160+AK182+AK204+AK226+AK242+AK250+AK258</f>
        <v>771011349.94817948</v>
      </c>
      <c r="AL285" s="416">
        <f>AL27+AL49+AL71+AL93+AL115+AL138+AL160+AL182+AL204+AL226+AL242+AL250+AL258</f>
        <v>1016324386.5207194</v>
      </c>
      <c r="AM285" s="415">
        <f>SUM(AA285:AL285)</f>
        <v>9965676681.2025661</v>
      </c>
    </row>
    <row r="286" spans="1:43">
      <c r="D286" s="414">
        <f>D284+D285</f>
        <v>15273598625.158501</v>
      </c>
      <c r="E286" s="414">
        <f>E284+E285</f>
        <v>17846675603.428501</v>
      </c>
      <c r="F286" s="414">
        <f>F284+F285</f>
        <v>18497649045.262501</v>
      </c>
      <c r="G286" s="414">
        <f>G284+G285</f>
        <v>14656612718.916</v>
      </c>
      <c r="H286" s="414">
        <f>H284+H285</f>
        <v>11691289875.86322</v>
      </c>
      <c r="I286" s="414">
        <f>I284+I285</f>
        <v>16315562314.372843</v>
      </c>
      <c r="J286" s="414">
        <f>J284+J285</f>
        <v>16551625924.314074</v>
      </c>
      <c r="K286" s="414">
        <f>K284+K285</f>
        <v>19072959413.555489</v>
      </c>
      <c r="L286" s="414">
        <f>L284+L285</f>
        <v>17050892936.54871</v>
      </c>
      <c r="M286" s="414">
        <f>M284+M285</f>
        <v>17314671913.223072</v>
      </c>
      <c r="N286" s="414">
        <f>N284+N285</f>
        <v>16282358873.140909</v>
      </c>
      <c r="O286" s="414">
        <f>O284+O285</f>
        <v>21107391264.286366</v>
      </c>
      <c r="P286" s="413">
        <f>SUM(D286:O286)</f>
        <v>201661288508.07019</v>
      </c>
      <c r="AA286" s="414">
        <f>AA284+AA285</f>
        <v>15664609358.8515</v>
      </c>
      <c r="AB286" s="414">
        <f>AB284+AB285</f>
        <v>18304121064.554909</v>
      </c>
      <c r="AC286" s="414">
        <f>AC284+AC285</f>
        <v>18963469378.28624</v>
      </c>
      <c r="AD286" s="414">
        <f>AD284+AD285</f>
        <v>15016579742.200775</v>
      </c>
      <c r="AE286" s="414">
        <f>AE284+AE285</f>
        <v>11932439833.771593</v>
      </c>
      <c r="AF286" s="414">
        <f>AF284+AF285</f>
        <v>16687923894.966305</v>
      </c>
      <c r="AG286" s="414">
        <f>AG284+AG285</f>
        <v>16926646595.815262</v>
      </c>
      <c r="AH286" s="414">
        <f>AH284+AH285</f>
        <v>19495297547.363617</v>
      </c>
      <c r="AI286" s="414">
        <f>AI284+AI285</f>
        <v>17394293729.863537</v>
      </c>
      <c r="AJ286" s="414">
        <f>AJ284+AJ285</f>
        <v>17639743176.457672</v>
      </c>
      <c r="AK286" s="414">
        <f>AK284+AK285</f>
        <v>16646637902.498312</v>
      </c>
      <c r="AL286" s="414">
        <f>AL284+AL285</f>
        <v>21602527060.75042</v>
      </c>
      <c r="AM286" s="413">
        <f>SUM(AA286:AL286)</f>
        <v>206274289285.38016</v>
      </c>
    </row>
    <row r="290" spans="2:39">
      <c r="Y290" t="s">
        <v>135</v>
      </c>
      <c r="AA290" s="39">
        <f>AA14+AA42+AA64+AA78+AA108</f>
        <v>206.60178668896</v>
      </c>
      <c r="AB290" s="39">
        <f>AB14+AB42+AB64+AB78+AB108</f>
        <v>246.33289951376</v>
      </c>
      <c r="AC290" s="39">
        <f>AC14+AC42+AC64+AC78+AC108</f>
        <v>262.22534464367999</v>
      </c>
      <c r="AD290" s="39">
        <f>AD14+AD42+AD64+AD78+AD108</f>
        <v>182.76311899408</v>
      </c>
      <c r="AE290" s="39">
        <f>AE14+AE42+AE64+AE78+AE108</f>
        <v>127.13956103936</v>
      </c>
      <c r="AF290" s="39">
        <f>AF14+AF42+AF64+AF78+AF108</f>
        <v>230.44045438384001</v>
      </c>
      <c r="AG290" s="39">
        <f>AG14+AG42+AG64+AG78+AG108</f>
        <v>230.44045438384001</v>
      </c>
      <c r="AH290" s="39">
        <f>AH14+AH42+AH64+AH78+AH108</f>
        <v>262.22534464367999</v>
      </c>
      <c r="AI290" s="39">
        <f>AI14+AI42+AI64+AI78+AI108</f>
        <v>230.44045438384001</v>
      </c>
      <c r="AJ290" s="39">
        <f>AJ14+AJ42+AJ64+AJ78+AJ108</f>
        <v>254.27912207872001</v>
      </c>
      <c r="AK290" s="39">
        <f>AK14+AK42+AK64+AK78+AK108</f>
        <v>214.54800925392001</v>
      </c>
      <c r="AL290" s="39">
        <f>AL14+AL42+AL64+AL78+AL108</f>
        <v>309.90268003344005</v>
      </c>
      <c r="AM290" s="410">
        <f>SUM(AA290:AL290)</f>
        <v>2757.3392300411201</v>
      </c>
    </row>
    <row r="291" spans="2:39">
      <c r="B291" t="s">
        <v>135</v>
      </c>
      <c r="D291" s="39">
        <f>D14+D42+D78+D108</f>
        <v>84.15</v>
      </c>
      <c r="E291" s="39">
        <f>E14+E42+E78+E108</f>
        <v>145.35</v>
      </c>
      <c r="F291" s="39">
        <f>F14+F42+F78+F108</f>
        <v>99.45</v>
      </c>
      <c r="G291" s="39">
        <f>G14+G42+G78+G108</f>
        <v>91.800000000000011</v>
      </c>
      <c r="H291" s="39">
        <f>H14+H42+H78+H108</f>
        <v>45.900000000000006</v>
      </c>
      <c r="I291" s="39">
        <f>I14+I42+I78+I108</f>
        <v>122.4</v>
      </c>
      <c r="J291" s="39">
        <f>J14+J42+J78+J108</f>
        <v>107.10000000000001</v>
      </c>
      <c r="K291" s="39">
        <f>K14+K42+K78+K108</f>
        <v>145.35000000000002</v>
      </c>
      <c r="L291" s="39">
        <f>L14+L42+L78+L108</f>
        <v>114.75</v>
      </c>
      <c r="M291" s="39">
        <f>M14+M42+M78+M108</f>
        <v>122.4</v>
      </c>
      <c r="N291" s="39">
        <f>N14+N42+N78+N108</f>
        <v>114.75</v>
      </c>
      <c r="O291" s="39">
        <f>O14+O42+O78+O108</f>
        <v>191.25000000000003</v>
      </c>
      <c r="P291" s="410">
        <f>SUM(D291:O291)</f>
        <v>1384.65</v>
      </c>
      <c r="R291" s="31">
        <f>P271+'[1]PANDU PELSUS'!O108</f>
        <v>0</v>
      </c>
      <c r="AA291" s="39">
        <f>AA15+AA43+AA65+AA79+AA109</f>
        <v>5394030.9628784526</v>
      </c>
      <c r="AB291" s="39">
        <f>AB15+AB43+AB65+AB79+AB109</f>
        <v>5839512.0923152398</v>
      </c>
      <c r="AC291" s="39">
        <f>AC15+AC43+AC65+AC79+AC109</f>
        <v>6010395.6085747052</v>
      </c>
      <c r="AD291" s="39">
        <f>AD15+AD43+AD65+AD79+AD109</f>
        <v>5147904.6651513809</v>
      </c>
      <c r="AE291" s="39">
        <f>AE15+AE43+AE65+AE79+AE109</f>
        <v>3305167.7061145925</v>
      </c>
      <c r="AF291" s="39">
        <f>AF15+AF43+AF65+AF79+AF109</f>
        <v>5609023.9605960101</v>
      </c>
      <c r="AG291" s="39">
        <f>AG15+AG43+AG65+AG79+AG109</f>
        <v>5289554.0285943579</v>
      </c>
      <c r="AH291" s="39">
        <f>AH15+AH43+AH65+AH79+AH109</f>
        <v>7255799.1249583205</v>
      </c>
      <c r="AI291" s="39">
        <f>AI15+AI43+AI65+AI79+AI109</f>
        <v>6066980.6594597846</v>
      </c>
      <c r="AJ291" s="39">
        <f>AJ15+AJ43+AJ65+AJ79+AJ109</f>
        <v>6325701.719952317</v>
      </c>
      <c r="AK291" s="39">
        <f>AK15+AK43+AK65+AK79+AK109</f>
        <v>4930623.1553351153</v>
      </c>
      <c r="AL291" s="39">
        <f>AL15+AL43+AL65+AL79+AL109</f>
        <v>8431101.0658738595</v>
      </c>
      <c r="AM291" s="410">
        <f>SUM(AA291:AL291)</f>
        <v>69605794.749804124</v>
      </c>
    </row>
    <row r="292" spans="2:39">
      <c r="D292" s="39">
        <f>D15+D43+D79+D109</f>
        <v>2200117.0500000003</v>
      </c>
      <c r="E292" s="39">
        <f>E15+E43+E79+E109</f>
        <v>2725679.7</v>
      </c>
      <c r="F292" s="39">
        <f>F15+F43+F79+F109</f>
        <v>2192490</v>
      </c>
      <c r="G292" s="39">
        <f>G15+G43+G79+G109</f>
        <v>2243255.4</v>
      </c>
      <c r="H292" s="39">
        <f>H15+H43+H79+H109</f>
        <v>1200063.8454545455</v>
      </c>
      <c r="I292" s="39">
        <f>I15+I43+I79+I109</f>
        <v>2295309.2210526317</v>
      </c>
      <c r="J292" s="39">
        <f>J15+J43+J79+J109</f>
        <v>2361143.0769230775</v>
      </c>
      <c r="K292" s="39">
        <f>K15+K43+K79+K109</f>
        <v>3500463.354545455</v>
      </c>
      <c r="L292" s="39">
        <f>L15+L43+L79+L109</f>
        <v>3000159.6136363638</v>
      </c>
      <c r="M292" s="39">
        <f>M15+M43+M79+M109</f>
        <v>2295309.2210526317</v>
      </c>
      <c r="N292" s="39">
        <f>N15+N43+N79+N109</f>
        <v>2529796.153846154</v>
      </c>
      <c r="O292" s="39">
        <f>O15+O43+O79+O109</f>
        <v>4578070.1727272728</v>
      </c>
      <c r="P292" s="410">
        <f>SUM(D292:O292)</f>
        <v>31121856.809238128</v>
      </c>
      <c r="Y292" t="s">
        <v>125</v>
      </c>
      <c r="AA292" s="39">
        <f>AA123+AA145+AA167+AA189+AA215+AA231+AA239+AA247+AA255</f>
        <v>1068.7669349871201</v>
      </c>
      <c r="AB292" s="39">
        <f>AB123+AB145+AB167+AB189+AB215+AB231+AB239+AB247+AB255</f>
        <v>977.38537549008004</v>
      </c>
      <c r="AC292" s="39">
        <f>AC123+AC145+AC167+AC189+AC215+AC231+AC239+AC247+AC255</f>
        <v>1080.68626883456</v>
      </c>
      <c r="AD292" s="39">
        <f>AD123+AD145+AD167+AD189+AD215+AD231+AD239+AD247+AD255</f>
        <v>1136.3098267892801</v>
      </c>
      <c r="AE292" s="39">
        <f>AE123+AE145+AE167+AE189+AE215+AE231+AE239+AE247+AE255</f>
        <v>1104.5249365294401</v>
      </c>
      <c r="AF292" s="39">
        <f>AF123+AF145+AF167+AF189+AF215+AF231+AF239+AF247+AF255</f>
        <v>1064.7938237046401</v>
      </c>
      <c r="AG292" s="39">
        <f>AG123+AG145+AG167+AG189+AG215+AG231+AG239+AG247+AG255</f>
        <v>1017.1164883148801</v>
      </c>
      <c r="AH292" s="39">
        <f>AH123+AH145+AH167+AH189+AH215+AH231+AH239+AH247+AH255</f>
        <v>1033.0089334448</v>
      </c>
      <c r="AI292" s="39">
        <f>AI123+AI145+AI167+AI189+AI215+AI231+AI239+AI247+AI255</f>
        <v>1056.8476011396801</v>
      </c>
      <c r="AJ292" s="39">
        <f>AJ123+AJ145+AJ167+AJ189+AJ215+AJ231+AJ239+AJ247+AJ255</f>
        <v>945.60048523024011</v>
      </c>
      <c r="AK292" s="39">
        <f>AK123+AK145+AK167+AK189+AK215+AK231+AK239+AK247+AK255</f>
        <v>945.60048523024011</v>
      </c>
      <c r="AL292" s="39">
        <f>AL123+AL145+AL167+AL189+AL215+AL231+AL239+AL247+AL255</f>
        <v>1160.14849448416</v>
      </c>
      <c r="AM292" s="412">
        <f>SUM(AA292:AL292)</f>
        <v>12590.789654179118</v>
      </c>
    </row>
    <row r="293" spans="2:39">
      <c r="B293" t="s">
        <v>125</v>
      </c>
      <c r="D293" s="39">
        <f>D123+D145+D189+D215+D231+D239+D247+D255</f>
        <v>1028.9250000000002</v>
      </c>
      <c r="E293" s="39">
        <f>E123+E145+E189+E215+E231+E239+E247+E255</f>
        <v>940.95</v>
      </c>
      <c r="F293" s="39">
        <f>F123+F145+F189+F215+F231+F239+F247+F255</f>
        <v>1040.4000000000001</v>
      </c>
      <c r="G293" s="39">
        <f>G123+G145+G189+G215+G231+G239+G247+G255</f>
        <v>1101.5999999999999</v>
      </c>
      <c r="H293" s="39">
        <f>H123+H145+H189+H215+H231+H239+H247+H255</f>
        <v>1063.3499999999999</v>
      </c>
      <c r="I293" s="39">
        <f>I123+I145+I189+I215+I231+I239+I247+I255</f>
        <v>1025.1000000000001</v>
      </c>
      <c r="J293" s="39">
        <f>J123+J145+J189+J215+J231+J239+J247+J255</f>
        <v>979.2</v>
      </c>
      <c r="K293" s="39">
        <f>K123+K145+K189+K215+K231+K239+K247+K255</f>
        <v>1002.1500000000001</v>
      </c>
      <c r="L293" s="39">
        <f>L123+L145+L189+L215+L231+L239+L247+L255</f>
        <v>1017.45</v>
      </c>
      <c r="M293" s="39">
        <f>M123+M145+M189+M215+M231+M239+M247+M255</f>
        <v>910.35000000000014</v>
      </c>
      <c r="N293" s="39">
        <f>N123+N145+N189+N215+N231+N239+N247+N255</f>
        <v>910.35</v>
      </c>
      <c r="O293" s="39">
        <f>O123+O145+O189+O215+O231+O239+O247+O255</f>
        <v>1124.55</v>
      </c>
      <c r="P293" s="412">
        <f>SUM(D293:O293)</f>
        <v>12144.375000000002</v>
      </c>
      <c r="AA293" s="39">
        <f>AA124+AA146+AA168+AA190+AA216+AA232+AA240+AA248+AA256</f>
        <v>21031056.687781662</v>
      </c>
      <c r="AB293" s="39">
        <f>AB124+AB146+AB168+AB190+AB216+AB232+AB240+AB248+AB256</f>
        <v>11245796.13038886</v>
      </c>
      <c r="AC293" s="39">
        <f>AC124+AC146+AC168+AC190+AC216+AC232+AC240+AC248+AC256</f>
        <v>9921013.823692577</v>
      </c>
      <c r="AD293" s="39">
        <f>AD124+AD146+AD168+AD190+AD216+AD232+AD240+AD248+AD256</f>
        <v>10685710.606008938</v>
      </c>
      <c r="AE293" s="39">
        <f>AE124+AE146+AE168+AE190+AE216+AE232+AE240+AE248+AE256</f>
        <v>20458789.604209654</v>
      </c>
      <c r="AF293" s="39">
        <f>AF124+AF146+AF168+AF190+AF216+AF232+AF240+AF248+AF256</f>
        <v>11726113.499550432</v>
      </c>
      <c r="AG293" s="39">
        <f>AG124+AG146+AG168+AG190+AG216+AG232+AG240+AG248+AG256</f>
        <v>10459926.638048163</v>
      </c>
      <c r="AH293" s="39">
        <f>AH124+AH146+AH168+AH190+AH216+AH232+AH240+AH248+AH256</f>
        <v>10596553.988830086</v>
      </c>
      <c r="AI293" s="39">
        <f>AI124+AI146+AI168+AI190+AI216+AI232+AI240+AI248+AI256</f>
        <v>18943786.648642074</v>
      </c>
      <c r="AJ293" s="39">
        <f>AJ124+AJ146+AJ168+AJ190+AJ216+AJ232+AJ240+AJ248+AJ256</f>
        <v>10173111.707677215</v>
      </c>
      <c r="AK293" s="39">
        <f>AK124+AK146+AK168+AK190+AK216+AK232+AK240+AK248+AK256</f>
        <v>9045542.7257093918</v>
      </c>
      <c r="AL293" s="39">
        <f>AL124+AL146+AL168+AL190+AL216+AL232+AL240+AL248+AL256</f>
        <v>9349028.8310216255</v>
      </c>
      <c r="AM293" s="412">
        <f>SUM(AA293:AL293)</f>
        <v>153636430.89156067</v>
      </c>
    </row>
    <row r="294" spans="2:39">
      <c r="D294" s="39">
        <f>D124+D146+D190+D216+D232+D240+D248+D256</f>
        <v>19282899.824999999</v>
      </c>
      <c r="E294" s="39">
        <f>E124+E146+E190+E216+E232+E240+E248+E256</f>
        <v>10311010.425000001</v>
      </c>
      <c r="F294" s="39">
        <f>F124+F146+F190+F216+F232+F240+F248+F256</f>
        <v>9096351.0749999993</v>
      </c>
      <c r="G294" s="39">
        <f>G124+G146+G190+G216+G232+G240+G248+G256</f>
        <v>10101465.449999999</v>
      </c>
      <c r="H294" s="39">
        <f>H124+H146+H190+H216+H232+H240+H248+H256</f>
        <v>18758198.023035176</v>
      </c>
      <c r="I294" s="39">
        <f>I124+I146+I190+I216+I232+I240+I248+I256</f>
        <v>10751405.288311688</v>
      </c>
      <c r="J294" s="39">
        <f>J124+J146+J190+J216+J232+J240+J248+J256</f>
        <v>9590469.7262322884</v>
      </c>
      <c r="K294" s="39">
        <f>K124+K146+K190+K216+K232+K240+K248+K256</f>
        <v>10019720.57177986</v>
      </c>
      <c r="L294" s="39">
        <f>L124+L146+L190+L216+L232+L240+L248+L256</f>
        <v>17369129.318839371</v>
      </c>
      <c r="M294" s="39">
        <f>M124+M146+M190+M216+M232+M240+M248+M256</f>
        <v>9327491.8644480519</v>
      </c>
      <c r="N294" s="39">
        <f>N124+N146+N190+N216+N232+N240+N248+N256</f>
        <v>8293644.7302252036</v>
      </c>
      <c r="O294" s="39">
        <f>O124+O146+O190+O216+O232+O240+O248+O256</f>
        <v>8875894.931674473</v>
      </c>
      <c r="P294" s="412">
        <f>SUM(D294:O294)</f>
        <v>141777681.22954613</v>
      </c>
      <c r="AA294" s="39"/>
      <c r="AB294" s="39"/>
      <c r="AC294" s="39"/>
      <c r="AD294" s="39"/>
      <c r="AE294" s="39"/>
    </row>
    <row r="295" spans="2:39">
      <c r="D295" s="39"/>
      <c r="E295" s="39"/>
      <c r="F295" s="39"/>
      <c r="G295" s="39"/>
      <c r="H295" s="39"/>
      <c r="AA295" s="39"/>
      <c r="AB295" s="39"/>
      <c r="AC295" s="39"/>
      <c r="AD295" s="39"/>
      <c r="AE295" s="39"/>
    </row>
    <row r="296" spans="2:39">
      <c r="D296" s="39"/>
      <c r="E296" s="39"/>
      <c r="F296" s="39"/>
      <c r="G296" s="39"/>
      <c r="H296" s="39"/>
    </row>
    <row r="298" spans="2:39">
      <c r="D298" s="39"/>
      <c r="E298" s="39"/>
      <c r="F298" s="39"/>
      <c r="G298" s="39"/>
      <c r="H298" s="39"/>
    </row>
    <row r="299" spans="2:39">
      <c r="D299" s="39"/>
      <c r="E299" s="39"/>
      <c r="F299" s="39"/>
      <c r="G299" s="39"/>
      <c r="H299" s="39"/>
    </row>
  </sheetData>
  <mergeCells count="2">
    <mergeCell ref="B5:O5"/>
    <mergeCell ref="Y5:A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Perbln</vt:lpstr>
      <vt:lpstr>TRAFIK baru</vt:lpstr>
      <vt:lpstr>USULAN</vt:lpstr>
      <vt:lpstr>TRAFIK</vt:lpstr>
      <vt:lpstr>PRODUKSI</vt:lpstr>
      <vt:lpstr>RJPP</vt:lpstr>
      <vt:lpstr>PANDU IKPP</vt:lpstr>
      <vt:lpstr>TUNDA IKPP</vt:lpstr>
      <vt:lpstr>TAMBAT-IKPP</vt:lpstr>
      <vt:lpstr>PANDU CWD</vt:lpstr>
      <vt:lpstr>TUNDA CWD</vt:lpstr>
      <vt:lpstr>TAMBAT CWD</vt:lpstr>
      <vt:lpstr>PANDU TUKS</vt:lpstr>
      <vt:lpstr>TUNDA TUKS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 SPJM</dc:creator>
  <cp:lastModifiedBy>JIMMY GREEI GANAP</cp:lastModifiedBy>
  <cp:lastPrinted>2024-01-24T15:19:17Z</cp:lastPrinted>
  <dcterms:created xsi:type="dcterms:W3CDTF">2024-01-22T12:35:33Z</dcterms:created>
  <dcterms:modified xsi:type="dcterms:W3CDTF">2026-06-26T05:35:04Z</dcterms:modified>
</cp:coreProperties>
</file>