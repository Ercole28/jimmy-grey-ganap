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PORAN ORI 2026\Laporan Penjualan KANTIN 2026\LAPORAN PENJUALAN KANTIN BULANAN 2026\"/>
    </mc:Choice>
  </mc:AlternateContent>
  <xr:revisionPtr revIDLastSave="0" documentId="13_ncr:1000001_{14DE0693-AA5A-3840-B35E-D90F08CE11FA}" xr6:coauthVersionLast="47" xr6:coauthVersionMax="47" xr10:uidLastSave="{00000000-0000-0000-0000-000000000000}"/>
  <bookViews>
    <workbookView xWindow="-105" yWindow="-105" windowWidth="23250" windowHeight="12450" activeTab="1" xr2:uid="{00000000-000D-0000-FFFF-FFFF00000000}"/>
  </bookViews>
  <sheets>
    <sheet name="PB 01 sd 31 JULI 2026 " sheetId="2" r:id="rId1"/>
    <sheet name="LP  01 sd 31 JULI 2026" sheetId="1" r:id="rId2"/>
  </sheets>
  <definedNames>
    <definedName name="_xlnm._FilterDatabase" localSheetId="1" hidden="1">'LP  01 sd 31 JULI 2026'!$B$12:$P$108</definedName>
    <definedName name="_xlnm._FilterDatabase" localSheetId="0" hidden="1">'PB 01 sd 31 JULI 2026 '!$D$6:$D$55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2" l="1"/>
  <c r="H52" i="2"/>
  <c r="H51" i="2"/>
  <c r="H50" i="2"/>
  <c r="H49" i="2"/>
  <c r="H48" i="2"/>
  <c r="H47" i="2"/>
  <c r="H46" i="2"/>
  <c r="H10" i="2"/>
  <c r="H45" i="2"/>
  <c r="H44" i="2"/>
  <c r="H43" i="2"/>
  <c r="H42" i="2"/>
  <c r="H41" i="2"/>
  <c r="H40" i="2"/>
  <c r="H39" i="2"/>
  <c r="H37" i="2"/>
  <c r="H36" i="2"/>
  <c r="H34" i="2"/>
  <c r="H33" i="2"/>
  <c r="H32" i="2"/>
  <c r="H31" i="2"/>
  <c r="H30" i="2"/>
  <c r="H29" i="2"/>
  <c r="H27" i="2"/>
  <c r="H26" i="2"/>
  <c r="H25" i="2"/>
  <c r="H24" i="2"/>
  <c r="H23" i="2"/>
  <c r="H22" i="2"/>
  <c r="H21" i="2"/>
  <c r="H8" i="2"/>
  <c r="H20" i="2"/>
  <c r="H19" i="2"/>
  <c r="H38" i="2"/>
  <c r="H18" i="2"/>
  <c r="H17" i="2"/>
  <c r="H16" i="2"/>
  <c r="H15" i="2"/>
  <c r="H14" i="2"/>
  <c r="H13" i="2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N120" i="1"/>
  <c r="O116" i="1"/>
  <c r="O117" i="1"/>
  <c r="O119" i="1"/>
  <c r="O120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M14" i="1"/>
  <c r="L14" i="1"/>
  <c r="O14" i="1"/>
  <c r="M15" i="1"/>
  <c r="L15" i="1"/>
  <c r="O15" i="1"/>
  <c r="M16" i="1"/>
  <c r="L16" i="1"/>
  <c r="O16" i="1"/>
  <c r="M17" i="1"/>
  <c r="L17" i="1"/>
  <c r="O17" i="1"/>
  <c r="M18" i="1"/>
  <c r="L18" i="1"/>
  <c r="O18" i="1"/>
  <c r="M19" i="1"/>
  <c r="L19" i="1"/>
  <c r="O19" i="1"/>
  <c r="M20" i="1"/>
  <c r="L20" i="1"/>
  <c r="O20" i="1"/>
  <c r="M21" i="1"/>
  <c r="L21" i="1"/>
  <c r="O21" i="1"/>
  <c r="M22" i="1"/>
  <c r="L22" i="1"/>
  <c r="O22" i="1"/>
  <c r="M23" i="1"/>
  <c r="L23" i="1"/>
  <c r="O23" i="1"/>
  <c r="M24" i="1"/>
  <c r="L24" i="1"/>
  <c r="O24" i="1"/>
  <c r="M25" i="1"/>
  <c r="L25" i="1"/>
  <c r="O25" i="1"/>
  <c r="M26" i="1"/>
  <c r="L26" i="1"/>
  <c r="O26" i="1"/>
  <c r="M27" i="1"/>
  <c r="L27" i="1"/>
  <c r="O27" i="1"/>
  <c r="M28" i="1"/>
  <c r="L28" i="1"/>
  <c r="O28" i="1"/>
  <c r="M29" i="1"/>
  <c r="L29" i="1"/>
  <c r="O29" i="1"/>
  <c r="M30" i="1"/>
  <c r="L30" i="1"/>
  <c r="O30" i="1"/>
  <c r="M31" i="1"/>
  <c r="L31" i="1"/>
  <c r="O31" i="1"/>
  <c r="M32" i="1"/>
  <c r="L32" i="1"/>
  <c r="O32" i="1"/>
  <c r="M33" i="1"/>
  <c r="L33" i="1"/>
  <c r="O33" i="1"/>
  <c r="M34" i="1"/>
  <c r="L34" i="1"/>
  <c r="O34" i="1"/>
  <c r="M35" i="1"/>
  <c r="L35" i="1"/>
  <c r="O35" i="1"/>
  <c r="M36" i="1"/>
  <c r="L36" i="1"/>
  <c r="O36" i="1"/>
  <c r="M37" i="1"/>
  <c r="L37" i="1"/>
  <c r="O37" i="1"/>
  <c r="M38" i="1"/>
  <c r="L38" i="1"/>
  <c r="O38" i="1"/>
  <c r="M39" i="1"/>
  <c r="L39" i="1"/>
  <c r="O39" i="1"/>
  <c r="M40" i="1"/>
  <c r="L40" i="1"/>
  <c r="O40" i="1"/>
  <c r="M41" i="1"/>
  <c r="L41" i="1"/>
  <c r="O41" i="1"/>
  <c r="M42" i="1"/>
  <c r="L42" i="1"/>
  <c r="O42" i="1"/>
  <c r="M43" i="1"/>
  <c r="L43" i="1"/>
  <c r="O43" i="1"/>
  <c r="M44" i="1"/>
  <c r="L44" i="1"/>
  <c r="O44" i="1"/>
  <c r="M45" i="1"/>
  <c r="L45" i="1"/>
  <c r="O45" i="1"/>
  <c r="M46" i="1"/>
  <c r="L46" i="1"/>
  <c r="O46" i="1"/>
  <c r="M47" i="1"/>
  <c r="L47" i="1"/>
  <c r="O47" i="1"/>
  <c r="M48" i="1"/>
  <c r="L48" i="1"/>
  <c r="O48" i="1"/>
  <c r="M49" i="1"/>
  <c r="L49" i="1"/>
  <c r="O49" i="1"/>
  <c r="M50" i="1"/>
  <c r="L50" i="1"/>
  <c r="O50" i="1"/>
  <c r="M51" i="1"/>
  <c r="L51" i="1"/>
  <c r="O51" i="1"/>
  <c r="M52" i="1"/>
  <c r="L52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M76" i="1"/>
  <c r="L76" i="1"/>
  <c r="O76" i="1"/>
  <c r="M77" i="1"/>
  <c r="L77" i="1"/>
  <c r="O77" i="1"/>
  <c r="M78" i="1"/>
  <c r="L78" i="1"/>
  <c r="O78" i="1"/>
  <c r="M79" i="1"/>
  <c r="L79" i="1"/>
  <c r="O79" i="1"/>
  <c r="M80" i="1"/>
  <c r="L80" i="1"/>
  <c r="O80" i="1"/>
  <c r="M81" i="1"/>
  <c r="L81" i="1"/>
  <c r="O81" i="1"/>
  <c r="M82" i="1"/>
  <c r="L82" i="1"/>
  <c r="O82" i="1"/>
  <c r="M83" i="1"/>
  <c r="L83" i="1"/>
  <c r="O83" i="1"/>
  <c r="M84" i="1"/>
  <c r="L84" i="1"/>
  <c r="O84" i="1"/>
  <c r="M85" i="1"/>
  <c r="L85" i="1"/>
  <c r="O85" i="1"/>
  <c r="M86" i="1"/>
  <c r="L86" i="1"/>
  <c r="O86" i="1"/>
  <c r="M87" i="1"/>
  <c r="L87" i="1"/>
  <c r="O87" i="1"/>
  <c r="M88" i="1"/>
  <c r="L88" i="1"/>
  <c r="O88" i="1"/>
  <c r="M89" i="1"/>
  <c r="L89" i="1"/>
  <c r="O89" i="1"/>
  <c r="M90" i="1"/>
  <c r="L90" i="1"/>
  <c r="O90" i="1"/>
  <c r="M91" i="1"/>
  <c r="L91" i="1"/>
  <c r="O91" i="1"/>
  <c r="M92" i="1"/>
  <c r="L92" i="1"/>
  <c r="O92" i="1"/>
  <c r="M93" i="1"/>
  <c r="L93" i="1"/>
  <c r="O93" i="1"/>
  <c r="M94" i="1"/>
  <c r="L94" i="1"/>
  <c r="O94" i="1"/>
  <c r="M95" i="1"/>
  <c r="L95" i="1"/>
  <c r="O95" i="1"/>
  <c r="M96" i="1"/>
  <c r="L96" i="1"/>
  <c r="O96" i="1"/>
  <c r="M97" i="1"/>
  <c r="L97" i="1"/>
  <c r="O97" i="1"/>
  <c r="M98" i="1"/>
  <c r="L98" i="1"/>
  <c r="O98" i="1"/>
  <c r="M99" i="1"/>
  <c r="L99" i="1"/>
  <c r="O99" i="1"/>
  <c r="M100" i="1"/>
  <c r="L100" i="1"/>
  <c r="O100" i="1"/>
  <c r="M101" i="1"/>
  <c r="L101" i="1"/>
  <c r="O101" i="1"/>
  <c r="M102" i="1"/>
  <c r="L102" i="1"/>
  <c r="O102" i="1"/>
  <c r="M103" i="1"/>
  <c r="L103" i="1"/>
  <c r="O103" i="1"/>
  <c r="M104" i="1"/>
  <c r="L104" i="1"/>
  <c r="O104" i="1"/>
  <c r="O105" i="1"/>
  <c r="O8" i="1"/>
  <c r="O7" i="1"/>
  <c r="M105" i="1"/>
  <c r="O9" i="1"/>
  <c r="L105" i="1"/>
  <c r="O10" i="1"/>
  <c r="K14" i="1"/>
  <c r="P14" i="1"/>
  <c r="K15" i="1"/>
  <c r="P15" i="1"/>
  <c r="K16" i="1"/>
  <c r="P16" i="1"/>
  <c r="K17" i="1"/>
  <c r="P17" i="1"/>
  <c r="K18" i="1"/>
  <c r="P18" i="1"/>
  <c r="K19" i="1"/>
  <c r="P19" i="1"/>
  <c r="K20" i="1"/>
  <c r="P20" i="1"/>
  <c r="K21" i="1"/>
  <c r="P21" i="1"/>
  <c r="K22" i="1"/>
  <c r="P22" i="1"/>
  <c r="K23" i="1"/>
  <c r="P23" i="1"/>
  <c r="K24" i="1"/>
  <c r="P24" i="1"/>
  <c r="K25" i="1"/>
  <c r="P25" i="1"/>
  <c r="K26" i="1"/>
  <c r="P26" i="1"/>
  <c r="K27" i="1"/>
  <c r="P27" i="1"/>
  <c r="K28" i="1"/>
  <c r="P28" i="1"/>
  <c r="K29" i="1"/>
  <c r="P29" i="1"/>
  <c r="K30" i="1"/>
  <c r="P30" i="1"/>
  <c r="K31" i="1"/>
  <c r="P31" i="1"/>
  <c r="K32" i="1"/>
  <c r="P32" i="1"/>
  <c r="K33" i="1"/>
  <c r="P33" i="1"/>
  <c r="K34" i="1"/>
  <c r="P34" i="1"/>
  <c r="K35" i="1"/>
  <c r="P35" i="1"/>
  <c r="K36" i="1"/>
  <c r="P36" i="1"/>
  <c r="K37" i="1"/>
  <c r="P37" i="1"/>
  <c r="K38" i="1"/>
  <c r="P38" i="1"/>
  <c r="K39" i="1"/>
  <c r="P39" i="1"/>
  <c r="K40" i="1"/>
  <c r="P40" i="1"/>
  <c r="K41" i="1"/>
  <c r="P41" i="1"/>
  <c r="K42" i="1"/>
  <c r="P42" i="1"/>
  <c r="K43" i="1"/>
  <c r="P43" i="1"/>
  <c r="K44" i="1"/>
  <c r="P44" i="1"/>
  <c r="K45" i="1"/>
  <c r="P45" i="1"/>
  <c r="K46" i="1"/>
  <c r="P46" i="1"/>
  <c r="K47" i="1"/>
  <c r="P47" i="1"/>
  <c r="P48" i="1"/>
  <c r="K49" i="1"/>
  <c r="P49" i="1"/>
  <c r="K50" i="1"/>
  <c r="P50" i="1"/>
  <c r="K51" i="1"/>
  <c r="P51" i="1"/>
  <c r="K52" i="1"/>
  <c r="P52" i="1"/>
  <c r="K53" i="1"/>
  <c r="P53" i="1"/>
  <c r="K54" i="1"/>
  <c r="P54" i="1"/>
  <c r="K55" i="1"/>
  <c r="P55" i="1"/>
  <c r="K56" i="1"/>
  <c r="P56" i="1"/>
  <c r="K57" i="1"/>
  <c r="P57" i="1"/>
  <c r="K58" i="1"/>
  <c r="P58" i="1"/>
  <c r="K59" i="1"/>
  <c r="P59" i="1"/>
  <c r="K60" i="1"/>
  <c r="P60" i="1"/>
  <c r="K61" i="1"/>
  <c r="P61" i="1"/>
  <c r="K62" i="1"/>
  <c r="P62" i="1"/>
  <c r="K63" i="1"/>
  <c r="P63" i="1"/>
  <c r="K64" i="1"/>
  <c r="P64" i="1"/>
  <c r="K65" i="1"/>
  <c r="P65" i="1"/>
  <c r="K66" i="1"/>
  <c r="P66" i="1"/>
  <c r="K67" i="1"/>
  <c r="P67" i="1"/>
  <c r="K68" i="1"/>
  <c r="P68" i="1"/>
  <c r="K69" i="1"/>
  <c r="P69" i="1"/>
  <c r="K70" i="1"/>
  <c r="P70" i="1"/>
  <c r="K71" i="1"/>
  <c r="P71" i="1"/>
  <c r="K72" i="1"/>
  <c r="P72" i="1"/>
  <c r="K73" i="1"/>
  <c r="P73" i="1"/>
  <c r="K74" i="1"/>
  <c r="P74" i="1"/>
  <c r="K75" i="1"/>
  <c r="P75" i="1"/>
  <c r="K76" i="1"/>
  <c r="P76" i="1"/>
  <c r="K77" i="1"/>
  <c r="P77" i="1"/>
  <c r="K78" i="1"/>
  <c r="P78" i="1"/>
  <c r="K79" i="1"/>
  <c r="P79" i="1"/>
  <c r="K80" i="1"/>
  <c r="P80" i="1"/>
  <c r="K81" i="1"/>
  <c r="P81" i="1"/>
  <c r="K82" i="1"/>
  <c r="P82" i="1"/>
  <c r="K83" i="1"/>
  <c r="P83" i="1"/>
  <c r="K84" i="1"/>
  <c r="P84" i="1"/>
  <c r="K85" i="1"/>
  <c r="P85" i="1"/>
  <c r="K86" i="1"/>
  <c r="P86" i="1"/>
  <c r="K87" i="1"/>
  <c r="P87" i="1"/>
  <c r="K88" i="1"/>
  <c r="P88" i="1"/>
  <c r="K89" i="1"/>
  <c r="P89" i="1"/>
  <c r="K90" i="1"/>
  <c r="P90" i="1"/>
  <c r="K91" i="1"/>
  <c r="P91" i="1"/>
  <c r="K92" i="1"/>
  <c r="P92" i="1"/>
  <c r="K93" i="1"/>
  <c r="P93" i="1"/>
  <c r="K94" i="1"/>
  <c r="P94" i="1"/>
  <c r="K95" i="1"/>
  <c r="P95" i="1"/>
  <c r="K96" i="1"/>
  <c r="P96" i="1"/>
  <c r="K97" i="1"/>
  <c r="P97" i="1"/>
  <c r="K98" i="1"/>
  <c r="P98" i="1"/>
  <c r="K99" i="1"/>
  <c r="P99" i="1"/>
  <c r="K100" i="1"/>
  <c r="P100" i="1"/>
  <c r="K101" i="1"/>
  <c r="P101" i="1"/>
  <c r="K102" i="1"/>
  <c r="P102" i="1"/>
  <c r="K103" i="1"/>
  <c r="P103" i="1"/>
  <c r="P104" i="1"/>
  <c r="P105" i="1"/>
  <c r="O6" i="1"/>
  <c r="O106" i="1"/>
  <c r="H7" i="2"/>
  <c r="H9" i="2"/>
  <c r="H11" i="2"/>
  <c r="H12" i="2"/>
  <c r="H28" i="2"/>
  <c r="H35" i="2"/>
  <c r="H55" i="2"/>
  <c r="O5" i="1"/>
  <c r="I105" i="1"/>
  <c r="J105" i="1"/>
  <c r="H105" i="1"/>
  <c r="B14" i="1"/>
  <c r="K105" i="1"/>
  <c r="P8" i="1"/>
</calcChain>
</file>

<file path=xl/sharedStrings.xml><?xml version="1.0" encoding="utf-8"?>
<sst xmlns="http://schemas.openxmlformats.org/spreadsheetml/2006/main" count="460" uniqueCount="188">
  <si>
    <t>NO</t>
  </si>
  <si>
    <t>NAMA PRODUK</t>
  </si>
  <si>
    <t>SATUAN</t>
  </si>
  <si>
    <t>MODAL</t>
  </si>
  <si>
    <t>HARGA JUAL</t>
  </si>
  <si>
    <t>TERJUAL</t>
  </si>
  <si>
    <t>LABA</t>
  </si>
  <si>
    <t>BTL</t>
  </si>
  <si>
    <t>DUS</t>
  </si>
  <si>
    <t>BEAR BRAND</t>
  </si>
  <si>
    <t>KLG</t>
  </si>
  <si>
    <t>BUAVITA</t>
  </si>
  <si>
    <t>PCS</t>
  </si>
  <si>
    <t>FRESH TEA</t>
  </si>
  <si>
    <t>ORANGE WATER</t>
  </si>
  <si>
    <t>TEH KOTAK</t>
  </si>
  <si>
    <t>SARI KACANG HIJAU</t>
  </si>
  <si>
    <t>LARUTAN KAKI TIGA KALENG</t>
  </si>
  <si>
    <t>PULPY ORANGE</t>
  </si>
  <si>
    <t xml:space="preserve"> POCARI SWEAT</t>
  </si>
  <si>
    <t xml:space="preserve"> NUTRI BOOST</t>
  </si>
  <si>
    <t xml:space="preserve"> YOU C 1000</t>
  </si>
  <si>
    <t xml:space="preserve"> FANTA / SPRITE / COCA COLA</t>
  </si>
  <si>
    <t xml:space="preserve"> YAKULT</t>
  </si>
  <si>
    <t xml:space="preserve"> KOPI BUBUK PER ( GELAS )</t>
  </si>
  <si>
    <t>CUP</t>
  </si>
  <si>
    <t xml:space="preserve"> TEHTARIK MAXTEA</t>
  </si>
  <si>
    <t xml:space="preserve"> TORABIKA / GOOD CAPUCINO</t>
  </si>
  <si>
    <t xml:space="preserve"> KAPAL API MIX</t>
  </si>
  <si>
    <t xml:space="preserve"> INDOCAFE</t>
  </si>
  <si>
    <t xml:space="preserve"> WHITE KOFIE</t>
  </si>
  <si>
    <t xml:space="preserve"> GOOD DAY MERAH</t>
  </si>
  <si>
    <t xml:space="preserve"> ABC SUSU</t>
  </si>
  <si>
    <t xml:space="preserve"> ENERGEN</t>
  </si>
  <si>
    <t xml:space="preserve"> TEHMANIS</t>
  </si>
  <si>
    <t xml:space="preserve"> TEHTAWAR</t>
  </si>
  <si>
    <t xml:space="preserve"> NUTRISARI</t>
  </si>
  <si>
    <t xml:space="preserve"> ES BATU</t>
  </si>
  <si>
    <t>TEH SOSRO BOX</t>
  </si>
  <si>
    <t xml:space="preserve"> POP MIE</t>
  </si>
  <si>
    <t>INDOMIE</t>
  </si>
  <si>
    <t xml:space="preserve"> TELUR AYAM</t>
  </si>
  <si>
    <t>BTR</t>
  </si>
  <si>
    <t xml:space="preserve"> TELUR BEBEK</t>
  </si>
  <si>
    <t xml:space="preserve"> GULA PASIR</t>
  </si>
  <si>
    <t xml:space="preserve"> PERMEN PER PACK</t>
  </si>
  <si>
    <t>PACK</t>
  </si>
  <si>
    <t>BKS</t>
  </si>
  <si>
    <t xml:space="preserve"> BISCUIT ROMA KELAPA</t>
  </si>
  <si>
    <t xml:space="preserve"> ROMA CREAM</t>
  </si>
  <si>
    <t xml:space="preserve"> BENG2 / CHOCO PIE / KALPA</t>
  </si>
  <si>
    <t xml:space="preserve"> WAFER SUPERSTAR</t>
  </si>
  <si>
    <t xml:space="preserve"> SISTIK ORI / BALADO</t>
  </si>
  <si>
    <t xml:space="preserve"> KRIPIK PISANG / SUKUN</t>
  </si>
  <si>
    <t xml:space="preserve"> KACANG BWG 1/4 AN</t>
  </si>
  <si>
    <t xml:space="preserve"> MALRBORO MERAH/PUTIH</t>
  </si>
  <si>
    <t xml:space="preserve"> MALBORO FILTER / MARLONG</t>
  </si>
  <si>
    <t xml:space="preserve"> AVOLUTION MRH/MENTHOL</t>
  </si>
  <si>
    <t xml:space="preserve"> DUNHILL PUTIH</t>
  </si>
  <si>
    <t xml:space="preserve"> ESSE CHANGE LIGHT</t>
  </si>
  <si>
    <t xml:space="preserve"> CLASSMILD</t>
  </si>
  <si>
    <t xml:space="preserve"> DJI SAMSOE KRETEK</t>
  </si>
  <si>
    <t xml:space="preserve"> SAMPOERNA KRETEK</t>
  </si>
  <si>
    <t xml:space="preserve"> GG.SURYA ( 16 )</t>
  </si>
  <si>
    <t xml:space="preserve"> DJ MANGGA 76</t>
  </si>
  <si>
    <t xml:space="preserve"> DJARUM SUPER (12)</t>
  </si>
  <si>
    <t xml:space="preserve"> TWIZZ</t>
  </si>
  <si>
    <t xml:space="preserve"> ASPRO BOLD</t>
  </si>
  <si>
    <t xml:space="preserve"> MALBORO KRETEK MERAH</t>
  </si>
  <si>
    <t xml:space="preserve"> MALBORO KRETEK BIRU</t>
  </si>
  <si>
    <t xml:space="preserve"> GG FILTER</t>
  </si>
  <si>
    <t xml:space="preserve"> KOREK GAS</t>
  </si>
  <si>
    <t xml:space="preserve"> ESSE DOUBLE KLIK</t>
  </si>
  <si>
    <t xml:space="preserve"> ESSE PUNCH POP</t>
  </si>
  <si>
    <t xml:space="preserve"> ESSE JUICI</t>
  </si>
  <si>
    <t xml:space="preserve"> DJARUM MLD</t>
  </si>
  <si>
    <t xml:space="preserve"> TOLAK ANGIN CAIR</t>
  </si>
  <si>
    <t xml:space="preserve"> AMPLOP PUTIH</t>
  </si>
  <si>
    <t xml:space="preserve"> OBAT  OBATAN</t>
  </si>
  <si>
    <t>KOPKAR BANDAR BANTEN</t>
  </si>
  <si>
    <t>TOTAL PENJUALAN</t>
  </si>
  <si>
    <t>HPP</t>
  </si>
  <si>
    <t>KREDIT</t>
  </si>
  <si>
    <t>TUNAI</t>
  </si>
  <si>
    <t>SISA STOK BARANG</t>
  </si>
  <si>
    <t>QUANTITY AWAL</t>
  </si>
  <si>
    <t>KAS/PEJUALAN TUNAI</t>
  </si>
  <si>
    <t>MODAL AWAL</t>
  </si>
  <si>
    <t>JUMLAH</t>
  </si>
  <si>
    <t>KG</t>
  </si>
  <si>
    <t>KAPAL API MANTAP 350 GRM</t>
  </si>
  <si>
    <t>STOCK OPNAME</t>
  </si>
  <si>
    <t xml:space="preserve">TANGGAL </t>
  </si>
  <si>
    <t xml:space="preserve">PEMBELIAN BARANG </t>
  </si>
  <si>
    <t>VOLUME</t>
  </si>
  <si>
    <t>HARGA BELI</t>
  </si>
  <si>
    <t>TOTAL</t>
  </si>
  <si>
    <t>KETERANGAN</t>
  </si>
  <si>
    <t>LE MINERAL 1500 ML</t>
  </si>
  <si>
    <t xml:space="preserve">LAPORAN PENGADAAN BARANG KANTIN </t>
  </si>
  <si>
    <t xml:space="preserve">LE MINERAL 600 ML </t>
  </si>
  <si>
    <t xml:space="preserve">LE MINERAL 330 ML </t>
  </si>
  <si>
    <t>ULTRA MILK</t>
  </si>
  <si>
    <t xml:space="preserve"> S. AMILD MERAH</t>
  </si>
  <si>
    <t xml:space="preserve"> GOOD DAY FREZZE</t>
  </si>
  <si>
    <t xml:space="preserve"> SUSU PUTIH / COKLAT</t>
  </si>
  <si>
    <t>AQUA GALON</t>
  </si>
  <si>
    <t>LE MINERAL 600 PER DUS</t>
  </si>
  <si>
    <t>AIR AQUA</t>
  </si>
  <si>
    <t>GALON</t>
  </si>
  <si>
    <t>KATEGORY</t>
  </si>
  <si>
    <t>MINUMAN</t>
  </si>
  <si>
    <t>MAKANAN</t>
  </si>
  <si>
    <t>ROKOK</t>
  </si>
  <si>
    <t>OBAT</t>
  </si>
  <si>
    <t>LAIN2</t>
  </si>
  <si>
    <t>OPERASIONAL</t>
  </si>
  <si>
    <t>PENGADAAN BARANG</t>
  </si>
  <si>
    <t>PENJUALAN KREDIT</t>
  </si>
  <si>
    <t>minuman</t>
  </si>
  <si>
    <t>makanan</t>
  </si>
  <si>
    <t>rokok</t>
  </si>
  <si>
    <t>lain2</t>
  </si>
  <si>
    <t>PENJUALAN</t>
  </si>
  <si>
    <t>%</t>
  </si>
  <si>
    <t>ROTI HONIJE</t>
  </si>
  <si>
    <t>TELUR AYAM</t>
  </si>
  <si>
    <t>INDOMIE AYAM BAWANG</t>
  </si>
  <si>
    <t>BENG BENG</t>
  </si>
  <si>
    <t>MINYAK GORENG</t>
  </si>
  <si>
    <t>LITER</t>
  </si>
  <si>
    <t>KAPAL API MINI</t>
  </si>
  <si>
    <t>ROMA CREAM</t>
  </si>
  <si>
    <t xml:space="preserve"> MALKIST BISCUIT</t>
  </si>
  <si>
    <t>PEYEK UM NAZZ</t>
  </si>
  <si>
    <t>PEYEK TOPLES UNGU</t>
  </si>
  <si>
    <t>PEYEK TOPLES ORANGE</t>
  </si>
  <si>
    <t>PEYEK TOPLES BUCKET</t>
  </si>
  <si>
    <t>KERUPUK GENDAR</t>
  </si>
  <si>
    <t>PILUS MATADOR/GARUDA</t>
  </si>
  <si>
    <t>CANDY MINT/VIT C</t>
  </si>
  <si>
    <t xml:space="preserve"> SAMSOE REFIL (12)</t>
  </si>
  <si>
    <t>02 JULI 2026</t>
  </si>
  <si>
    <t>AQUA MINI 330 ML</t>
  </si>
  <si>
    <t>SAMPOERNA MILD MERAH (16)</t>
  </si>
  <si>
    <t>SLOP</t>
  </si>
  <si>
    <t xml:space="preserve">GG SURYA (16) </t>
  </si>
  <si>
    <t>ESSE CHANGE</t>
  </si>
  <si>
    <t>SAMSU REFIL</t>
  </si>
  <si>
    <t>DJI SAMSOE KRETEK</t>
  </si>
  <si>
    <t>INDOMIE GORENG / KARI AYAM</t>
  </si>
  <si>
    <t>SISTIK ORI / PEDAS</t>
  </si>
  <si>
    <t>CANDY MINT/ VIT C</t>
  </si>
  <si>
    <t>LE MINERAL 600 ML</t>
  </si>
  <si>
    <t>KALPA</t>
  </si>
  <si>
    <t>SUPERSTAR</t>
  </si>
  <si>
    <t>PERMEN CAMPUR</t>
  </si>
  <si>
    <t>KAPAL API MIX</t>
  </si>
  <si>
    <t>RENTENG</t>
  </si>
  <si>
    <t>TEH TARIK MAXTEA</t>
  </si>
  <si>
    <t>GOOD DAY FREZZE</t>
  </si>
  <si>
    <t>MALKIST BISCUIT</t>
  </si>
  <si>
    <t>ROMA KELAPA</t>
  </si>
  <si>
    <t>PILUS GARUDA</t>
  </si>
  <si>
    <t>GOOD DAY CAPUCINO</t>
  </si>
  <si>
    <t>NUTRISARI ORANGE/JERUK PERAS</t>
  </si>
  <si>
    <t>PAPER CUP COFFE</t>
  </si>
  <si>
    <t>TISUE MONTHIS</t>
  </si>
  <si>
    <t>AIR MINERAL</t>
  </si>
  <si>
    <t>SAWI &amp; CABE RAWIT</t>
  </si>
  <si>
    <t>MINGGU</t>
  </si>
  <si>
    <t>ULTRA MILK COKELAT 250 ML</t>
  </si>
  <si>
    <t>TEHKOTAK 250 ML</t>
  </si>
  <si>
    <t>KACANG BAWANG 1/4AN</t>
  </si>
  <si>
    <t>AQUA 1500 ML</t>
  </si>
  <si>
    <t>PEYEK CAMPUR K</t>
  </si>
  <si>
    <t>KERUPUK TENGGIRI</t>
  </si>
  <si>
    <t>REKAP LAPORAN PENJUALAN KANTIN PERIODE 01 JULI - 31 JULI 2026</t>
  </si>
  <si>
    <t xml:space="preserve">PERIODE : 01 JULI - 31 JULI 2026 </t>
  </si>
  <si>
    <t>INDOCAFE</t>
  </si>
  <si>
    <t>LUWAK WHITE KOFIE</t>
  </si>
  <si>
    <t>TORABIKA CAPUCINO</t>
  </si>
  <si>
    <t>SUSU BENDERA SACHET</t>
  </si>
  <si>
    <t xml:space="preserve">GELAS PLASTIK TEH </t>
  </si>
  <si>
    <t>PULPEN STANDAR</t>
  </si>
  <si>
    <t>GULA PASIR</t>
  </si>
  <si>
    <t>S/D</t>
  </si>
  <si>
    <t xml:space="preserve">31 JULI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</si>
</sst>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[$Rp-421]* #,##0_-;\-[$Rp-421]* #,##0_-;_-[$Rp-421]* &quot;-&quot;??_-;_-@_-"/>
    <numFmt numFmtId="166" formatCode="_-[$Rp-421]* #,##0.00_-;\-[$Rp-421]* #,##0.00_-;_-[$Rp-421]* &quot;-&quot;??_-;_-@_-"/>
    <numFmt numFmtId="167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.5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sz val="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8"/>
      <name val="Courier New"/>
      <family val="3"/>
    </font>
    <font>
      <b/>
      <sz val="11"/>
      <color theme="1"/>
      <name val="Aptos Display"/>
      <charset val="1"/>
      <scheme val="major"/>
    </font>
    <font>
      <sz val="11"/>
      <color theme="1"/>
      <name val="Aptos Display"/>
      <charset val="1"/>
      <scheme val="major"/>
    </font>
    <font>
      <sz val="11"/>
      <color rgb="FF000000"/>
      <name val="Aptos Narrow"/>
      <charset val="1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/>
    <xf numFmtId="165" fontId="0" fillId="0" borderId="1" xfId="0" applyNumberFormat="1" applyBorder="1"/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center"/>
    </xf>
    <xf numFmtId="165" fontId="0" fillId="3" borderId="4" xfId="0" applyNumberFormat="1" applyFill="1" applyBorder="1"/>
    <xf numFmtId="165" fontId="0" fillId="0" borderId="4" xfId="0" applyNumberFormat="1" applyBorder="1"/>
    <xf numFmtId="43" fontId="0" fillId="0" borderId="0" xfId="0" applyNumberFormat="1"/>
    <xf numFmtId="41" fontId="0" fillId="0" borderId="0" xfId="0" applyNumberFormat="1"/>
    <xf numFmtId="166" fontId="0" fillId="0" borderId="1" xfId="0" applyNumberFormat="1" applyBorder="1"/>
    <xf numFmtId="166" fontId="0" fillId="0" borderId="4" xfId="0" applyNumberFormat="1" applyBorder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165" fontId="1" fillId="5" borderId="19" xfId="0" applyNumberFormat="1" applyFont="1" applyFill="1" applyBorder="1" applyAlignment="1">
      <alignment vertical="center"/>
    </xf>
    <xf numFmtId="165" fontId="1" fillId="5" borderId="15" xfId="0" applyNumberFormat="1" applyFont="1" applyFill="1" applyBorder="1" applyAlignment="1">
      <alignment vertical="center"/>
    </xf>
    <xf numFmtId="165" fontId="1" fillId="5" borderId="16" xfId="0" applyNumberFormat="1" applyFont="1" applyFill="1" applyBorder="1" applyAlignment="1">
      <alignment vertical="center"/>
    </xf>
    <xf numFmtId="165" fontId="1" fillId="5" borderId="17" xfId="0" applyNumberFormat="1" applyFont="1" applyFill="1" applyBorder="1" applyAlignment="1">
      <alignment vertical="center"/>
    </xf>
    <xf numFmtId="165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1"/>
    <xf numFmtId="0" fontId="8" fillId="0" borderId="20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9" fillId="0" borderId="0" xfId="1" applyFont="1"/>
    <xf numFmtId="0" fontId="10" fillId="0" borderId="0" xfId="1" applyFont="1" applyAlignment="1">
      <alignment vertical="top"/>
    </xf>
    <xf numFmtId="0" fontId="2" fillId="7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12" fillId="10" borderId="7" xfId="1" applyFont="1" applyFill="1" applyBorder="1" applyAlignment="1">
      <alignment horizontal="center" vertical="center"/>
    </xf>
    <xf numFmtId="0" fontId="12" fillId="10" borderId="22" xfId="1" applyFont="1" applyFill="1" applyBorder="1" applyAlignment="1">
      <alignment horizontal="center" vertical="center"/>
    </xf>
    <xf numFmtId="0" fontId="12" fillId="10" borderId="22" xfId="1" applyFont="1" applyFill="1" applyBorder="1" applyAlignment="1">
      <alignment horizontal="center" vertical="center" wrapText="1"/>
    </xf>
    <xf numFmtId="0" fontId="12" fillId="10" borderId="23" xfId="1" applyFont="1" applyFill="1" applyBorder="1" applyAlignment="1">
      <alignment horizontal="center" vertical="center" wrapText="1"/>
    </xf>
    <xf numFmtId="0" fontId="12" fillId="10" borderId="24" xfId="1" applyFont="1" applyFill="1" applyBorder="1" applyAlignment="1">
      <alignment horizontal="center" vertical="center"/>
    </xf>
    <xf numFmtId="14" fontId="9" fillId="0" borderId="1" xfId="1" quotePrefix="1" applyNumberFormat="1" applyFont="1" applyBorder="1" applyAlignment="1">
      <alignment horizontal="center" vertical="center"/>
    </xf>
    <xf numFmtId="0" fontId="9" fillId="11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horizontal="center" vertical="center"/>
    </xf>
    <xf numFmtId="167" fontId="9" fillId="11" borderId="1" xfId="2" applyNumberFormat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67" fontId="9" fillId="9" borderId="1" xfId="2" applyNumberFormat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vertical="center"/>
    </xf>
    <xf numFmtId="0" fontId="9" fillId="8" borderId="1" xfId="1" applyFont="1" applyFill="1" applyBorder="1" applyAlignment="1">
      <alignment vertical="center"/>
    </xf>
    <xf numFmtId="0" fontId="9" fillId="8" borderId="1" xfId="1" applyFont="1" applyFill="1" applyBorder="1" applyAlignment="1">
      <alignment horizontal="center" vertical="center"/>
    </xf>
    <xf numFmtId="167" fontId="9" fillId="8" borderId="1" xfId="2" applyNumberFormat="1" applyFont="1" applyFill="1" applyBorder="1" applyAlignment="1">
      <alignment horizontal="center" vertical="center"/>
    </xf>
    <xf numFmtId="0" fontId="13" fillId="11" borderId="1" xfId="0" applyFont="1" applyFill="1" applyBorder="1"/>
    <xf numFmtId="0" fontId="14" fillId="11" borderId="1" xfId="1" applyFont="1" applyFill="1" applyBorder="1" applyAlignment="1">
      <alignment vertical="center"/>
    </xf>
    <xf numFmtId="0" fontId="14" fillId="11" borderId="1" xfId="1" applyFont="1" applyFill="1" applyBorder="1" applyAlignment="1">
      <alignment horizontal="center" vertical="center"/>
    </xf>
    <xf numFmtId="167" fontId="14" fillId="11" borderId="1" xfId="2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top"/>
    </xf>
    <xf numFmtId="167" fontId="15" fillId="9" borderId="1" xfId="2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top"/>
    </xf>
    <xf numFmtId="167" fontId="15" fillId="8" borderId="1" xfId="2" applyNumberFormat="1" applyFont="1" applyFill="1" applyBorder="1" applyAlignment="1">
      <alignment horizontal="center" vertical="center"/>
    </xf>
    <xf numFmtId="165" fontId="0" fillId="0" borderId="25" xfId="0" applyNumberFormat="1" applyFill="1" applyBorder="1"/>
    <xf numFmtId="164" fontId="0" fillId="0" borderId="0" xfId="3" applyFont="1"/>
    <xf numFmtId="0" fontId="0" fillId="0" borderId="1" xfId="0" applyBorder="1"/>
    <xf numFmtId="164" fontId="0" fillId="0" borderId="1" xfId="3" applyFont="1" applyBorder="1"/>
    <xf numFmtId="9" fontId="0" fillId="0" borderId="1" xfId="4" applyFont="1" applyBorder="1"/>
    <xf numFmtId="0" fontId="0" fillId="0" borderId="1" xfId="0" applyNumberFormat="1" applyBorder="1"/>
    <xf numFmtId="0" fontId="19" fillId="12" borderId="1" xfId="0" applyFont="1" applyFill="1" applyBorder="1" applyAlignment="1">
      <alignment horizontal="center"/>
    </xf>
    <xf numFmtId="164" fontId="19" fillId="12" borderId="1" xfId="3" applyFont="1" applyFill="1" applyBorder="1" applyAlignment="1">
      <alignment horizontal="center"/>
    </xf>
    <xf numFmtId="0" fontId="19" fillId="0" borderId="1" xfId="0" applyFont="1" applyBorder="1"/>
    <xf numFmtId="164" fontId="19" fillId="0" borderId="1" xfId="3" applyFont="1" applyBorder="1"/>
    <xf numFmtId="9" fontId="19" fillId="0" borderId="1" xfId="4" applyFont="1" applyBorder="1"/>
    <xf numFmtId="0" fontId="7" fillId="0" borderId="0" xfId="1" applyFont="1" applyAlignment="1">
      <alignment horizontal="center"/>
    </xf>
    <xf numFmtId="17" fontId="7" fillId="0" borderId="0" xfId="1" quotePrefix="1" applyNumberFormat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left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5">
    <cellStyle name="Comma 2" xfId="2" xr:uid="{00000000-0005-0000-0000-000001000000}"/>
    <cellStyle name="Koma" xfId="3" builtinId="3"/>
    <cellStyle name="Normal" xfId="0" builtinId="0"/>
    <cellStyle name="Normal 2" xfId="1" xr:uid="{00000000-0005-0000-0000-000003000000}"/>
    <cellStyle name="Persen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opLeftCell="E22" zoomScale="110" workbookViewId="0">
      <selection activeCell="H7" sqref="H7"/>
    </sheetView>
  </sheetViews>
  <sheetFormatPr defaultColWidth="8.7421875" defaultRowHeight="15" x14ac:dyDescent="0.2"/>
  <cols>
    <col min="1" max="1" width="6.58984375" style="31" customWidth="1"/>
    <col min="2" max="2" width="14.390625" style="31" customWidth="1"/>
    <col min="3" max="3" width="35.91796875" style="31" customWidth="1"/>
    <col min="4" max="5" width="14.2578125" style="31" customWidth="1"/>
    <col min="6" max="6" width="12.10546875" style="31" customWidth="1"/>
    <col min="7" max="7" width="12.23828125" style="31" customWidth="1"/>
    <col min="8" max="8" width="13.98828125" style="31" customWidth="1"/>
    <col min="9" max="9" width="20.4453125" style="31" customWidth="1"/>
    <col min="10" max="10" width="13.85546875" style="31" customWidth="1"/>
    <col min="11" max="16384" width="8.7421875" style="31"/>
  </cols>
  <sheetData>
    <row r="1" spans="1:9" ht="21" x14ac:dyDescent="0.2">
      <c r="A1" s="75" t="s">
        <v>79</v>
      </c>
      <c r="B1" s="75"/>
      <c r="C1" s="75"/>
      <c r="D1" s="75"/>
      <c r="E1" s="75"/>
      <c r="F1" s="75"/>
      <c r="G1" s="75"/>
      <c r="H1" s="75"/>
      <c r="I1" s="75"/>
    </row>
    <row r="2" spans="1:9" ht="9.75" customHeight="1" x14ac:dyDescent="0.2"/>
    <row r="3" spans="1:9" ht="21" x14ac:dyDescent="0.3">
      <c r="A3" s="73" t="s">
        <v>99</v>
      </c>
      <c r="B3" s="73"/>
      <c r="C3" s="73"/>
      <c r="D3" s="73"/>
      <c r="E3" s="73"/>
      <c r="F3" s="73"/>
      <c r="G3" s="73"/>
      <c r="H3" s="73"/>
      <c r="I3" s="73"/>
    </row>
    <row r="4" spans="1:9" ht="21" x14ac:dyDescent="0.3">
      <c r="A4" s="74" t="s">
        <v>178</v>
      </c>
      <c r="B4" s="74"/>
      <c r="C4" s="73"/>
      <c r="D4" s="73"/>
      <c r="E4" s="73"/>
      <c r="F4" s="73"/>
      <c r="G4" s="73"/>
      <c r="H4" s="73"/>
      <c r="I4" s="73"/>
    </row>
    <row r="5" spans="1:9" ht="6.75" customHeight="1" thickBot="1" x14ac:dyDescent="0.25"/>
    <row r="6" spans="1:9" s="33" customFormat="1" ht="33" customHeight="1" thickBot="1" x14ac:dyDescent="0.2">
      <c r="A6" s="32" t="s">
        <v>0</v>
      </c>
      <c r="B6" s="39" t="s">
        <v>92</v>
      </c>
      <c r="C6" s="40" t="s">
        <v>93</v>
      </c>
      <c r="D6" s="40" t="s">
        <v>110</v>
      </c>
      <c r="E6" s="41" t="s">
        <v>94</v>
      </c>
      <c r="F6" s="42" t="s">
        <v>2</v>
      </c>
      <c r="G6" s="42" t="s">
        <v>95</v>
      </c>
      <c r="H6" s="42" t="s">
        <v>96</v>
      </c>
      <c r="I6" s="43" t="s">
        <v>97</v>
      </c>
    </row>
    <row r="7" spans="1:9" s="35" customFormat="1" ht="18" customHeight="1" thickTop="1" x14ac:dyDescent="0.2">
      <c r="A7" s="34">
        <v>1</v>
      </c>
      <c r="B7" s="44" t="s">
        <v>142</v>
      </c>
      <c r="C7" s="45" t="s">
        <v>108</v>
      </c>
      <c r="D7" s="45" t="s">
        <v>111</v>
      </c>
      <c r="E7" s="46">
        <v>212</v>
      </c>
      <c r="F7" s="46" t="s">
        <v>109</v>
      </c>
      <c r="G7" s="47">
        <v>19000</v>
      </c>
      <c r="H7" s="47">
        <f>+E7*G7</f>
        <v>4028000</v>
      </c>
      <c r="I7" s="54"/>
    </row>
    <row r="8" spans="1:9" s="35" customFormat="1" ht="18" customHeight="1" x14ac:dyDescent="0.2">
      <c r="A8" s="34">
        <v>2</v>
      </c>
      <c r="B8" s="44" t="s">
        <v>186</v>
      </c>
      <c r="C8" s="45" t="s">
        <v>153</v>
      </c>
      <c r="D8" s="45" t="s">
        <v>111</v>
      </c>
      <c r="E8" s="46">
        <v>10</v>
      </c>
      <c r="F8" s="46" t="s">
        <v>8</v>
      </c>
      <c r="G8" s="47">
        <v>48000</v>
      </c>
      <c r="H8" s="47">
        <f>+E8*G8</f>
        <v>480000</v>
      </c>
      <c r="I8" s="54"/>
    </row>
    <row r="9" spans="1:9" s="35" customFormat="1" ht="18" customHeight="1" x14ac:dyDescent="0.2">
      <c r="A9" s="34">
        <v>3</v>
      </c>
      <c r="B9" s="44" t="s">
        <v>187</v>
      </c>
      <c r="C9" s="45" t="s">
        <v>143</v>
      </c>
      <c r="D9" s="45" t="s">
        <v>111</v>
      </c>
      <c r="E9" s="46">
        <v>100</v>
      </c>
      <c r="F9" s="46" t="s">
        <v>8</v>
      </c>
      <c r="G9" s="47">
        <v>40000</v>
      </c>
      <c r="H9" s="47">
        <f t="shared" ref="H9:H11" si="0">+E9*G9</f>
        <v>4000000</v>
      </c>
      <c r="I9" s="54"/>
    </row>
    <row r="10" spans="1:9" s="35" customFormat="1" ht="18" customHeight="1" x14ac:dyDescent="0.2">
      <c r="A10" s="34"/>
      <c r="B10" s="44"/>
      <c r="C10" s="45" t="s">
        <v>174</v>
      </c>
      <c r="D10" s="45" t="s">
        <v>111</v>
      </c>
      <c r="E10" s="46">
        <v>5</v>
      </c>
      <c r="F10" s="46" t="s">
        <v>8</v>
      </c>
      <c r="G10" s="47">
        <v>54000</v>
      </c>
      <c r="H10" s="47">
        <f t="shared" si="0"/>
        <v>270000</v>
      </c>
      <c r="I10" s="54"/>
    </row>
    <row r="11" spans="1:9" s="35" customFormat="1" ht="18" customHeight="1" x14ac:dyDescent="0.2">
      <c r="A11" s="34">
        <v>4</v>
      </c>
      <c r="B11" s="44"/>
      <c r="C11" s="45" t="s">
        <v>144</v>
      </c>
      <c r="D11" s="45" t="s">
        <v>113</v>
      </c>
      <c r="E11" s="46">
        <v>10</v>
      </c>
      <c r="F11" s="46" t="s">
        <v>145</v>
      </c>
      <c r="G11" s="47">
        <v>354000</v>
      </c>
      <c r="H11" s="47">
        <f t="shared" si="0"/>
        <v>3540000</v>
      </c>
      <c r="I11" s="54"/>
    </row>
    <row r="12" spans="1:9" s="35" customFormat="1" ht="18" customHeight="1" x14ac:dyDescent="0.2">
      <c r="A12" s="34">
        <v>5</v>
      </c>
      <c r="B12" s="44"/>
      <c r="C12" s="58" t="s">
        <v>146</v>
      </c>
      <c r="D12" s="45" t="s">
        <v>113</v>
      </c>
      <c r="E12" s="48">
        <v>8</v>
      </c>
      <c r="F12" s="48" t="s">
        <v>145</v>
      </c>
      <c r="G12" s="49">
        <v>352000</v>
      </c>
      <c r="H12" s="59">
        <f>E12*G12</f>
        <v>2816000</v>
      </c>
      <c r="I12" s="50"/>
    </row>
    <row r="13" spans="1:9" s="35" customFormat="1" ht="18" customHeight="1" x14ac:dyDescent="0.2">
      <c r="A13" s="34">
        <v>6</v>
      </c>
      <c r="B13" s="44"/>
      <c r="C13" s="58" t="s">
        <v>147</v>
      </c>
      <c r="D13" s="45" t="s">
        <v>113</v>
      </c>
      <c r="E13" s="48">
        <v>3</v>
      </c>
      <c r="F13" s="48" t="s">
        <v>145</v>
      </c>
      <c r="G13" s="49">
        <v>410000</v>
      </c>
      <c r="H13" s="59">
        <f t="shared" ref="H13:H27" si="1">E13*G13</f>
        <v>1230000</v>
      </c>
      <c r="I13" s="50"/>
    </row>
    <row r="14" spans="1:9" s="35" customFormat="1" ht="18" customHeight="1" x14ac:dyDescent="0.2">
      <c r="A14" s="34">
        <v>7</v>
      </c>
      <c r="B14" s="44"/>
      <c r="C14" s="58" t="s">
        <v>148</v>
      </c>
      <c r="D14" s="45" t="s">
        <v>113</v>
      </c>
      <c r="E14" s="48">
        <v>5</v>
      </c>
      <c r="F14" s="48" t="s">
        <v>145</v>
      </c>
      <c r="G14" s="49">
        <v>215000</v>
      </c>
      <c r="H14" s="59">
        <f t="shared" si="1"/>
        <v>1075000</v>
      </c>
      <c r="I14" s="50"/>
    </row>
    <row r="15" spans="1:9" s="35" customFormat="1" ht="18" customHeight="1" x14ac:dyDescent="0.2">
      <c r="A15" s="34">
        <v>8</v>
      </c>
      <c r="B15" s="44"/>
      <c r="C15" s="58" t="s">
        <v>149</v>
      </c>
      <c r="D15" s="45" t="s">
        <v>113</v>
      </c>
      <c r="E15" s="48">
        <v>5</v>
      </c>
      <c r="F15" s="48" t="s">
        <v>145</v>
      </c>
      <c r="G15" s="49">
        <v>197000</v>
      </c>
      <c r="H15" s="59">
        <f t="shared" si="1"/>
        <v>985000</v>
      </c>
      <c r="I15" s="50"/>
    </row>
    <row r="16" spans="1:9" s="35" customFormat="1" ht="18" customHeight="1" x14ac:dyDescent="0.2">
      <c r="A16" s="34">
        <v>9</v>
      </c>
      <c r="B16" s="44"/>
      <c r="C16" s="58" t="s">
        <v>150</v>
      </c>
      <c r="D16" s="45" t="s">
        <v>112</v>
      </c>
      <c r="E16" s="48">
        <v>4</v>
      </c>
      <c r="F16" s="48" t="s">
        <v>8</v>
      </c>
      <c r="G16" s="49">
        <v>117000</v>
      </c>
      <c r="H16" s="59">
        <f t="shared" si="1"/>
        <v>468000</v>
      </c>
      <c r="I16" s="50"/>
    </row>
    <row r="17" spans="1:9" s="35" customFormat="1" ht="18" customHeight="1" x14ac:dyDescent="0.2">
      <c r="A17" s="34">
        <v>10</v>
      </c>
      <c r="B17" s="44"/>
      <c r="C17" s="58" t="s">
        <v>127</v>
      </c>
      <c r="D17" s="45" t="s">
        <v>112</v>
      </c>
      <c r="E17" s="48">
        <v>1</v>
      </c>
      <c r="F17" s="48" t="s">
        <v>8</v>
      </c>
      <c r="G17" s="49">
        <v>112000</v>
      </c>
      <c r="H17" s="59">
        <f t="shared" si="1"/>
        <v>112000</v>
      </c>
      <c r="I17" s="50"/>
    </row>
    <row r="18" spans="1:9" s="35" customFormat="1" ht="18" customHeight="1" x14ac:dyDescent="0.2">
      <c r="A18" s="34">
        <v>11</v>
      </c>
      <c r="B18" s="44"/>
      <c r="C18" s="58" t="s">
        <v>125</v>
      </c>
      <c r="D18" s="45" t="s">
        <v>112</v>
      </c>
      <c r="E18" s="48">
        <v>110</v>
      </c>
      <c r="F18" s="48" t="s">
        <v>12</v>
      </c>
      <c r="G18" s="49">
        <v>6000</v>
      </c>
      <c r="H18" s="59">
        <f t="shared" si="1"/>
        <v>660000</v>
      </c>
      <c r="I18" s="50"/>
    </row>
    <row r="19" spans="1:9" s="35" customFormat="1" ht="18" customHeight="1" x14ac:dyDescent="0.2">
      <c r="A19" s="34">
        <v>12</v>
      </c>
      <c r="B19" s="44"/>
      <c r="C19" s="58" t="s">
        <v>151</v>
      </c>
      <c r="D19" s="45" t="s">
        <v>112</v>
      </c>
      <c r="E19" s="48">
        <v>60</v>
      </c>
      <c r="F19" s="48" t="s">
        <v>12</v>
      </c>
      <c r="G19" s="49">
        <v>11000</v>
      </c>
      <c r="H19" s="59">
        <f t="shared" si="1"/>
        <v>660000</v>
      </c>
      <c r="I19" s="50"/>
    </row>
    <row r="20" spans="1:9" s="35" customFormat="1" ht="18" customHeight="1" x14ac:dyDescent="0.2">
      <c r="A20" s="34">
        <v>13</v>
      </c>
      <c r="B20" s="44"/>
      <c r="C20" s="58" t="s">
        <v>152</v>
      </c>
      <c r="D20" s="45" t="s">
        <v>112</v>
      </c>
      <c r="E20" s="48">
        <v>20</v>
      </c>
      <c r="F20" s="48" t="s">
        <v>12</v>
      </c>
      <c r="G20" s="49">
        <v>8000</v>
      </c>
      <c r="H20" s="59">
        <f t="shared" si="1"/>
        <v>160000</v>
      </c>
      <c r="I20" s="50"/>
    </row>
    <row r="21" spans="1:9" s="35" customFormat="1" ht="18" customHeight="1" x14ac:dyDescent="0.2">
      <c r="A21" s="34">
        <v>14</v>
      </c>
      <c r="B21" s="44"/>
      <c r="C21" s="58" t="s">
        <v>128</v>
      </c>
      <c r="D21" s="45" t="s">
        <v>112</v>
      </c>
      <c r="E21" s="48">
        <v>2</v>
      </c>
      <c r="F21" s="48" t="s">
        <v>46</v>
      </c>
      <c r="G21" s="49">
        <v>37000</v>
      </c>
      <c r="H21" s="59">
        <f t="shared" si="1"/>
        <v>74000</v>
      </c>
      <c r="I21" s="50"/>
    </row>
    <row r="22" spans="1:9" s="35" customFormat="1" ht="18" customHeight="1" x14ac:dyDescent="0.2">
      <c r="A22" s="34">
        <v>15</v>
      </c>
      <c r="B22" s="44"/>
      <c r="C22" s="58" t="s">
        <v>154</v>
      </c>
      <c r="D22" s="45" t="s">
        <v>112</v>
      </c>
      <c r="E22" s="48">
        <v>2</v>
      </c>
      <c r="F22" s="48" t="s">
        <v>46</v>
      </c>
      <c r="G22" s="49">
        <v>21500</v>
      </c>
      <c r="H22" s="59">
        <f t="shared" si="1"/>
        <v>43000</v>
      </c>
      <c r="I22" s="50"/>
    </row>
    <row r="23" spans="1:9" s="35" customFormat="1" ht="18" customHeight="1" x14ac:dyDescent="0.2">
      <c r="A23" s="34">
        <v>16</v>
      </c>
      <c r="B23" s="44"/>
      <c r="C23" s="58" t="s">
        <v>155</v>
      </c>
      <c r="D23" s="45" t="s">
        <v>112</v>
      </c>
      <c r="E23" s="48">
        <v>2</v>
      </c>
      <c r="F23" s="48" t="s">
        <v>46</v>
      </c>
      <c r="G23" s="49">
        <v>18000</v>
      </c>
      <c r="H23" s="59">
        <f t="shared" si="1"/>
        <v>36000</v>
      </c>
      <c r="I23" s="50"/>
    </row>
    <row r="24" spans="1:9" s="35" customFormat="1" ht="18" customHeight="1" x14ac:dyDescent="0.2">
      <c r="A24" s="34">
        <v>17</v>
      </c>
      <c r="B24" s="44"/>
      <c r="C24" s="58" t="s">
        <v>156</v>
      </c>
      <c r="D24" s="45" t="s">
        <v>112</v>
      </c>
      <c r="E24" s="48">
        <v>3</v>
      </c>
      <c r="F24" s="48" t="s">
        <v>12</v>
      </c>
      <c r="G24" s="49">
        <v>7000</v>
      </c>
      <c r="H24" s="59">
        <f t="shared" si="1"/>
        <v>21000</v>
      </c>
      <c r="I24" s="50"/>
    </row>
    <row r="25" spans="1:9" s="35" customFormat="1" ht="18" customHeight="1" x14ac:dyDescent="0.2">
      <c r="A25" s="34">
        <v>18</v>
      </c>
      <c r="B25" s="44"/>
      <c r="C25" s="58" t="s">
        <v>157</v>
      </c>
      <c r="D25" s="45" t="s">
        <v>111</v>
      </c>
      <c r="E25" s="48">
        <v>7</v>
      </c>
      <c r="F25" s="48" t="s">
        <v>158</v>
      </c>
      <c r="G25" s="49">
        <v>17500</v>
      </c>
      <c r="H25" s="59">
        <f t="shared" si="1"/>
        <v>122500</v>
      </c>
      <c r="I25" s="50"/>
    </row>
    <row r="26" spans="1:9" s="35" customFormat="1" ht="18" customHeight="1" x14ac:dyDescent="0.2">
      <c r="A26" s="34">
        <v>19</v>
      </c>
      <c r="B26" s="44"/>
      <c r="C26" s="58" t="s">
        <v>131</v>
      </c>
      <c r="D26" s="45" t="s">
        <v>111</v>
      </c>
      <c r="E26" s="48">
        <v>5</v>
      </c>
      <c r="F26" s="48" t="s">
        <v>158</v>
      </c>
      <c r="G26" s="49">
        <v>10000</v>
      </c>
      <c r="H26" s="59">
        <f t="shared" si="1"/>
        <v>50000</v>
      </c>
      <c r="I26" s="50"/>
    </row>
    <row r="27" spans="1:9" s="35" customFormat="1" ht="18" customHeight="1" x14ac:dyDescent="0.2">
      <c r="A27" s="34">
        <v>20</v>
      </c>
      <c r="B27" s="44"/>
      <c r="C27" s="58" t="s">
        <v>159</v>
      </c>
      <c r="D27" s="45" t="s">
        <v>111</v>
      </c>
      <c r="E27" s="48">
        <v>7</v>
      </c>
      <c r="F27" s="48" t="s">
        <v>158</v>
      </c>
      <c r="G27" s="49">
        <v>23000</v>
      </c>
      <c r="H27" s="59">
        <f t="shared" si="1"/>
        <v>161000</v>
      </c>
      <c r="I27" s="50"/>
    </row>
    <row r="28" spans="1:9" s="35" customFormat="1" ht="18" customHeight="1" x14ac:dyDescent="0.2">
      <c r="A28" s="34">
        <v>21</v>
      </c>
      <c r="B28" s="44"/>
      <c r="C28" s="60" t="s">
        <v>160</v>
      </c>
      <c r="D28" s="60" t="s">
        <v>111</v>
      </c>
      <c r="E28" s="52">
        <v>7</v>
      </c>
      <c r="F28" s="52" t="s">
        <v>158</v>
      </c>
      <c r="G28" s="53">
        <v>23000</v>
      </c>
      <c r="H28" s="61">
        <f t="shared" ref="H28:H53" si="2">E28*G28</f>
        <v>161000</v>
      </c>
      <c r="I28" s="51"/>
    </row>
    <row r="29" spans="1:9" s="35" customFormat="1" ht="18" customHeight="1" x14ac:dyDescent="0.2">
      <c r="A29" s="34">
        <v>22</v>
      </c>
      <c r="B29" s="44"/>
      <c r="C29" s="60" t="s">
        <v>161</v>
      </c>
      <c r="D29" s="60" t="s">
        <v>112</v>
      </c>
      <c r="E29" s="52">
        <v>20</v>
      </c>
      <c r="F29" s="52">
        <v>7</v>
      </c>
      <c r="G29" s="53">
        <v>6500</v>
      </c>
      <c r="H29" s="61">
        <f t="shared" si="2"/>
        <v>130000</v>
      </c>
      <c r="I29" s="51"/>
    </row>
    <row r="30" spans="1:9" s="35" customFormat="1" ht="18" customHeight="1" x14ac:dyDescent="0.2">
      <c r="A30" s="34">
        <v>23</v>
      </c>
      <c r="B30" s="44"/>
      <c r="C30" s="60" t="s">
        <v>132</v>
      </c>
      <c r="D30" s="60" t="s">
        <v>112</v>
      </c>
      <c r="E30" s="52">
        <v>10</v>
      </c>
      <c r="F30" s="52" t="s">
        <v>12</v>
      </c>
      <c r="G30" s="53">
        <v>10000</v>
      </c>
      <c r="H30" s="61">
        <f t="shared" si="2"/>
        <v>100000</v>
      </c>
      <c r="I30" s="51"/>
    </row>
    <row r="31" spans="1:9" s="35" customFormat="1" ht="18" customHeight="1" x14ac:dyDescent="0.2">
      <c r="A31" s="34">
        <v>24</v>
      </c>
      <c r="B31" s="44"/>
      <c r="C31" s="60" t="s">
        <v>162</v>
      </c>
      <c r="D31" s="60" t="s">
        <v>112</v>
      </c>
      <c r="E31" s="52">
        <v>20</v>
      </c>
      <c r="F31" s="52" t="s">
        <v>12</v>
      </c>
      <c r="G31" s="53">
        <v>9250</v>
      </c>
      <c r="H31" s="61">
        <f t="shared" si="2"/>
        <v>185000</v>
      </c>
      <c r="I31" s="51"/>
    </row>
    <row r="32" spans="1:9" s="35" customFormat="1" ht="18" customHeight="1" x14ac:dyDescent="0.2">
      <c r="A32" s="34">
        <v>25</v>
      </c>
      <c r="B32" s="44"/>
      <c r="C32" s="60" t="s">
        <v>163</v>
      </c>
      <c r="D32" s="60" t="s">
        <v>112</v>
      </c>
      <c r="E32" s="52">
        <v>5</v>
      </c>
      <c r="F32" s="52" t="s">
        <v>46</v>
      </c>
      <c r="G32" s="53">
        <v>18000</v>
      </c>
      <c r="H32" s="61">
        <f t="shared" si="2"/>
        <v>90000</v>
      </c>
      <c r="I32" s="51"/>
    </row>
    <row r="33" spans="1:9" s="35" customFormat="1" ht="18" customHeight="1" x14ac:dyDescent="0.2">
      <c r="A33" s="34">
        <v>26</v>
      </c>
      <c r="B33" s="44"/>
      <c r="C33" s="60" t="s">
        <v>164</v>
      </c>
      <c r="D33" s="60" t="s">
        <v>111</v>
      </c>
      <c r="E33" s="52">
        <v>5</v>
      </c>
      <c r="F33" s="52" t="s">
        <v>158</v>
      </c>
      <c r="G33" s="53">
        <v>21000</v>
      </c>
      <c r="H33" s="61">
        <f t="shared" si="2"/>
        <v>105000</v>
      </c>
      <c r="I33" s="51"/>
    </row>
    <row r="34" spans="1:9" s="35" customFormat="1" ht="18" customHeight="1" x14ac:dyDescent="0.2">
      <c r="A34" s="34">
        <v>27</v>
      </c>
      <c r="B34" s="44"/>
      <c r="C34" s="60" t="s">
        <v>165</v>
      </c>
      <c r="D34" s="60" t="s">
        <v>111</v>
      </c>
      <c r="E34" s="52">
        <v>5</v>
      </c>
      <c r="F34" s="52" t="s">
        <v>158</v>
      </c>
      <c r="G34" s="53">
        <v>13500</v>
      </c>
      <c r="H34" s="61">
        <f t="shared" si="2"/>
        <v>67500</v>
      </c>
      <c r="I34" s="51"/>
    </row>
    <row r="35" spans="1:9" s="35" customFormat="1" ht="18" customHeight="1" x14ac:dyDescent="0.2">
      <c r="A35" s="34">
        <v>28</v>
      </c>
      <c r="B35" s="44"/>
      <c r="C35" s="60" t="s">
        <v>126</v>
      </c>
      <c r="D35" s="60" t="s">
        <v>112</v>
      </c>
      <c r="E35" s="52">
        <v>8</v>
      </c>
      <c r="F35" s="52" t="s">
        <v>89</v>
      </c>
      <c r="G35" s="53">
        <v>26250</v>
      </c>
      <c r="H35" s="61">
        <f t="shared" si="2"/>
        <v>210000</v>
      </c>
      <c r="I35" s="51"/>
    </row>
    <row r="36" spans="1:9" s="35" customFormat="1" ht="18" customHeight="1" x14ac:dyDescent="0.2">
      <c r="A36" s="34">
        <v>29</v>
      </c>
      <c r="B36" s="44"/>
      <c r="C36" s="60" t="s">
        <v>166</v>
      </c>
      <c r="D36" s="60" t="s">
        <v>116</v>
      </c>
      <c r="E36" s="52">
        <v>3</v>
      </c>
      <c r="F36" s="52" t="s">
        <v>46</v>
      </c>
      <c r="G36" s="53">
        <v>11000</v>
      </c>
      <c r="H36" s="61">
        <f t="shared" si="2"/>
        <v>33000</v>
      </c>
      <c r="I36" s="51"/>
    </row>
    <row r="37" spans="1:9" s="35" customFormat="1" ht="18" customHeight="1" x14ac:dyDescent="0.2">
      <c r="A37" s="34">
        <v>30</v>
      </c>
      <c r="B37" s="44"/>
      <c r="C37" s="60" t="s">
        <v>129</v>
      </c>
      <c r="D37" s="60" t="s">
        <v>116</v>
      </c>
      <c r="E37" s="52">
        <v>3</v>
      </c>
      <c r="F37" s="52" t="s">
        <v>130</v>
      </c>
      <c r="G37" s="53">
        <v>21000</v>
      </c>
      <c r="H37" s="61">
        <f t="shared" si="2"/>
        <v>63000</v>
      </c>
      <c r="I37" s="51"/>
    </row>
    <row r="38" spans="1:9" s="35" customFormat="1" ht="18" customHeight="1" x14ac:dyDescent="0.2">
      <c r="A38" s="34">
        <v>31</v>
      </c>
      <c r="B38" s="44"/>
      <c r="C38" s="60" t="s">
        <v>167</v>
      </c>
      <c r="D38" s="60" t="s">
        <v>116</v>
      </c>
      <c r="E38" s="52">
        <v>5</v>
      </c>
      <c r="F38" s="52" t="s">
        <v>12</v>
      </c>
      <c r="G38" s="53">
        <v>10000</v>
      </c>
      <c r="H38" s="61">
        <f t="shared" si="2"/>
        <v>50000</v>
      </c>
      <c r="I38" s="51"/>
    </row>
    <row r="39" spans="1:9" s="35" customFormat="1" ht="18" customHeight="1" x14ac:dyDescent="0.2">
      <c r="A39" s="34">
        <v>32</v>
      </c>
      <c r="B39" s="44"/>
      <c r="C39" s="60" t="s">
        <v>138</v>
      </c>
      <c r="D39" s="60" t="s">
        <v>112</v>
      </c>
      <c r="E39" s="52">
        <v>68</v>
      </c>
      <c r="F39" s="52" t="s">
        <v>12</v>
      </c>
      <c r="G39" s="53">
        <v>5000</v>
      </c>
      <c r="H39" s="61">
        <f t="shared" si="2"/>
        <v>340000</v>
      </c>
      <c r="I39" s="51"/>
    </row>
    <row r="40" spans="1:9" s="35" customFormat="1" ht="18" customHeight="1" x14ac:dyDescent="0.2">
      <c r="A40" s="34">
        <v>33</v>
      </c>
      <c r="B40" s="44"/>
      <c r="C40" s="60" t="s">
        <v>168</v>
      </c>
      <c r="D40" s="60" t="s">
        <v>116</v>
      </c>
      <c r="E40" s="52">
        <v>15</v>
      </c>
      <c r="F40" s="52" t="s">
        <v>109</v>
      </c>
      <c r="G40" s="53">
        <v>8000</v>
      </c>
      <c r="H40" s="61">
        <f t="shared" si="2"/>
        <v>120000</v>
      </c>
      <c r="I40" s="51"/>
    </row>
    <row r="41" spans="1:9" s="35" customFormat="1" ht="18" customHeight="1" x14ac:dyDescent="0.2">
      <c r="A41" s="34">
        <v>34</v>
      </c>
      <c r="B41" s="44"/>
      <c r="C41" s="60" t="s">
        <v>169</v>
      </c>
      <c r="D41" s="60" t="s">
        <v>116</v>
      </c>
      <c r="E41" s="52">
        <v>4</v>
      </c>
      <c r="F41" s="52" t="s">
        <v>170</v>
      </c>
      <c r="G41" s="53">
        <v>35000</v>
      </c>
      <c r="H41" s="61">
        <f t="shared" si="2"/>
        <v>140000</v>
      </c>
      <c r="I41" s="51"/>
    </row>
    <row r="42" spans="1:9" s="35" customFormat="1" ht="18" customHeight="1" x14ac:dyDescent="0.2">
      <c r="A42" s="34">
        <v>35</v>
      </c>
      <c r="B42" s="44"/>
      <c r="C42" s="60" t="s">
        <v>134</v>
      </c>
      <c r="D42" s="60" t="s">
        <v>112</v>
      </c>
      <c r="E42" s="52">
        <v>7</v>
      </c>
      <c r="F42" s="52" t="s">
        <v>12</v>
      </c>
      <c r="G42" s="53">
        <v>20000</v>
      </c>
      <c r="H42" s="61">
        <f t="shared" si="2"/>
        <v>140000</v>
      </c>
      <c r="I42" s="51"/>
    </row>
    <row r="43" spans="1:9" s="35" customFormat="1" ht="18" customHeight="1" x14ac:dyDescent="0.2">
      <c r="A43" s="34">
        <v>36</v>
      </c>
      <c r="B43" s="44"/>
      <c r="C43" s="60" t="s">
        <v>171</v>
      </c>
      <c r="D43" s="60" t="s">
        <v>111</v>
      </c>
      <c r="E43" s="52">
        <v>2</v>
      </c>
      <c r="F43" s="52" t="s">
        <v>8</v>
      </c>
      <c r="G43" s="53">
        <v>149000</v>
      </c>
      <c r="H43" s="61">
        <f t="shared" si="2"/>
        <v>298000</v>
      </c>
      <c r="I43" s="51"/>
    </row>
    <row r="44" spans="1:9" s="35" customFormat="1" ht="18" customHeight="1" x14ac:dyDescent="0.2">
      <c r="A44" s="34">
        <v>37</v>
      </c>
      <c r="B44" s="44"/>
      <c r="C44" s="60" t="s">
        <v>172</v>
      </c>
      <c r="D44" s="60" t="s">
        <v>111</v>
      </c>
      <c r="E44" s="52">
        <v>4</v>
      </c>
      <c r="F44" s="52" t="s">
        <v>8</v>
      </c>
      <c r="G44" s="53">
        <v>80500</v>
      </c>
      <c r="H44" s="61">
        <f t="shared" si="2"/>
        <v>322000</v>
      </c>
      <c r="I44" s="51"/>
    </row>
    <row r="45" spans="1:9" s="35" customFormat="1" ht="17.25" customHeight="1" x14ac:dyDescent="0.2">
      <c r="A45" s="34">
        <v>38</v>
      </c>
      <c r="B45" s="44"/>
      <c r="C45" s="60" t="s">
        <v>173</v>
      </c>
      <c r="D45" s="60" t="s">
        <v>112</v>
      </c>
      <c r="E45" s="52">
        <v>12</v>
      </c>
      <c r="F45" s="52" t="s">
        <v>12</v>
      </c>
      <c r="G45" s="53">
        <v>25000</v>
      </c>
      <c r="H45" s="61">
        <f t="shared" si="2"/>
        <v>300000</v>
      </c>
      <c r="I45" s="51"/>
    </row>
    <row r="46" spans="1:9" s="35" customFormat="1" ht="17.25" customHeight="1" x14ac:dyDescent="0.2">
      <c r="A46" s="34">
        <v>39</v>
      </c>
      <c r="B46" s="44"/>
      <c r="C46" s="60" t="s">
        <v>179</v>
      </c>
      <c r="D46" s="60" t="s">
        <v>111</v>
      </c>
      <c r="E46" s="52">
        <v>3</v>
      </c>
      <c r="F46" s="52" t="s">
        <v>158</v>
      </c>
      <c r="G46" s="53">
        <v>17500</v>
      </c>
      <c r="H46" s="61">
        <f t="shared" si="2"/>
        <v>52500</v>
      </c>
      <c r="I46" s="51"/>
    </row>
    <row r="47" spans="1:9" s="35" customFormat="1" ht="17.25" customHeight="1" x14ac:dyDescent="0.2">
      <c r="A47" s="34">
        <v>40</v>
      </c>
      <c r="B47" s="44"/>
      <c r="C47" s="60" t="s">
        <v>180</v>
      </c>
      <c r="D47" s="60" t="s">
        <v>111</v>
      </c>
      <c r="E47" s="52">
        <v>3</v>
      </c>
      <c r="F47" s="52" t="s">
        <v>158</v>
      </c>
      <c r="G47" s="53">
        <v>16000</v>
      </c>
      <c r="H47" s="61">
        <f t="shared" si="2"/>
        <v>48000</v>
      </c>
      <c r="I47" s="51"/>
    </row>
    <row r="48" spans="1:9" s="35" customFormat="1" ht="17.25" customHeight="1" x14ac:dyDescent="0.2">
      <c r="A48" s="34">
        <v>41</v>
      </c>
      <c r="B48" s="44"/>
      <c r="C48" s="60" t="s">
        <v>181</v>
      </c>
      <c r="D48" s="60" t="s">
        <v>111</v>
      </c>
      <c r="E48" s="52">
        <v>3</v>
      </c>
      <c r="F48" s="52" t="s">
        <v>158</v>
      </c>
      <c r="G48" s="53">
        <v>20000</v>
      </c>
      <c r="H48" s="61">
        <f t="shared" si="2"/>
        <v>60000</v>
      </c>
      <c r="I48" s="51"/>
    </row>
    <row r="49" spans="1:9" s="35" customFormat="1" ht="17.25" customHeight="1" x14ac:dyDescent="0.2">
      <c r="A49" s="34">
        <v>42</v>
      </c>
      <c r="B49" s="44"/>
      <c r="C49" s="60" t="s">
        <v>182</v>
      </c>
      <c r="D49" s="60" t="s">
        <v>111</v>
      </c>
      <c r="E49" s="52">
        <v>10</v>
      </c>
      <c r="F49" s="52" t="s">
        <v>46</v>
      </c>
      <c r="G49" s="53">
        <v>8500</v>
      </c>
      <c r="H49" s="61">
        <f t="shared" si="2"/>
        <v>85000</v>
      </c>
      <c r="I49" s="51"/>
    </row>
    <row r="50" spans="1:9" s="35" customFormat="1" ht="17.25" customHeight="1" x14ac:dyDescent="0.2">
      <c r="A50" s="34">
        <v>43</v>
      </c>
      <c r="B50" s="44"/>
      <c r="C50" s="60" t="s">
        <v>183</v>
      </c>
      <c r="D50" s="60" t="s">
        <v>116</v>
      </c>
      <c r="E50" s="52">
        <v>3</v>
      </c>
      <c r="F50" s="52" t="s">
        <v>46</v>
      </c>
      <c r="G50" s="53">
        <v>19000</v>
      </c>
      <c r="H50" s="61">
        <f t="shared" si="2"/>
        <v>57000</v>
      </c>
      <c r="I50" s="51"/>
    </row>
    <row r="51" spans="1:9" s="35" customFormat="1" ht="17.25" customHeight="1" x14ac:dyDescent="0.2">
      <c r="A51" s="34">
        <v>44</v>
      </c>
      <c r="B51" s="44"/>
      <c r="C51" s="60" t="s">
        <v>184</v>
      </c>
      <c r="D51" s="60" t="s">
        <v>116</v>
      </c>
      <c r="E51" s="52">
        <v>1</v>
      </c>
      <c r="F51" s="52" t="s">
        <v>46</v>
      </c>
      <c r="G51" s="53">
        <v>22000</v>
      </c>
      <c r="H51" s="61">
        <f t="shared" si="2"/>
        <v>22000</v>
      </c>
      <c r="I51" s="51"/>
    </row>
    <row r="52" spans="1:9" s="35" customFormat="1" ht="17.25" customHeight="1" x14ac:dyDescent="0.2">
      <c r="A52" s="34">
        <v>45</v>
      </c>
      <c r="B52" s="44"/>
      <c r="C52" s="60" t="s">
        <v>185</v>
      </c>
      <c r="D52" s="60" t="s">
        <v>116</v>
      </c>
      <c r="E52" s="52">
        <v>5</v>
      </c>
      <c r="F52" s="52" t="s">
        <v>89</v>
      </c>
      <c r="G52" s="53">
        <v>19000</v>
      </c>
      <c r="H52" s="61">
        <f t="shared" si="2"/>
        <v>95000</v>
      </c>
      <c r="I52" s="51"/>
    </row>
    <row r="53" spans="1:9" s="35" customFormat="1" ht="17.25" customHeight="1" x14ac:dyDescent="0.2">
      <c r="A53" s="34">
        <v>46</v>
      </c>
      <c r="B53" s="44"/>
      <c r="C53" s="60" t="s">
        <v>176</v>
      </c>
      <c r="D53" s="60" t="s">
        <v>112</v>
      </c>
      <c r="E53" s="52">
        <v>10</v>
      </c>
      <c r="F53" s="52" t="s">
        <v>12</v>
      </c>
      <c r="G53" s="53">
        <v>5000</v>
      </c>
      <c r="H53" s="61">
        <f t="shared" si="2"/>
        <v>50000</v>
      </c>
      <c r="I53" s="51"/>
    </row>
    <row r="54" spans="1:9" s="35" customFormat="1" ht="17.25" customHeight="1" x14ac:dyDescent="0.2">
      <c r="A54" s="34"/>
      <c r="B54" s="44"/>
      <c r="C54" s="60"/>
      <c r="D54" s="60"/>
      <c r="E54" s="52"/>
      <c r="F54" s="52"/>
      <c r="G54" s="53"/>
      <c r="H54" s="61"/>
      <c r="I54" s="51"/>
    </row>
    <row r="55" spans="1:9" s="35" customFormat="1" ht="18" customHeight="1" x14ac:dyDescent="0.2">
      <c r="A55" s="34"/>
      <c r="B55" s="46"/>
      <c r="C55" s="55" t="s">
        <v>96</v>
      </c>
      <c r="D55" s="55"/>
      <c r="E55" s="56"/>
      <c r="F55" s="46"/>
      <c r="G55" s="46"/>
      <c r="H55" s="57">
        <f>SUM(H7:H54)</f>
        <v>24315500</v>
      </c>
      <c r="I55" s="45"/>
    </row>
    <row r="56" spans="1:9" ht="18" customHeight="1" x14ac:dyDescent="0.2">
      <c r="I56" s="36">
        <v>1</v>
      </c>
    </row>
    <row r="57" spans="1:9" ht="18" customHeight="1" x14ac:dyDescent="0.2">
      <c r="I57" s="36"/>
    </row>
    <row r="58" spans="1:9" ht="18.75" customHeight="1" x14ac:dyDescent="0.2"/>
    <row r="59" spans="1:9" ht="18.75" customHeight="1" x14ac:dyDescent="0.2"/>
    <row r="60" spans="1:9" ht="18.75" customHeight="1" x14ac:dyDescent="0.2"/>
    <row r="61" spans="1:9" ht="18.75" customHeight="1" x14ac:dyDescent="0.2"/>
    <row r="62" spans="1:9" ht="18.75" customHeight="1" x14ac:dyDescent="0.2"/>
    <row r="63" spans="1:9" ht="18.75" customHeight="1" x14ac:dyDescent="0.2"/>
    <row r="64" spans="1:9" ht="18.75" customHeight="1" x14ac:dyDescent="0.2"/>
    <row r="65" spans="1:9" ht="18.75" customHeight="1" x14ac:dyDescent="0.2"/>
    <row r="66" spans="1:9" ht="18.75" customHeight="1" x14ac:dyDescent="0.2"/>
    <row r="67" spans="1:9" ht="18.75" customHeight="1" x14ac:dyDescent="0.2"/>
    <row r="68" spans="1:9" ht="18.75" customHeight="1" x14ac:dyDescent="0.2"/>
    <row r="69" spans="1:9" ht="18.75" customHeight="1" x14ac:dyDescent="0.2"/>
    <row r="70" spans="1:9" ht="18.75" customHeight="1" x14ac:dyDescent="0.2"/>
    <row r="71" spans="1:9" ht="18.75" customHeight="1" x14ac:dyDescent="0.2"/>
    <row r="72" spans="1:9" ht="18.75" customHeight="1" x14ac:dyDescent="0.2"/>
    <row r="73" spans="1:9" s="35" customFormat="1" ht="18.75" customHeight="1" x14ac:dyDescent="0.2">
      <c r="A73" s="31"/>
      <c r="B73" s="31"/>
      <c r="C73" s="31"/>
      <c r="D73" s="31"/>
      <c r="E73" s="31"/>
      <c r="F73" s="31"/>
      <c r="G73" s="31"/>
      <c r="H73" s="31"/>
      <c r="I73" s="31"/>
    </row>
    <row r="82" ht="33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5" ht="9.75" customHeight="1" x14ac:dyDescent="0.2"/>
    <row r="138" ht="6.75" customHeight="1" x14ac:dyDescent="0.2"/>
    <row r="139" ht="32.2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</sheetData>
  <autoFilter ref="D6:D55" xr:uid="{00000000-0009-0000-0000-000000000000}"/>
  <mergeCells count="3">
    <mergeCell ref="A3:I3"/>
    <mergeCell ref="A4:I4"/>
    <mergeCell ref="A1:I1"/>
  </mergeCells>
  <phoneticPr fontId="11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85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20"/>
  <sheetViews>
    <sheetView tabSelected="1" topLeftCell="J66" zoomScale="90" zoomScaleNormal="90" workbookViewId="0">
      <selection activeCell="M105" sqref="M105"/>
    </sheetView>
  </sheetViews>
  <sheetFormatPr defaultColWidth="8.7421875" defaultRowHeight="15" x14ac:dyDescent="0.2"/>
  <cols>
    <col min="2" max="2" width="4.3046875" customWidth="1"/>
    <col min="3" max="3" width="27.171875" bestFit="1" customWidth="1"/>
    <col min="5" max="5" width="13.046875" customWidth="1"/>
    <col min="6" max="6" width="12.5078125" bestFit="1" customWidth="1"/>
    <col min="7" max="7" width="12.23828125" bestFit="1" customWidth="1"/>
    <col min="8" max="8" width="10.76171875" style="11" customWidth="1"/>
    <col min="9" max="10" width="9.68359375" customWidth="1"/>
    <col min="11" max="11" width="11.1640625" customWidth="1"/>
    <col min="12" max="13" width="14.66015625" customWidth="1"/>
    <col min="14" max="15" width="15.6015625" customWidth="1"/>
    <col min="16" max="16" width="17.484375" customWidth="1"/>
  </cols>
  <sheetData>
    <row r="1" spans="2:17" ht="15.75" thickBot="1" x14ac:dyDescent="0.25"/>
    <row r="2" spans="2:17" ht="18.95" customHeight="1" x14ac:dyDescent="0.25">
      <c r="B2" s="76" t="s">
        <v>79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</row>
    <row r="3" spans="2:17" ht="18.95" customHeight="1" thickBot="1" x14ac:dyDescent="0.25">
      <c r="B3" s="79" t="s">
        <v>177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  <c r="P3" s="4"/>
      <c r="Q3" s="4"/>
    </row>
    <row r="4" spans="2:17" ht="8.1" customHeight="1" x14ac:dyDescent="0.2"/>
    <row r="5" spans="2:17" ht="13.9" customHeight="1" x14ac:dyDescent="0.2">
      <c r="M5" s="82" t="s">
        <v>117</v>
      </c>
      <c r="N5" s="82"/>
      <c r="O5" s="8">
        <f>'PB 01 sd 31 JULI 2026 '!H55</f>
        <v>24315500</v>
      </c>
    </row>
    <row r="6" spans="2:17" x14ac:dyDescent="0.2">
      <c r="M6" s="82" t="s">
        <v>80</v>
      </c>
      <c r="N6" s="82"/>
      <c r="O6" s="8">
        <f>L105+M105</f>
        <v>32726000</v>
      </c>
    </row>
    <row r="7" spans="2:17" x14ac:dyDescent="0.2">
      <c r="M7" s="82" t="s">
        <v>87</v>
      </c>
      <c r="N7" s="82"/>
      <c r="O7" s="8">
        <f>N105</f>
        <v>26267407</v>
      </c>
      <c r="P7" s="29"/>
    </row>
    <row r="8" spans="2:17" x14ac:dyDescent="0.2">
      <c r="M8" s="82" t="s">
        <v>6</v>
      </c>
      <c r="N8" s="82"/>
      <c r="O8" s="8">
        <f>O105</f>
        <v>6458593</v>
      </c>
      <c r="P8" s="30">
        <f>O8/O7</f>
        <v>0.2458785901478589</v>
      </c>
    </row>
    <row r="9" spans="2:17" x14ac:dyDescent="0.2">
      <c r="M9" s="82" t="s">
        <v>86</v>
      </c>
      <c r="N9" s="82"/>
      <c r="O9" s="8">
        <f>M105</f>
        <v>5232000</v>
      </c>
    </row>
    <row r="10" spans="2:17" x14ac:dyDescent="0.2">
      <c r="M10" s="82" t="s">
        <v>118</v>
      </c>
      <c r="N10" s="82"/>
      <c r="O10" s="8">
        <f>L105</f>
        <v>27494000</v>
      </c>
      <c r="P10" s="29"/>
    </row>
    <row r="11" spans="2:17" ht="6.6" customHeight="1" x14ac:dyDescent="0.2"/>
    <row r="12" spans="2:17" ht="26.25" customHeight="1" x14ac:dyDescent="0.2">
      <c r="B12" s="88" t="s">
        <v>0</v>
      </c>
      <c r="C12" s="88" t="s">
        <v>1</v>
      </c>
      <c r="D12" s="88" t="s">
        <v>2</v>
      </c>
      <c r="E12" s="88" t="s">
        <v>110</v>
      </c>
      <c r="F12" s="88" t="s">
        <v>81</v>
      </c>
      <c r="G12" s="88" t="s">
        <v>4</v>
      </c>
      <c r="H12" s="90" t="s">
        <v>85</v>
      </c>
      <c r="I12" s="92" t="s">
        <v>5</v>
      </c>
      <c r="J12" s="93"/>
      <c r="K12" s="90" t="s">
        <v>84</v>
      </c>
      <c r="L12" s="94" t="s">
        <v>80</v>
      </c>
      <c r="M12" s="95"/>
      <c r="N12" s="88" t="s">
        <v>3</v>
      </c>
      <c r="O12" s="88" t="s">
        <v>6</v>
      </c>
      <c r="P12" s="83" t="s">
        <v>91</v>
      </c>
    </row>
    <row r="13" spans="2:17" ht="13.5" customHeight="1" x14ac:dyDescent="0.2">
      <c r="B13" s="89"/>
      <c r="C13" s="89"/>
      <c r="D13" s="89"/>
      <c r="E13" s="89"/>
      <c r="F13" s="89"/>
      <c r="G13" s="89"/>
      <c r="H13" s="91"/>
      <c r="I13" s="1" t="s">
        <v>82</v>
      </c>
      <c r="J13" s="1" t="s">
        <v>83</v>
      </c>
      <c r="K13" s="91"/>
      <c r="L13" s="1" t="s">
        <v>82</v>
      </c>
      <c r="M13" s="1" t="s">
        <v>83</v>
      </c>
      <c r="N13" s="89"/>
      <c r="O13" s="89"/>
      <c r="P13" s="84"/>
    </row>
    <row r="14" spans="2:17" x14ac:dyDescent="0.2">
      <c r="B14" s="5">
        <f>SUBTOTAL(3,$C$14:C14)</f>
        <v>1</v>
      </c>
      <c r="C14" s="2" t="s">
        <v>98</v>
      </c>
      <c r="D14" s="6" t="s">
        <v>7</v>
      </c>
      <c r="E14" s="6" t="s">
        <v>111</v>
      </c>
      <c r="F14" s="19">
        <v>4417</v>
      </c>
      <c r="G14" s="7">
        <v>7000</v>
      </c>
      <c r="H14" s="21">
        <v>110</v>
      </c>
      <c r="I14" s="5">
        <v>35</v>
      </c>
      <c r="J14" s="5">
        <v>12</v>
      </c>
      <c r="K14" s="5">
        <f t="shared" ref="K14:K77" si="0">H14-I14-J14</f>
        <v>63</v>
      </c>
      <c r="L14" s="8">
        <f>G14*I14</f>
        <v>245000</v>
      </c>
      <c r="M14" s="8">
        <f>G14*J14</f>
        <v>84000</v>
      </c>
      <c r="N14" s="8">
        <f>F14*(J14+I14)</f>
        <v>207599</v>
      </c>
      <c r="O14" s="8">
        <f>(M14+L14)-N14</f>
        <v>121401</v>
      </c>
      <c r="P14" s="19">
        <f>K14*F14</f>
        <v>278271</v>
      </c>
    </row>
    <row r="15" spans="2:17" x14ac:dyDescent="0.2">
      <c r="B15" s="5">
        <v>2</v>
      </c>
      <c r="C15" s="3" t="s">
        <v>100</v>
      </c>
      <c r="D15" s="9" t="s">
        <v>7</v>
      </c>
      <c r="E15" s="6" t="s">
        <v>111</v>
      </c>
      <c r="F15" s="19">
        <v>2000</v>
      </c>
      <c r="G15" s="10">
        <v>5000</v>
      </c>
      <c r="H15" s="21">
        <v>326</v>
      </c>
      <c r="I15" s="5">
        <v>108</v>
      </c>
      <c r="J15" s="5">
        <v>34</v>
      </c>
      <c r="K15" s="5">
        <f t="shared" si="0"/>
        <v>184</v>
      </c>
      <c r="L15" s="8">
        <f t="shared" ref="L15:L78" si="1">G15*I15</f>
        <v>540000</v>
      </c>
      <c r="M15" s="8">
        <f t="shared" ref="M15:M78" si="2">G15*J15</f>
        <v>170000</v>
      </c>
      <c r="N15" s="8">
        <f t="shared" ref="N15:N78" si="3">F15*(J15+I15)</f>
        <v>284000</v>
      </c>
      <c r="O15" s="8">
        <f t="shared" ref="O15:O78" si="4">(M15+L15)-N15</f>
        <v>426000</v>
      </c>
      <c r="P15" s="19">
        <f t="shared" ref="P15:P78" si="5">K15*F15</f>
        <v>368000</v>
      </c>
    </row>
    <row r="16" spans="2:17" x14ac:dyDescent="0.2">
      <c r="B16" s="5">
        <v>3</v>
      </c>
      <c r="C16" s="2" t="s">
        <v>101</v>
      </c>
      <c r="D16" s="6" t="s">
        <v>8</v>
      </c>
      <c r="E16" s="6" t="s">
        <v>111</v>
      </c>
      <c r="F16" s="19">
        <v>40000</v>
      </c>
      <c r="G16" s="7">
        <v>53000</v>
      </c>
      <c r="H16" s="21">
        <v>123</v>
      </c>
      <c r="I16" s="5">
        <v>84</v>
      </c>
      <c r="J16" s="5"/>
      <c r="K16" s="5">
        <f t="shared" si="0"/>
        <v>39</v>
      </c>
      <c r="L16" s="8">
        <f t="shared" si="1"/>
        <v>4452000</v>
      </c>
      <c r="M16" s="8">
        <f t="shared" si="2"/>
        <v>0</v>
      </c>
      <c r="N16" s="8">
        <f t="shared" si="3"/>
        <v>3360000</v>
      </c>
      <c r="O16" s="8">
        <f t="shared" si="4"/>
        <v>1092000</v>
      </c>
      <c r="P16" s="19">
        <f t="shared" si="5"/>
        <v>1560000</v>
      </c>
    </row>
    <row r="17" spans="2:16" x14ac:dyDescent="0.2">
      <c r="B17" s="5">
        <v>4</v>
      </c>
      <c r="C17" s="3" t="s">
        <v>107</v>
      </c>
      <c r="D17" s="9" t="s">
        <v>8</v>
      </c>
      <c r="E17" s="6" t="s">
        <v>111</v>
      </c>
      <c r="F17" s="19">
        <v>48000</v>
      </c>
      <c r="G17" s="10">
        <v>65000</v>
      </c>
      <c r="H17" s="21"/>
      <c r="I17" s="5"/>
      <c r="J17" s="5"/>
      <c r="K17" s="5">
        <f t="shared" si="0"/>
        <v>0</v>
      </c>
      <c r="L17" s="8">
        <f t="shared" si="1"/>
        <v>0</v>
      </c>
      <c r="M17" s="8">
        <f t="shared" si="2"/>
        <v>0</v>
      </c>
      <c r="N17" s="8">
        <f t="shared" si="3"/>
        <v>0</v>
      </c>
      <c r="O17" s="8">
        <f t="shared" si="4"/>
        <v>0</v>
      </c>
      <c r="P17" s="19">
        <f t="shared" si="5"/>
        <v>0</v>
      </c>
    </row>
    <row r="18" spans="2:16" x14ac:dyDescent="0.2">
      <c r="B18" s="5">
        <v>5</v>
      </c>
      <c r="C18" s="2" t="s">
        <v>9</v>
      </c>
      <c r="D18" s="6" t="s">
        <v>10</v>
      </c>
      <c r="E18" s="6" t="s">
        <v>111</v>
      </c>
      <c r="F18" s="19">
        <v>9600</v>
      </c>
      <c r="G18" s="7">
        <v>12000</v>
      </c>
      <c r="H18" s="21"/>
      <c r="I18" s="5"/>
      <c r="J18" s="5"/>
      <c r="K18" s="5">
        <f t="shared" si="0"/>
        <v>0</v>
      </c>
      <c r="L18" s="8">
        <f t="shared" si="1"/>
        <v>0</v>
      </c>
      <c r="M18" s="8">
        <f t="shared" si="2"/>
        <v>0</v>
      </c>
      <c r="N18" s="8">
        <f t="shared" si="3"/>
        <v>0</v>
      </c>
      <c r="O18" s="8">
        <f t="shared" si="4"/>
        <v>0</v>
      </c>
      <c r="P18" s="19">
        <f t="shared" si="5"/>
        <v>0</v>
      </c>
    </row>
    <row r="19" spans="2:16" x14ac:dyDescent="0.2">
      <c r="B19" s="5">
        <v>6</v>
      </c>
      <c r="C19" s="3" t="s">
        <v>11</v>
      </c>
      <c r="D19" s="9" t="s">
        <v>12</v>
      </c>
      <c r="E19" s="6" t="s">
        <v>111</v>
      </c>
      <c r="F19" s="19"/>
      <c r="G19" s="10">
        <v>10000</v>
      </c>
      <c r="H19" s="21"/>
      <c r="I19" s="5"/>
      <c r="J19" s="5"/>
      <c r="K19" s="5">
        <f t="shared" si="0"/>
        <v>0</v>
      </c>
      <c r="L19" s="8">
        <f t="shared" si="1"/>
        <v>0</v>
      </c>
      <c r="M19" s="8">
        <f t="shared" si="2"/>
        <v>0</v>
      </c>
      <c r="N19" s="8">
        <f t="shared" si="3"/>
        <v>0</v>
      </c>
      <c r="O19" s="8">
        <f t="shared" si="4"/>
        <v>0</v>
      </c>
      <c r="P19" s="19">
        <f t="shared" si="5"/>
        <v>0</v>
      </c>
    </row>
    <row r="20" spans="2:16" x14ac:dyDescent="0.2">
      <c r="B20" s="5">
        <v>7</v>
      </c>
      <c r="C20" s="2" t="s">
        <v>13</v>
      </c>
      <c r="D20" s="6" t="s">
        <v>7</v>
      </c>
      <c r="E20" s="6" t="s">
        <v>111</v>
      </c>
      <c r="F20" s="19">
        <v>5000</v>
      </c>
      <c r="G20" s="7">
        <v>7000</v>
      </c>
      <c r="H20" s="21"/>
      <c r="I20" s="5"/>
      <c r="J20" s="5"/>
      <c r="K20" s="5">
        <f t="shared" si="0"/>
        <v>0</v>
      </c>
      <c r="L20" s="8">
        <f t="shared" si="1"/>
        <v>0</v>
      </c>
      <c r="M20" s="8">
        <f t="shared" si="2"/>
        <v>0</v>
      </c>
      <c r="N20" s="8">
        <f t="shared" si="3"/>
        <v>0</v>
      </c>
      <c r="O20" s="8">
        <f t="shared" si="4"/>
        <v>0</v>
      </c>
      <c r="P20" s="19">
        <f t="shared" si="5"/>
        <v>0</v>
      </c>
    </row>
    <row r="21" spans="2:16" x14ac:dyDescent="0.2">
      <c r="B21" s="5">
        <v>8</v>
      </c>
      <c r="C21" s="3" t="s">
        <v>14</v>
      </c>
      <c r="D21" s="9" t="s">
        <v>7</v>
      </c>
      <c r="E21" s="6" t="s">
        <v>111</v>
      </c>
      <c r="F21" s="19">
        <v>6125</v>
      </c>
      <c r="G21" s="10">
        <v>9000</v>
      </c>
      <c r="H21" s="21"/>
      <c r="I21" s="5"/>
      <c r="J21" s="5"/>
      <c r="K21" s="5">
        <f t="shared" si="0"/>
        <v>0</v>
      </c>
      <c r="L21" s="8">
        <f t="shared" si="1"/>
        <v>0</v>
      </c>
      <c r="M21" s="8">
        <f t="shared" si="2"/>
        <v>0</v>
      </c>
      <c r="N21" s="8">
        <f t="shared" si="3"/>
        <v>0</v>
      </c>
      <c r="O21" s="8">
        <f t="shared" si="4"/>
        <v>0</v>
      </c>
      <c r="P21" s="19">
        <f t="shared" si="5"/>
        <v>0</v>
      </c>
    </row>
    <row r="22" spans="2:16" x14ac:dyDescent="0.2">
      <c r="B22" s="5">
        <v>9</v>
      </c>
      <c r="C22" s="2" t="s">
        <v>15</v>
      </c>
      <c r="D22" s="6" t="s">
        <v>12</v>
      </c>
      <c r="E22" s="6" t="s">
        <v>111</v>
      </c>
      <c r="F22" s="19">
        <v>33750</v>
      </c>
      <c r="G22" s="7">
        <v>6000</v>
      </c>
      <c r="H22" s="21">
        <v>96</v>
      </c>
      <c r="I22" s="5">
        <v>73</v>
      </c>
      <c r="J22" s="5">
        <v>11</v>
      </c>
      <c r="K22" s="5">
        <f t="shared" si="0"/>
        <v>12</v>
      </c>
      <c r="L22" s="8">
        <f t="shared" si="1"/>
        <v>438000</v>
      </c>
      <c r="M22" s="8">
        <f t="shared" si="2"/>
        <v>66000</v>
      </c>
      <c r="N22" s="8">
        <f t="shared" si="3"/>
        <v>2835000</v>
      </c>
      <c r="O22" s="8">
        <f t="shared" si="4"/>
        <v>-2331000</v>
      </c>
      <c r="P22" s="19">
        <f t="shared" si="5"/>
        <v>405000</v>
      </c>
    </row>
    <row r="23" spans="2:16" x14ac:dyDescent="0.2">
      <c r="B23" s="5">
        <v>10</v>
      </c>
      <c r="C23" s="3" t="s">
        <v>16</v>
      </c>
      <c r="D23" s="9" t="s">
        <v>12</v>
      </c>
      <c r="E23" s="6" t="s">
        <v>111</v>
      </c>
      <c r="F23" s="19"/>
      <c r="G23" s="10">
        <v>6000</v>
      </c>
      <c r="H23" s="21"/>
      <c r="I23" s="5"/>
      <c r="J23" s="5"/>
      <c r="K23" s="5">
        <f t="shared" si="0"/>
        <v>0</v>
      </c>
      <c r="L23" s="8">
        <f t="shared" si="1"/>
        <v>0</v>
      </c>
      <c r="M23" s="8">
        <f t="shared" si="2"/>
        <v>0</v>
      </c>
      <c r="N23" s="8">
        <f t="shared" si="3"/>
        <v>0</v>
      </c>
      <c r="O23" s="8">
        <f t="shared" si="4"/>
        <v>0</v>
      </c>
      <c r="P23" s="19">
        <f t="shared" si="5"/>
        <v>0</v>
      </c>
    </row>
    <row r="24" spans="2:16" x14ac:dyDescent="0.2">
      <c r="B24" s="5">
        <v>11</v>
      </c>
      <c r="C24" s="2" t="s">
        <v>102</v>
      </c>
      <c r="D24" s="6" t="s">
        <v>12</v>
      </c>
      <c r="E24" s="6" t="s">
        <v>111</v>
      </c>
      <c r="F24" s="19">
        <v>6210</v>
      </c>
      <c r="G24" s="7">
        <v>9000</v>
      </c>
      <c r="H24" s="21">
        <v>48</v>
      </c>
      <c r="I24" s="5">
        <v>41</v>
      </c>
      <c r="J24" s="5">
        <v>7</v>
      </c>
      <c r="K24" s="5">
        <f t="shared" si="0"/>
        <v>0</v>
      </c>
      <c r="L24" s="8">
        <f t="shared" si="1"/>
        <v>369000</v>
      </c>
      <c r="M24" s="8">
        <f t="shared" si="2"/>
        <v>63000</v>
      </c>
      <c r="N24" s="8">
        <f t="shared" si="3"/>
        <v>298080</v>
      </c>
      <c r="O24" s="8">
        <f t="shared" si="4"/>
        <v>133920</v>
      </c>
      <c r="P24" s="19">
        <f t="shared" si="5"/>
        <v>0</v>
      </c>
    </row>
    <row r="25" spans="2:16" x14ac:dyDescent="0.2">
      <c r="B25" s="5">
        <v>12</v>
      </c>
      <c r="C25" s="3" t="s">
        <v>17</v>
      </c>
      <c r="D25" s="9" t="s">
        <v>10</v>
      </c>
      <c r="E25" s="6" t="s">
        <v>111</v>
      </c>
      <c r="F25" s="19">
        <v>5420</v>
      </c>
      <c r="G25" s="10">
        <v>8000</v>
      </c>
      <c r="H25" s="21"/>
      <c r="I25" s="5"/>
      <c r="J25" s="5"/>
      <c r="K25" s="5">
        <f t="shared" si="0"/>
        <v>0</v>
      </c>
      <c r="L25" s="8">
        <f t="shared" si="1"/>
        <v>0</v>
      </c>
      <c r="M25" s="8">
        <f t="shared" si="2"/>
        <v>0</v>
      </c>
      <c r="N25" s="8">
        <f t="shared" si="3"/>
        <v>0</v>
      </c>
      <c r="O25" s="8">
        <f t="shared" si="4"/>
        <v>0</v>
      </c>
      <c r="P25" s="19">
        <f t="shared" si="5"/>
        <v>0</v>
      </c>
    </row>
    <row r="26" spans="2:16" x14ac:dyDescent="0.2">
      <c r="B26" s="5">
        <v>13</v>
      </c>
      <c r="C26" s="2" t="s">
        <v>18</v>
      </c>
      <c r="D26" s="6" t="s">
        <v>7</v>
      </c>
      <c r="E26" s="6" t="s">
        <v>111</v>
      </c>
      <c r="F26" s="19">
        <v>3850</v>
      </c>
      <c r="G26" s="7">
        <v>6000</v>
      </c>
      <c r="H26" s="21"/>
      <c r="I26" s="5"/>
      <c r="J26" s="5"/>
      <c r="K26" s="5">
        <f t="shared" si="0"/>
        <v>0</v>
      </c>
      <c r="L26" s="8">
        <f t="shared" si="1"/>
        <v>0</v>
      </c>
      <c r="M26" s="8">
        <f t="shared" si="2"/>
        <v>0</v>
      </c>
      <c r="N26" s="8">
        <f t="shared" si="3"/>
        <v>0</v>
      </c>
      <c r="O26" s="8">
        <f t="shared" si="4"/>
        <v>0</v>
      </c>
      <c r="P26" s="19">
        <f t="shared" si="5"/>
        <v>0</v>
      </c>
    </row>
    <row r="27" spans="2:16" x14ac:dyDescent="0.2">
      <c r="B27" s="5">
        <v>14</v>
      </c>
      <c r="C27" s="3" t="s">
        <v>19</v>
      </c>
      <c r="D27" s="9" t="s">
        <v>7</v>
      </c>
      <c r="E27" s="6" t="s">
        <v>111</v>
      </c>
      <c r="F27" s="19">
        <v>5420</v>
      </c>
      <c r="G27" s="10">
        <v>8000</v>
      </c>
      <c r="H27" s="21"/>
      <c r="I27" s="5"/>
      <c r="J27" s="5"/>
      <c r="K27" s="5">
        <f t="shared" si="0"/>
        <v>0</v>
      </c>
      <c r="L27" s="8">
        <f t="shared" si="1"/>
        <v>0</v>
      </c>
      <c r="M27" s="8">
        <f t="shared" si="2"/>
        <v>0</v>
      </c>
      <c r="N27" s="8">
        <f t="shared" si="3"/>
        <v>0</v>
      </c>
      <c r="O27" s="8">
        <f t="shared" si="4"/>
        <v>0</v>
      </c>
      <c r="P27" s="19">
        <f t="shared" si="5"/>
        <v>0</v>
      </c>
    </row>
    <row r="28" spans="2:16" x14ac:dyDescent="0.2">
      <c r="B28" s="5">
        <v>15</v>
      </c>
      <c r="C28" s="2" t="s">
        <v>20</v>
      </c>
      <c r="D28" s="6" t="s">
        <v>7</v>
      </c>
      <c r="E28" s="6" t="s">
        <v>111</v>
      </c>
      <c r="F28" s="19">
        <v>5500</v>
      </c>
      <c r="G28" s="7">
        <v>8000</v>
      </c>
      <c r="H28" s="21"/>
      <c r="I28" s="5"/>
      <c r="J28" s="5"/>
      <c r="K28" s="5">
        <f t="shared" si="0"/>
        <v>0</v>
      </c>
      <c r="L28" s="8">
        <f t="shared" si="1"/>
        <v>0</v>
      </c>
      <c r="M28" s="8">
        <f t="shared" si="2"/>
        <v>0</v>
      </c>
      <c r="N28" s="8">
        <f t="shared" si="3"/>
        <v>0</v>
      </c>
      <c r="O28" s="8">
        <f t="shared" si="4"/>
        <v>0</v>
      </c>
      <c r="P28" s="19">
        <f t="shared" si="5"/>
        <v>0</v>
      </c>
    </row>
    <row r="29" spans="2:16" x14ac:dyDescent="0.2">
      <c r="B29" s="5">
        <v>16</v>
      </c>
      <c r="C29" s="3" t="s">
        <v>21</v>
      </c>
      <c r="D29" s="9" t="s">
        <v>7</v>
      </c>
      <c r="E29" s="6" t="s">
        <v>111</v>
      </c>
      <c r="F29" s="19"/>
      <c r="G29" s="10">
        <v>7000</v>
      </c>
      <c r="H29" s="21"/>
      <c r="I29" s="5"/>
      <c r="J29" s="5"/>
      <c r="K29" s="5">
        <f t="shared" si="0"/>
        <v>0</v>
      </c>
      <c r="L29" s="8">
        <f t="shared" si="1"/>
        <v>0</v>
      </c>
      <c r="M29" s="8">
        <f t="shared" si="2"/>
        <v>0</v>
      </c>
      <c r="N29" s="8">
        <f t="shared" si="3"/>
        <v>0</v>
      </c>
      <c r="O29" s="8">
        <f t="shared" si="4"/>
        <v>0</v>
      </c>
      <c r="P29" s="19">
        <f t="shared" si="5"/>
        <v>0</v>
      </c>
    </row>
    <row r="30" spans="2:16" x14ac:dyDescent="0.2">
      <c r="B30" s="5">
        <v>17</v>
      </c>
      <c r="C30" s="2" t="s">
        <v>22</v>
      </c>
      <c r="D30" s="6" t="s">
        <v>7</v>
      </c>
      <c r="E30" s="6" t="s">
        <v>111</v>
      </c>
      <c r="F30" s="19">
        <v>4700</v>
      </c>
      <c r="G30" s="7">
        <v>7000</v>
      </c>
      <c r="H30" s="21">
        <v>4</v>
      </c>
      <c r="I30" s="5"/>
      <c r="J30" s="5">
        <v>4</v>
      </c>
      <c r="K30" s="5">
        <f t="shared" si="0"/>
        <v>0</v>
      </c>
      <c r="L30" s="8">
        <f t="shared" si="1"/>
        <v>0</v>
      </c>
      <c r="M30" s="8">
        <f t="shared" si="2"/>
        <v>28000</v>
      </c>
      <c r="N30" s="8">
        <f t="shared" si="3"/>
        <v>18800</v>
      </c>
      <c r="O30" s="8">
        <f t="shared" si="4"/>
        <v>9200</v>
      </c>
      <c r="P30" s="19">
        <f t="shared" si="5"/>
        <v>0</v>
      </c>
    </row>
    <row r="31" spans="2:16" x14ac:dyDescent="0.2">
      <c r="B31" s="5">
        <v>18</v>
      </c>
      <c r="C31" s="3" t="s">
        <v>23</v>
      </c>
      <c r="D31" s="9" t="s">
        <v>12</v>
      </c>
      <c r="E31" s="6" t="s">
        <v>111</v>
      </c>
      <c r="F31" s="19">
        <v>1940</v>
      </c>
      <c r="G31" s="10">
        <v>4000</v>
      </c>
      <c r="H31" s="21"/>
      <c r="I31" s="5"/>
      <c r="J31" s="5"/>
      <c r="K31" s="5">
        <f t="shared" si="0"/>
        <v>0</v>
      </c>
      <c r="L31" s="8">
        <f t="shared" si="1"/>
        <v>0</v>
      </c>
      <c r="M31" s="8">
        <f t="shared" si="2"/>
        <v>0</v>
      </c>
      <c r="N31" s="8">
        <f t="shared" si="3"/>
        <v>0</v>
      </c>
      <c r="O31" s="8">
        <f t="shared" si="4"/>
        <v>0</v>
      </c>
      <c r="P31" s="19">
        <f t="shared" si="5"/>
        <v>0</v>
      </c>
    </row>
    <row r="32" spans="2:16" x14ac:dyDescent="0.2">
      <c r="B32" s="5">
        <v>19</v>
      </c>
      <c r="C32" s="2" t="s">
        <v>106</v>
      </c>
      <c r="D32" s="6" t="s">
        <v>12</v>
      </c>
      <c r="E32" s="6" t="s">
        <v>111</v>
      </c>
      <c r="F32" s="19">
        <v>19000</v>
      </c>
      <c r="G32" s="7">
        <v>26000</v>
      </c>
      <c r="H32" s="21">
        <v>217</v>
      </c>
      <c r="I32" s="5">
        <v>209</v>
      </c>
      <c r="J32" s="5"/>
      <c r="K32" s="5">
        <f t="shared" si="0"/>
        <v>8</v>
      </c>
      <c r="L32" s="8">
        <f t="shared" si="1"/>
        <v>5434000</v>
      </c>
      <c r="M32" s="8">
        <f t="shared" si="2"/>
        <v>0</v>
      </c>
      <c r="N32" s="8">
        <f t="shared" si="3"/>
        <v>3971000</v>
      </c>
      <c r="O32" s="8">
        <f t="shared" si="4"/>
        <v>1463000</v>
      </c>
      <c r="P32" s="19">
        <f t="shared" si="5"/>
        <v>152000</v>
      </c>
    </row>
    <row r="33" spans="2:16" x14ac:dyDescent="0.2">
      <c r="B33" s="5">
        <v>20</v>
      </c>
      <c r="C33" s="3" t="s">
        <v>90</v>
      </c>
      <c r="D33" s="9" t="s">
        <v>12</v>
      </c>
      <c r="E33" s="6" t="s">
        <v>111</v>
      </c>
      <c r="F33" s="19"/>
      <c r="G33" s="10"/>
      <c r="H33" s="21"/>
      <c r="I33" s="5"/>
      <c r="J33" s="5"/>
      <c r="K33" s="5">
        <f t="shared" si="0"/>
        <v>0</v>
      </c>
      <c r="L33" s="8">
        <f t="shared" si="1"/>
        <v>0</v>
      </c>
      <c r="M33" s="8">
        <f t="shared" si="2"/>
        <v>0</v>
      </c>
      <c r="N33" s="8">
        <f t="shared" si="3"/>
        <v>0</v>
      </c>
      <c r="O33" s="8">
        <f t="shared" si="4"/>
        <v>0</v>
      </c>
      <c r="P33" s="19">
        <f t="shared" si="5"/>
        <v>0</v>
      </c>
    </row>
    <row r="34" spans="2:16" x14ac:dyDescent="0.2">
      <c r="B34" s="5">
        <v>21</v>
      </c>
      <c r="C34" s="2" t="s">
        <v>90</v>
      </c>
      <c r="D34" s="6" t="s">
        <v>12</v>
      </c>
      <c r="E34" s="6" t="s">
        <v>111</v>
      </c>
      <c r="F34" s="19">
        <v>30560</v>
      </c>
      <c r="G34" s="7">
        <v>45000</v>
      </c>
      <c r="H34" s="21"/>
      <c r="I34" s="5"/>
      <c r="J34" s="5"/>
      <c r="K34" s="5">
        <f t="shared" si="0"/>
        <v>0</v>
      </c>
      <c r="L34" s="8">
        <f t="shared" si="1"/>
        <v>0</v>
      </c>
      <c r="M34" s="8">
        <f t="shared" si="2"/>
        <v>0</v>
      </c>
      <c r="N34" s="8">
        <f t="shared" si="3"/>
        <v>0</v>
      </c>
      <c r="O34" s="8">
        <f t="shared" si="4"/>
        <v>0</v>
      </c>
      <c r="P34" s="19">
        <f t="shared" si="5"/>
        <v>0</v>
      </c>
    </row>
    <row r="35" spans="2:16" x14ac:dyDescent="0.2">
      <c r="B35" s="5">
        <v>22</v>
      </c>
      <c r="C35" s="3" t="s">
        <v>24</v>
      </c>
      <c r="D35" s="9" t="s">
        <v>25</v>
      </c>
      <c r="E35" s="6" t="s">
        <v>111</v>
      </c>
      <c r="F35" s="19">
        <v>1329</v>
      </c>
      <c r="G35" s="10">
        <v>6000</v>
      </c>
      <c r="H35" s="21"/>
      <c r="I35" s="5"/>
      <c r="J35" s="5"/>
      <c r="K35" s="5">
        <f t="shared" si="0"/>
        <v>0</v>
      </c>
      <c r="L35" s="8">
        <f t="shared" si="1"/>
        <v>0</v>
      </c>
      <c r="M35" s="8">
        <f t="shared" si="2"/>
        <v>0</v>
      </c>
      <c r="N35" s="8">
        <f t="shared" si="3"/>
        <v>0</v>
      </c>
      <c r="O35" s="8">
        <f t="shared" si="4"/>
        <v>0</v>
      </c>
      <c r="P35" s="19">
        <f t="shared" si="5"/>
        <v>0</v>
      </c>
    </row>
    <row r="36" spans="2:16" x14ac:dyDescent="0.2">
      <c r="B36" s="5">
        <v>23</v>
      </c>
      <c r="C36" s="2" t="s">
        <v>26</v>
      </c>
      <c r="D36" s="6" t="s">
        <v>25</v>
      </c>
      <c r="E36" s="6" t="s">
        <v>111</v>
      </c>
      <c r="F36" s="19">
        <v>2100</v>
      </c>
      <c r="G36" s="7">
        <v>5000</v>
      </c>
      <c r="H36" s="21">
        <v>95</v>
      </c>
      <c r="I36" s="5">
        <v>50</v>
      </c>
      <c r="J36" s="5">
        <v>20</v>
      </c>
      <c r="K36" s="5">
        <f t="shared" si="0"/>
        <v>25</v>
      </c>
      <c r="L36" s="8">
        <f t="shared" si="1"/>
        <v>250000</v>
      </c>
      <c r="M36" s="8">
        <f t="shared" si="2"/>
        <v>100000</v>
      </c>
      <c r="N36" s="8">
        <f t="shared" si="3"/>
        <v>147000</v>
      </c>
      <c r="O36" s="8">
        <f t="shared" si="4"/>
        <v>203000</v>
      </c>
      <c r="P36" s="19">
        <f t="shared" si="5"/>
        <v>52500</v>
      </c>
    </row>
    <row r="37" spans="2:16" x14ac:dyDescent="0.2">
      <c r="B37" s="5">
        <v>24</v>
      </c>
      <c r="C37" s="3" t="s">
        <v>27</v>
      </c>
      <c r="D37" s="9" t="s">
        <v>25</v>
      </c>
      <c r="E37" s="6" t="s">
        <v>111</v>
      </c>
      <c r="F37" s="19">
        <v>2000</v>
      </c>
      <c r="G37" s="10">
        <v>5000</v>
      </c>
      <c r="H37" s="21">
        <v>108</v>
      </c>
      <c r="I37" s="5">
        <v>60</v>
      </c>
      <c r="J37" s="5">
        <v>9</v>
      </c>
      <c r="K37" s="5">
        <f t="shared" si="0"/>
        <v>39</v>
      </c>
      <c r="L37" s="8">
        <f t="shared" si="1"/>
        <v>300000</v>
      </c>
      <c r="M37" s="8">
        <f t="shared" si="2"/>
        <v>45000</v>
      </c>
      <c r="N37" s="8">
        <f t="shared" si="3"/>
        <v>138000</v>
      </c>
      <c r="O37" s="8">
        <f t="shared" si="4"/>
        <v>207000</v>
      </c>
      <c r="P37" s="19">
        <f t="shared" si="5"/>
        <v>78000</v>
      </c>
    </row>
    <row r="38" spans="2:16" x14ac:dyDescent="0.2">
      <c r="B38" s="5">
        <v>25</v>
      </c>
      <c r="C38" s="2" t="s">
        <v>28</v>
      </c>
      <c r="D38" s="6" t="s">
        <v>25</v>
      </c>
      <c r="E38" s="6" t="s">
        <v>111</v>
      </c>
      <c r="F38" s="19">
        <v>1750</v>
      </c>
      <c r="G38" s="7">
        <v>5000</v>
      </c>
      <c r="H38" s="21">
        <v>110</v>
      </c>
      <c r="I38" s="5">
        <v>67</v>
      </c>
      <c r="J38" s="5">
        <v>17</v>
      </c>
      <c r="K38" s="5">
        <f t="shared" si="0"/>
        <v>26</v>
      </c>
      <c r="L38" s="8">
        <f t="shared" si="1"/>
        <v>335000</v>
      </c>
      <c r="M38" s="8">
        <f t="shared" si="2"/>
        <v>85000</v>
      </c>
      <c r="N38" s="8">
        <f t="shared" si="3"/>
        <v>147000</v>
      </c>
      <c r="O38" s="8">
        <f t="shared" si="4"/>
        <v>273000</v>
      </c>
      <c r="P38" s="19">
        <f t="shared" si="5"/>
        <v>45500</v>
      </c>
    </row>
    <row r="39" spans="2:16" x14ac:dyDescent="0.2">
      <c r="B39" s="5">
        <v>26</v>
      </c>
      <c r="C39" s="3" t="s">
        <v>29</v>
      </c>
      <c r="D39" s="9" t="s">
        <v>25</v>
      </c>
      <c r="E39" s="6" t="s">
        <v>111</v>
      </c>
      <c r="F39" s="19">
        <v>1800</v>
      </c>
      <c r="G39" s="10">
        <v>5000</v>
      </c>
      <c r="H39" s="21">
        <v>54</v>
      </c>
      <c r="I39" s="5">
        <v>17</v>
      </c>
      <c r="J39" s="5">
        <v>13</v>
      </c>
      <c r="K39" s="5">
        <f t="shared" si="0"/>
        <v>24</v>
      </c>
      <c r="L39" s="8">
        <f t="shared" si="1"/>
        <v>85000</v>
      </c>
      <c r="M39" s="8">
        <f t="shared" si="2"/>
        <v>65000</v>
      </c>
      <c r="N39" s="8">
        <f t="shared" si="3"/>
        <v>54000</v>
      </c>
      <c r="O39" s="8">
        <f t="shared" si="4"/>
        <v>96000</v>
      </c>
      <c r="P39" s="19">
        <f t="shared" si="5"/>
        <v>43200</v>
      </c>
    </row>
    <row r="40" spans="2:16" x14ac:dyDescent="0.2">
      <c r="B40" s="5">
        <v>27</v>
      </c>
      <c r="C40" s="2" t="s">
        <v>30</v>
      </c>
      <c r="D40" s="6" t="s">
        <v>25</v>
      </c>
      <c r="E40" s="6" t="s">
        <v>111</v>
      </c>
      <c r="F40" s="19">
        <v>1500</v>
      </c>
      <c r="G40" s="7">
        <v>5000</v>
      </c>
      <c r="H40" s="21">
        <v>30</v>
      </c>
      <c r="I40" s="5"/>
      <c r="J40" s="5">
        <v>2</v>
      </c>
      <c r="K40" s="5">
        <f t="shared" si="0"/>
        <v>28</v>
      </c>
      <c r="L40" s="8">
        <f t="shared" si="1"/>
        <v>0</v>
      </c>
      <c r="M40" s="8">
        <f t="shared" si="2"/>
        <v>10000</v>
      </c>
      <c r="N40" s="8">
        <f t="shared" si="3"/>
        <v>3000</v>
      </c>
      <c r="O40" s="8">
        <f t="shared" si="4"/>
        <v>7000</v>
      </c>
      <c r="P40" s="19">
        <f t="shared" si="5"/>
        <v>42000</v>
      </c>
    </row>
    <row r="41" spans="2:16" x14ac:dyDescent="0.2">
      <c r="B41" s="5">
        <v>28</v>
      </c>
      <c r="C41" s="3" t="s">
        <v>31</v>
      </c>
      <c r="D41" s="9" t="s">
        <v>25</v>
      </c>
      <c r="E41" s="6" t="s">
        <v>111</v>
      </c>
      <c r="F41" s="19">
        <v>1500</v>
      </c>
      <c r="G41" s="10">
        <v>5000</v>
      </c>
      <c r="H41" s="21">
        <v>17</v>
      </c>
      <c r="I41" s="5">
        <v>4</v>
      </c>
      <c r="J41" s="5">
        <v>3</v>
      </c>
      <c r="K41" s="5">
        <f t="shared" si="0"/>
        <v>10</v>
      </c>
      <c r="L41" s="8">
        <f t="shared" si="1"/>
        <v>20000</v>
      </c>
      <c r="M41" s="8">
        <f t="shared" si="2"/>
        <v>15000</v>
      </c>
      <c r="N41" s="8">
        <f t="shared" si="3"/>
        <v>10500</v>
      </c>
      <c r="O41" s="8">
        <f t="shared" si="4"/>
        <v>24500</v>
      </c>
      <c r="P41" s="19">
        <f t="shared" si="5"/>
        <v>15000</v>
      </c>
    </row>
    <row r="42" spans="2:16" x14ac:dyDescent="0.2">
      <c r="B42" s="5">
        <v>29</v>
      </c>
      <c r="C42" s="2" t="s">
        <v>32</v>
      </c>
      <c r="D42" s="6" t="s">
        <v>25</v>
      </c>
      <c r="E42" s="6" t="s">
        <v>111</v>
      </c>
      <c r="F42" s="19">
        <v>1800</v>
      </c>
      <c r="G42" s="7">
        <v>5000</v>
      </c>
      <c r="H42" s="21">
        <v>21</v>
      </c>
      <c r="I42" s="5"/>
      <c r="J42" s="5">
        <v>6</v>
      </c>
      <c r="K42" s="5">
        <f t="shared" si="0"/>
        <v>15</v>
      </c>
      <c r="L42" s="8">
        <f t="shared" si="1"/>
        <v>0</v>
      </c>
      <c r="M42" s="8">
        <f t="shared" si="2"/>
        <v>30000</v>
      </c>
      <c r="N42" s="8">
        <f t="shared" si="3"/>
        <v>10800</v>
      </c>
      <c r="O42" s="8">
        <f t="shared" si="4"/>
        <v>19200</v>
      </c>
      <c r="P42" s="19">
        <f t="shared" si="5"/>
        <v>27000</v>
      </c>
    </row>
    <row r="43" spans="2:16" x14ac:dyDescent="0.2">
      <c r="B43" s="5">
        <v>30</v>
      </c>
      <c r="C43" s="3" t="s">
        <v>104</v>
      </c>
      <c r="D43" s="9" t="s">
        <v>25</v>
      </c>
      <c r="E43" s="6" t="s">
        <v>111</v>
      </c>
      <c r="F43" s="19">
        <v>2300</v>
      </c>
      <c r="G43" s="10">
        <v>5000</v>
      </c>
      <c r="H43" s="21">
        <v>94</v>
      </c>
      <c r="I43" s="5">
        <v>46</v>
      </c>
      <c r="J43" s="5">
        <v>11</v>
      </c>
      <c r="K43" s="5">
        <f t="shared" si="0"/>
        <v>37</v>
      </c>
      <c r="L43" s="8">
        <f t="shared" si="1"/>
        <v>230000</v>
      </c>
      <c r="M43" s="8">
        <f t="shared" si="2"/>
        <v>55000</v>
      </c>
      <c r="N43" s="8">
        <f t="shared" si="3"/>
        <v>131100</v>
      </c>
      <c r="O43" s="8">
        <f t="shared" si="4"/>
        <v>153900</v>
      </c>
      <c r="P43" s="19">
        <f t="shared" si="5"/>
        <v>85100</v>
      </c>
    </row>
    <row r="44" spans="2:16" x14ac:dyDescent="0.2">
      <c r="B44" s="5">
        <v>31</v>
      </c>
      <c r="C44" s="2" t="s">
        <v>105</v>
      </c>
      <c r="D44" s="6" t="s">
        <v>25</v>
      </c>
      <c r="E44" s="6" t="s">
        <v>111</v>
      </c>
      <c r="F44" s="19">
        <v>1417</v>
      </c>
      <c r="G44" s="7">
        <v>5000</v>
      </c>
      <c r="H44" s="21">
        <v>85</v>
      </c>
      <c r="I44" s="5">
        <v>70</v>
      </c>
      <c r="J44" s="5">
        <v>9</v>
      </c>
      <c r="K44" s="5">
        <f t="shared" si="0"/>
        <v>6</v>
      </c>
      <c r="L44" s="8">
        <f t="shared" si="1"/>
        <v>350000</v>
      </c>
      <c r="M44" s="8">
        <f t="shared" si="2"/>
        <v>45000</v>
      </c>
      <c r="N44" s="8">
        <f t="shared" si="3"/>
        <v>111943</v>
      </c>
      <c r="O44" s="8">
        <f t="shared" si="4"/>
        <v>283057</v>
      </c>
      <c r="P44" s="19">
        <f t="shared" si="5"/>
        <v>8502</v>
      </c>
    </row>
    <row r="45" spans="2:16" x14ac:dyDescent="0.2">
      <c r="B45" s="5">
        <v>32</v>
      </c>
      <c r="C45" s="3" t="s">
        <v>131</v>
      </c>
      <c r="D45" s="9" t="s">
        <v>25</v>
      </c>
      <c r="E45" s="6" t="s">
        <v>111</v>
      </c>
      <c r="F45" s="19">
        <v>1000</v>
      </c>
      <c r="G45" s="10">
        <v>5000</v>
      </c>
      <c r="H45" s="21">
        <v>74</v>
      </c>
      <c r="I45" s="5">
        <v>16</v>
      </c>
      <c r="J45" s="5">
        <v>17</v>
      </c>
      <c r="K45" s="5">
        <f t="shared" si="0"/>
        <v>41</v>
      </c>
      <c r="L45" s="8">
        <f t="shared" si="1"/>
        <v>80000</v>
      </c>
      <c r="M45" s="8">
        <f t="shared" si="2"/>
        <v>85000</v>
      </c>
      <c r="N45" s="8">
        <f t="shared" si="3"/>
        <v>33000</v>
      </c>
      <c r="O45" s="8">
        <f t="shared" si="4"/>
        <v>132000</v>
      </c>
      <c r="P45" s="19">
        <f t="shared" si="5"/>
        <v>41000</v>
      </c>
    </row>
    <row r="46" spans="2:16" x14ac:dyDescent="0.2">
      <c r="B46" s="5">
        <v>33</v>
      </c>
      <c r="C46" s="2" t="s">
        <v>33</v>
      </c>
      <c r="D46" s="6" t="s">
        <v>25</v>
      </c>
      <c r="E46" s="6" t="s">
        <v>111</v>
      </c>
      <c r="F46" s="19"/>
      <c r="G46" s="7">
        <v>5000</v>
      </c>
      <c r="H46" s="21"/>
      <c r="I46" s="5"/>
      <c r="J46" s="5"/>
      <c r="K46" s="5">
        <f t="shared" si="0"/>
        <v>0</v>
      </c>
      <c r="L46" s="8">
        <f t="shared" si="1"/>
        <v>0</v>
      </c>
      <c r="M46" s="8">
        <f t="shared" si="2"/>
        <v>0</v>
      </c>
      <c r="N46" s="8">
        <f t="shared" si="3"/>
        <v>0</v>
      </c>
      <c r="O46" s="8">
        <f t="shared" si="4"/>
        <v>0</v>
      </c>
      <c r="P46" s="19">
        <f t="shared" si="5"/>
        <v>0</v>
      </c>
    </row>
    <row r="47" spans="2:16" x14ac:dyDescent="0.2">
      <c r="B47" s="5">
        <v>34</v>
      </c>
      <c r="C47" s="3" t="s">
        <v>38</v>
      </c>
      <c r="D47" s="9" t="s">
        <v>12</v>
      </c>
      <c r="E47" s="6" t="s">
        <v>111</v>
      </c>
      <c r="F47" s="19"/>
      <c r="G47" s="10"/>
      <c r="H47" s="21">
        <v>11</v>
      </c>
      <c r="I47" s="5">
        <v>4</v>
      </c>
      <c r="J47" s="5"/>
      <c r="K47" s="5">
        <f t="shared" si="0"/>
        <v>7</v>
      </c>
      <c r="L47" s="8">
        <f t="shared" si="1"/>
        <v>0</v>
      </c>
      <c r="M47" s="8">
        <f t="shared" si="2"/>
        <v>0</v>
      </c>
      <c r="N47" s="8">
        <f t="shared" si="3"/>
        <v>0</v>
      </c>
      <c r="O47" s="8">
        <f t="shared" si="4"/>
        <v>0</v>
      </c>
      <c r="P47" s="19">
        <f t="shared" si="5"/>
        <v>0</v>
      </c>
    </row>
    <row r="48" spans="2:16" x14ac:dyDescent="0.2">
      <c r="B48" s="5">
        <v>35</v>
      </c>
      <c r="C48" s="2" t="s">
        <v>34</v>
      </c>
      <c r="D48" s="6" t="s">
        <v>25</v>
      </c>
      <c r="E48" s="6" t="s">
        <v>111</v>
      </c>
      <c r="F48" s="19">
        <v>200</v>
      </c>
      <c r="G48" s="7">
        <v>5000</v>
      </c>
      <c r="H48" s="21">
        <v>142</v>
      </c>
      <c r="I48" s="5">
        <v>36</v>
      </c>
      <c r="J48" s="5">
        <v>31</v>
      </c>
      <c r="K48" s="5"/>
      <c r="L48" s="8">
        <f t="shared" si="1"/>
        <v>180000</v>
      </c>
      <c r="M48" s="8">
        <f t="shared" si="2"/>
        <v>155000</v>
      </c>
      <c r="N48" s="8">
        <f t="shared" si="3"/>
        <v>13400</v>
      </c>
      <c r="O48" s="8">
        <f t="shared" si="4"/>
        <v>321600</v>
      </c>
      <c r="P48" s="19">
        <f t="shared" si="5"/>
        <v>0</v>
      </c>
    </row>
    <row r="49" spans="2:16" x14ac:dyDescent="0.2">
      <c r="B49" s="5">
        <v>36</v>
      </c>
      <c r="C49" s="3" t="s">
        <v>35</v>
      </c>
      <c r="D49" s="9" t="s">
        <v>25</v>
      </c>
      <c r="E49" s="6" t="s">
        <v>111</v>
      </c>
      <c r="F49" s="19">
        <v>200</v>
      </c>
      <c r="G49" s="10">
        <v>2000</v>
      </c>
      <c r="H49" s="21">
        <v>75</v>
      </c>
      <c r="I49" s="5">
        <v>12</v>
      </c>
      <c r="J49" s="5">
        <v>32</v>
      </c>
      <c r="K49" s="5">
        <f t="shared" si="0"/>
        <v>31</v>
      </c>
      <c r="L49" s="8">
        <f t="shared" si="1"/>
        <v>24000</v>
      </c>
      <c r="M49" s="8">
        <f t="shared" si="2"/>
        <v>64000</v>
      </c>
      <c r="N49" s="8">
        <f t="shared" si="3"/>
        <v>8800</v>
      </c>
      <c r="O49" s="8">
        <f t="shared" si="4"/>
        <v>79200</v>
      </c>
      <c r="P49" s="19">
        <f t="shared" si="5"/>
        <v>6200</v>
      </c>
    </row>
    <row r="50" spans="2:16" x14ac:dyDescent="0.2">
      <c r="B50" s="5">
        <v>37</v>
      </c>
      <c r="C50" s="2" t="s">
        <v>36</v>
      </c>
      <c r="D50" s="6" t="s">
        <v>25</v>
      </c>
      <c r="E50" s="6" t="s">
        <v>111</v>
      </c>
      <c r="F50" s="19">
        <v>990</v>
      </c>
      <c r="G50" s="7">
        <v>5000</v>
      </c>
      <c r="H50" s="21">
        <v>62</v>
      </c>
      <c r="I50" s="5">
        <v>48</v>
      </c>
      <c r="J50" s="5">
        <v>14</v>
      </c>
      <c r="K50" s="5">
        <f t="shared" si="0"/>
        <v>0</v>
      </c>
      <c r="L50" s="8">
        <f t="shared" si="1"/>
        <v>240000</v>
      </c>
      <c r="M50" s="8">
        <f t="shared" si="2"/>
        <v>70000</v>
      </c>
      <c r="N50" s="8">
        <f t="shared" si="3"/>
        <v>61380</v>
      </c>
      <c r="O50" s="8">
        <f t="shared" si="4"/>
        <v>248620</v>
      </c>
      <c r="P50" s="19">
        <f t="shared" si="5"/>
        <v>0</v>
      </c>
    </row>
    <row r="51" spans="2:16" x14ac:dyDescent="0.2">
      <c r="B51" s="5">
        <v>38</v>
      </c>
      <c r="C51" s="3" t="s">
        <v>37</v>
      </c>
      <c r="D51" s="9" t="s">
        <v>25</v>
      </c>
      <c r="E51" s="6" t="s">
        <v>111</v>
      </c>
      <c r="F51" s="19"/>
      <c r="G51" s="10">
        <v>1000</v>
      </c>
      <c r="H51" s="21">
        <v>302</v>
      </c>
      <c r="I51" s="5">
        <v>217</v>
      </c>
      <c r="J51" s="5">
        <v>85</v>
      </c>
      <c r="K51" s="5">
        <f t="shared" si="0"/>
        <v>0</v>
      </c>
      <c r="L51" s="8">
        <f t="shared" si="1"/>
        <v>217000</v>
      </c>
      <c r="M51" s="8">
        <f t="shared" si="2"/>
        <v>85000</v>
      </c>
      <c r="N51" s="8">
        <f t="shared" si="3"/>
        <v>0</v>
      </c>
      <c r="O51" s="8">
        <f t="shared" si="4"/>
        <v>302000</v>
      </c>
      <c r="P51" s="19">
        <f t="shared" si="5"/>
        <v>0</v>
      </c>
    </row>
    <row r="52" spans="2:16" x14ac:dyDescent="0.2">
      <c r="B52" s="5">
        <v>39</v>
      </c>
      <c r="C52" s="2" t="s">
        <v>38</v>
      </c>
      <c r="D52" s="6" t="s">
        <v>12</v>
      </c>
      <c r="E52" s="6" t="s">
        <v>111</v>
      </c>
      <c r="F52" s="19"/>
      <c r="G52" s="7"/>
      <c r="H52" s="21"/>
      <c r="I52" s="5"/>
      <c r="J52" s="5"/>
      <c r="K52" s="5">
        <f t="shared" si="0"/>
        <v>0</v>
      </c>
      <c r="L52" s="8">
        <f t="shared" si="1"/>
        <v>0</v>
      </c>
      <c r="M52" s="8">
        <f t="shared" si="2"/>
        <v>0</v>
      </c>
      <c r="N52" s="8">
        <f t="shared" si="3"/>
        <v>0</v>
      </c>
      <c r="O52" s="8">
        <f t="shared" si="4"/>
        <v>0</v>
      </c>
      <c r="P52" s="19">
        <f t="shared" si="5"/>
        <v>0</v>
      </c>
    </row>
    <row r="53" spans="2:16" x14ac:dyDescent="0.2">
      <c r="B53" s="5">
        <v>40</v>
      </c>
      <c r="C53" s="3" t="s">
        <v>39</v>
      </c>
      <c r="D53" s="9" t="s">
        <v>25</v>
      </c>
      <c r="E53" s="9" t="s">
        <v>112</v>
      </c>
      <c r="F53" s="19">
        <v>4460</v>
      </c>
      <c r="G53" s="10">
        <v>10000</v>
      </c>
      <c r="H53" s="21"/>
      <c r="I53" s="5"/>
      <c r="J53" s="5"/>
      <c r="K53" s="5">
        <f t="shared" si="0"/>
        <v>0</v>
      </c>
      <c r="L53" s="8">
        <f t="shared" si="1"/>
        <v>0</v>
      </c>
      <c r="M53" s="8">
        <f t="shared" si="2"/>
        <v>0</v>
      </c>
      <c r="N53" s="8">
        <f t="shared" si="3"/>
        <v>0</v>
      </c>
      <c r="O53" s="8">
        <f t="shared" si="4"/>
        <v>0</v>
      </c>
      <c r="P53" s="19">
        <f t="shared" si="5"/>
        <v>0</v>
      </c>
    </row>
    <row r="54" spans="2:16" x14ac:dyDescent="0.2">
      <c r="B54" s="5">
        <v>41</v>
      </c>
      <c r="C54" s="2" t="s">
        <v>40</v>
      </c>
      <c r="D54" s="6" t="s">
        <v>25</v>
      </c>
      <c r="E54" s="9" t="s">
        <v>112</v>
      </c>
      <c r="F54" s="19">
        <v>2925</v>
      </c>
      <c r="G54" s="7">
        <v>8000</v>
      </c>
      <c r="H54" s="21">
        <v>237</v>
      </c>
      <c r="I54" s="5">
        <v>99</v>
      </c>
      <c r="J54" s="5">
        <v>34</v>
      </c>
      <c r="K54" s="5">
        <f t="shared" si="0"/>
        <v>104</v>
      </c>
      <c r="L54" s="8">
        <f t="shared" si="1"/>
        <v>792000</v>
      </c>
      <c r="M54" s="8">
        <f t="shared" si="2"/>
        <v>272000</v>
      </c>
      <c r="N54" s="8">
        <f t="shared" si="3"/>
        <v>389025</v>
      </c>
      <c r="O54" s="8">
        <f t="shared" si="4"/>
        <v>674975</v>
      </c>
      <c r="P54" s="19">
        <f t="shared" si="5"/>
        <v>304200</v>
      </c>
    </row>
    <row r="55" spans="2:16" x14ac:dyDescent="0.2">
      <c r="B55" s="5">
        <v>42</v>
      </c>
      <c r="C55" s="3" t="s">
        <v>41</v>
      </c>
      <c r="D55" s="9" t="s">
        <v>42</v>
      </c>
      <c r="E55" s="9" t="s">
        <v>112</v>
      </c>
      <c r="F55" s="19">
        <v>1600</v>
      </c>
      <c r="G55" s="10">
        <v>4000</v>
      </c>
      <c r="H55" s="21">
        <v>185</v>
      </c>
      <c r="I55" s="5">
        <v>80</v>
      </c>
      <c r="J55" s="5">
        <v>55</v>
      </c>
      <c r="K55" s="5">
        <f t="shared" si="0"/>
        <v>50</v>
      </c>
      <c r="L55" s="8">
        <f t="shared" si="1"/>
        <v>320000</v>
      </c>
      <c r="M55" s="8">
        <f t="shared" si="2"/>
        <v>220000</v>
      </c>
      <c r="N55" s="8">
        <f t="shared" si="3"/>
        <v>216000</v>
      </c>
      <c r="O55" s="8">
        <f t="shared" si="4"/>
        <v>324000</v>
      </c>
      <c r="P55" s="19">
        <f t="shared" si="5"/>
        <v>80000</v>
      </c>
    </row>
    <row r="56" spans="2:16" x14ac:dyDescent="0.2">
      <c r="B56" s="5">
        <v>43</v>
      </c>
      <c r="C56" s="2" t="s">
        <v>43</v>
      </c>
      <c r="D56" s="6" t="s">
        <v>42</v>
      </c>
      <c r="E56" s="9" t="s">
        <v>112</v>
      </c>
      <c r="F56" s="19"/>
      <c r="G56" s="7">
        <v>5000</v>
      </c>
      <c r="H56" s="21"/>
      <c r="I56" s="5"/>
      <c r="J56" s="5"/>
      <c r="K56" s="5">
        <f t="shared" si="0"/>
        <v>0</v>
      </c>
      <c r="L56" s="8">
        <f t="shared" si="1"/>
        <v>0</v>
      </c>
      <c r="M56" s="8">
        <f t="shared" si="2"/>
        <v>0</v>
      </c>
      <c r="N56" s="8">
        <f t="shared" si="3"/>
        <v>0</v>
      </c>
      <c r="O56" s="8">
        <f t="shared" si="4"/>
        <v>0</v>
      </c>
      <c r="P56" s="19">
        <f t="shared" si="5"/>
        <v>0</v>
      </c>
    </row>
    <row r="57" spans="2:16" x14ac:dyDescent="0.2">
      <c r="B57" s="5">
        <v>44</v>
      </c>
      <c r="C57" s="3" t="s">
        <v>44</v>
      </c>
      <c r="D57" s="9" t="s">
        <v>89</v>
      </c>
      <c r="E57" s="9" t="s">
        <v>112</v>
      </c>
      <c r="F57" s="19"/>
      <c r="G57" s="10"/>
      <c r="H57" s="21">
        <v>8</v>
      </c>
      <c r="I57" s="5">
        <v>6</v>
      </c>
      <c r="J57" s="5"/>
      <c r="K57" s="5">
        <f t="shared" si="0"/>
        <v>2</v>
      </c>
      <c r="L57" s="8">
        <f>G57*I57</f>
        <v>0</v>
      </c>
      <c r="M57" s="8">
        <f t="shared" si="2"/>
        <v>0</v>
      </c>
      <c r="N57" s="8">
        <f>F57*(J57+I57)</f>
        <v>0</v>
      </c>
      <c r="O57" s="8">
        <f t="shared" si="4"/>
        <v>0</v>
      </c>
      <c r="P57" s="19">
        <f t="shared" si="5"/>
        <v>0</v>
      </c>
    </row>
    <row r="58" spans="2:16" x14ac:dyDescent="0.2">
      <c r="B58" s="5">
        <v>45</v>
      </c>
      <c r="C58" s="2" t="s">
        <v>45</v>
      </c>
      <c r="D58" s="6" t="s">
        <v>46</v>
      </c>
      <c r="E58" s="9" t="s">
        <v>112</v>
      </c>
      <c r="F58" s="19">
        <v>8000</v>
      </c>
      <c r="G58" s="7">
        <v>12000</v>
      </c>
      <c r="H58" s="21">
        <v>6</v>
      </c>
      <c r="I58" s="5"/>
      <c r="J58" s="5">
        <v>4</v>
      </c>
      <c r="K58" s="5">
        <f t="shared" si="0"/>
        <v>2</v>
      </c>
      <c r="L58" s="8">
        <f t="shared" si="1"/>
        <v>0</v>
      </c>
      <c r="M58" s="8">
        <f>G58*J58</f>
        <v>48000</v>
      </c>
      <c r="N58" s="8">
        <f t="shared" si="3"/>
        <v>32000</v>
      </c>
      <c r="O58" s="8">
        <f t="shared" si="4"/>
        <v>16000</v>
      </c>
      <c r="P58" s="19">
        <f t="shared" si="5"/>
        <v>16000</v>
      </c>
    </row>
    <row r="59" spans="2:16" x14ac:dyDescent="0.2">
      <c r="B59" s="5">
        <v>46</v>
      </c>
      <c r="C59" s="3" t="s">
        <v>132</v>
      </c>
      <c r="D59" s="9" t="s">
        <v>47</v>
      </c>
      <c r="E59" s="9" t="s">
        <v>112</v>
      </c>
      <c r="F59" s="19">
        <v>10000</v>
      </c>
      <c r="G59" s="10">
        <v>13000</v>
      </c>
      <c r="H59" s="21">
        <v>10</v>
      </c>
      <c r="I59" s="5">
        <v>7</v>
      </c>
      <c r="J59" s="5">
        <v>3</v>
      </c>
      <c r="K59" s="5">
        <f t="shared" si="0"/>
        <v>0</v>
      </c>
      <c r="L59" s="8">
        <f t="shared" si="1"/>
        <v>91000</v>
      </c>
      <c r="M59" s="8">
        <f>G59*J59</f>
        <v>39000</v>
      </c>
      <c r="N59" s="8">
        <f>F59*(J59+I59)</f>
        <v>100000</v>
      </c>
      <c r="O59" s="8">
        <f t="shared" si="4"/>
        <v>30000</v>
      </c>
      <c r="P59" s="19">
        <f t="shared" si="5"/>
        <v>0</v>
      </c>
    </row>
    <row r="60" spans="2:16" x14ac:dyDescent="0.2">
      <c r="B60" s="5">
        <v>47</v>
      </c>
      <c r="C60" s="2" t="s">
        <v>133</v>
      </c>
      <c r="D60" s="6" t="s">
        <v>47</v>
      </c>
      <c r="E60" s="9" t="s">
        <v>112</v>
      </c>
      <c r="F60" s="19">
        <v>6500</v>
      </c>
      <c r="G60" s="7">
        <v>9000</v>
      </c>
      <c r="H60" s="21">
        <v>20</v>
      </c>
      <c r="I60" s="5">
        <v>15</v>
      </c>
      <c r="J60" s="5">
        <v>4</v>
      </c>
      <c r="K60" s="5">
        <f t="shared" si="0"/>
        <v>1</v>
      </c>
      <c r="L60" s="8">
        <f t="shared" si="1"/>
        <v>135000</v>
      </c>
      <c r="M60" s="8">
        <f t="shared" si="2"/>
        <v>36000</v>
      </c>
      <c r="N60" s="8">
        <f t="shared" si="3"/>
        <v>123500</v>
      </c>
      <c r="O60" s="8">
        <f t="shared" si="4"/>
        <v>47500</v>
      </c>
      <c r="P60" s="19">
        <f t="shared" si="5"/>
        <v>6500</v>
      </c>
    </row>
    <row r="61" spans="2:16" x14ac:dyDescent="0.2">
      <c r="B61" s="5">
        <v>48</v>
      </c>
      <c r="C61" s="3" t="s">
        <v>48</v>
      </c>
      <c r="D61" s="9" t="s">
        <v>47</v>
      </c>
      <c r="E61" s="9" t="s">
        <v>112</v>
      </c>
      <c r="F61" s="19">
        <v>9500</v>
      </c>
      <c r="G61" s="10">
        <v>13000</v>
      </c>
      <c r="H61" s="21">
        <v>20</v>
      </c>
      <c r="I61" s="5">
        <v>15</v>
      </c>
      <c r="J61" s="5">
        <v>3</v>
      </c>
      <c r="K61" s="5">
        <f t="shared" si="0"/>
        <v>2</v>
      </c>
      <c r="L61" s="8">
        <f t="shared" si="1"/>
        <v>195000</v>
      </c>
      <c r="M61" s="8">
        <f t="shared" si="2"/>
        <v>39000</v>
      </c>
      <c r="N61" s="8">
        <f t="shared" si="3"/>
        <v>171000</v>
      </c>
      <c r="O61" s="8">
        <f t="shared" si="4"/>
        <v>63000</v>
      </c>
      <c r="P61" s="19">
        <f t="shared" si="5"/>
        <v>19000</v>
      </c>
    </row>
    <row r="62" spans="2:16" x14ac:dyDescent="0.2">
      <c r="B62" s="5">
        <v>49</v>
      </c>
      <c r="C62" s="2" t="s">
        <v>49</v>
      </c>
      <c r="D62" s="6" t="s">
        <v>47</v>
      </c>
      <c r="E62" s="9" t="s">
        <v>112</v>
      </c>
      <c r="F62" s="19">
        <v>8429</v>
      </c>
      <c r="G62" s="7">
        <v>12000</v>
      </c>
      <c r="H62" s="21"/>
      <c r="I62" s="5"/>
      <c r="J62" s="5"/>
      <c r="K62" s="5">
        <f t="shared" si="0"/>
        <v>0</v>
      </c>
      <c r="L62" s="8">
        <f t="shared" si="1"/>
        <v>0</v>
      </c>
      <c r="M62" s="8">
        <f t="shared" si="2"/>
        <v>0</v>
      </c>
      <c r="N62" s="8">
        <f t="shared" si="3"/>
        <v>0</v>
      </c>
      <c r="O62" s="8">
        <f t="shared" si="4"/>
        <v>0</v>
      </c>
      <c r="P62" s="19">
        <f t="shared" si="5"/>
        <v>0</v>
      </c>
    </row>
    <row r="63" spans="2:16" x14ac:dyDescent="0.2">
      <c r="B63" s="5">
        <v>50</v>
      </c>
      <c r="C63" s="3" t="s">
        <v>50</v>
      </c>
      <c r="D63" s="9" t="s">
        <v>47</v>
      </c>
      <c r="E63" s="9" t="s">
        <v>112</v>
      </c>
      <c r="F63" s="19">
        <v>2177</v>
      </c>
      <c r="G63" s="10">
        <v>3000</v>
      </c>
      <c r="H63" s="21">
        <v>90</v>
      </c>
      <c r="I63" s="5">
        <v>54</v>
      </c>
      <c r="J63" s="5">
        <v>36</v>
      </c>
      <c r="K63" s="5">
        <f t="shared" si="0"/>
        <v>0</v>
      </c>
      <c r="L63" s="8">
        <f t="shared" si="1"/>
        <v>162000</v>
      </c>
      <c r="M63" s="8">
        <f t="shared" si="2"/>
        <v>108000</v>
      </c>
      <c r="N63" s="8">
        <f t="shared" si="3"/>
        <v>195930</v>
      </c>
      <c r="O63" s="8">
        <f t="shared" si="4"/>
        <v>74070</v>
      </c>
      <c r="P63" s="19">
        <f t="shared" si="5"/>
        <v>0</v>
      </c>
    </row>
    <row r="64" spans="2:16" x14ac:dyDescent="0.2">
      <c r="B64" s="5">
        <v>51</v>
      </c>
      <c r="C64" s="2" t="s">
        <v>51</v>
      </c>
      <c r="D64" s="6" t="s">
        <v>47</v>
      </c>
      <c r="E64" s="9" t="s">
        <v>112</v>
      </c>
      <c r="F64" s="19">
        <v>900</v>
      </c>
      <c r="G64" s="7">
        <v>2000</v>
      </c>
      <c r="H64" s="21">
        <v>65</v>
      </c>
      <c r="I64" s="5">
        <v>37</v>
      </c>
      <c r="J64" s="5">
        <v>14</v>
      </c>
      <c r="K64" s="5">
        <f t="shared" si="0"/>
        <v>14</v>
      </c>
      <c r="L64" s="8">
        <f t="shared" si="1"/>
        <v>74000</v>
      </c>
      <c r="M64" s="8">
        <f t="shared" si="2"/>
        <v>28000</v>
      </c>
      <c r="N64" s="8">
        <f t="shared" si="3"/>
        <v>45900</v>
      </c>
      <c r="O64" s="8">
        <f t="shared" si="4"/>
        <v>56100</v>
      </c>
      <c r="P64" s="19">
        <f t="shared" si="5"/>
        <v>12600</v>
      </c>
    </row>
    <row r="65" spans="2:16" x14ac:dyDescent="0.2">
      <c r="B65" s="5">
        <v>52</v>
      </c>
      <c r="C65" s="3" t="s">
        <v>52</v>
      </c>
      <c r="D65" s="9" t="s">
        <v>47</v>
      </c>
      <c r="E65" s="9" t="s">
        <v>112</v>
      </c>
      <c r="F65" s="19">
        <v>11000</v>
      </c>
      <c r="G65" s="10">
        <v>13000</v>
      </c>
      <c r="H65" s="21">
        <v>64</v>
      </c>
      <c r="I65" s="5">
        <v>45</v>
      </c>
      <c r="J65" s="5">
        <v>10</v>
      </c>
      <c r="K65" s="5">
        <f t="shared" si="0"/>
        <v>9</v>
      </c>
      <c r="L65" s="8">
        <f t="shared" si="1"/>
        <v>585000</v>
      </c>
      <c r="M65" s="8">
        <f t="shared" si="2"/>
        <v>130000</v>
      </c>
      <c r="N65" s="8">
        <f t="shared" si="3"/>
        <v>605000</v>
      </c>
      <c r="O65" s="8">
        <f t="shared" si="4"/>
        <v>110000</v>
      </c>
      <c r="P65" s="19">
        <f t="shared" si="5"/>
        <v>99000</v>
      </c>
    </row>
    <row r="66" spans="2:16" x14ac:dyDescent="0.2">
      <c r="B66" s="5">
        <v>53</v>
      </c>
      <c r="C66" s="2" t="s">
        <v>53</v>
      </c>
      <c r="D66" s="6" t="s">
        <v>47</v>
      </c>
      <c r="E66" s="9" t="s">
        <v>112</v>
      </c>
      <c r="F66" s="19">
        <v>26000</v>
      </c>
      <c r="G66" s="7">
        <v>30000</v>
      </c>
      <c r="H66" s="21"/>
      <c r="I66" s="5"/>
      <c r="J66" s="5"/>
      <c r="K66" s="5">
        <f t="shared" si="0"/>
        <v>0</v>
      </c>
      <c r="L66" s="8">
        <f t="shared" si="1"/>
        <v>0</v>
      </c>
      <c r="M66" s="8">
        <f t="shared" si="2"/>
        <v>0</v>
      </c>
      <c r="N66" s="8">
        <f t="shared" si="3"/>
        <v>0</v>
      </c>
      <c r="O66" s="8">
        <f t="shared" si="4"/>
        <v>0</v>
      </c>
      <c r="P66" s="19">
        <f t="shared" si="5"/>
        <v>0</v>
      </c>
    </row>
    <row r="67" spans="2:16" x14ac:dyDescent="0.2">
      <c r="B67" s="5">
        <v>54</v>
      </c>
      <c r="C67" s="3" t="s">
        <v>176</v>
      </c>
      <c r="D67" s="9" t="s">
        <v>47</v>
      </c>
      <c r="E67" s="9" t="s">
        <v>112</v>
      </c>
      <c r="F67" s="19">
        <v>5000</v>
      </c>
      <c r="G67" s="10">
        <v>7000</v>
      </c>
      <c r="H67" s="21">
        <v>10</v>
      </c>
      <c r="I67" s="5">
        <v>3</v>
      </c>
      <c r="J67" s="5">
        <v>6</v>
      </c>
      <c r="K67" s="5">
        <f t="shared" si="0"/>
        <v>1</v>
      </c>
      <c r="L67" s="8">
        <f t="shared" si="1"/>
        <v>21000</v>
      </c>
      <c r="M67" s="8">
        <f t="shared" si="2"/>
        <v>42000</v>
      </c>
      <c r="N67" s="8">
        <f t="shared" si="3"/>
        <v>45000</v>
      </c>
      <c r="O67" s="8">
        <f t="shared" si="4"/>
        <v>18000</v>
      </c>
      <c r="P67" s="19">
        <f t="shared" si="5"/>
        <v>5000</v>
      </c>
    </row>
    <row r="68" spans="2:16" x14ac:dyDescent="0.2">
      <c r="B68" s="5">
        <v>55</v>
      </c>
      <c r="C68" s="37" t="s">
        <v>54</v>
      </c>
      <c r="D68" s="6" t="s">
        <v>47</v>
      </c>
      <c r="E68" s="9" t="s">
        <v>112</v>
      </c>
      <c r="F68" s="19">
        <v>25000</v>
      </c>
      <c r="G68" s="7">
        <v>29000</v>
      </c>
      <c r="H68" s="21">
        <v>21</v>
      </c>
      <c r="I68" s="5">
        <v>10</v>
      </c>
      <c r="J68" s="5">
        <v>11</v>
      </c>
      <c r="K68" s="5">
        <f t="shared" si="0"/>
        <v>0</v>
      </c>
      <c r="L68" s="8">
        <f t="shared" si="1"/>
        <v>290000</v>
      </c>
      <c r="M68" s="8">
        <f t="shared" si="2"/>
        <v>319000</v>
      </c>
      <c r="N68" s="8">
        <f t="shared" si="3"/>
        <v>525000</v>
      </c>
      <c r="O68" s="8">
        <f t="shared" si="4"/>
        <v>84000</v>
      </c>
      <c r="P68" s="19">
        <f t="shared" si="5"/>
        <v>0</v>
      </c>
    </row>
    <row r="69" spans="2:16" x14ac:dyDescent="0.2">
      <c r="B69" s="5">
        <v>56</v>
      </c>
      <c r="C69" s="38" t="s">
        <v>175</v>
      </c>
      <c r="D69" s="9" t="s">
        <v>47</v>
      </c>
      <c r="E69" s="9" t="s">
        <v>112</v>
      </c>
      <c r="F69" s="19">
        <v>5000</v>
      </c>
      <c r="G69" s="10">
        <v>7000</v>
      </c>
      <c r="H69" s="21">
        <v>30</v>
      </c>
      <c r="I69" s="5">
        <v>13</v>
      </c>
      <c r="J69" s="5">
        <v>4</v>
      </c>
      <c r="K69" s="5">
        <f t="shared" si="0"/>
        <v>13</v>
      </c>
      <c r="L69" s="8">
        <f t="shared" si="1"/>
        <v>91000</v>
      </c>
      <c r="M69" s="8">
        <f t="shared" si="2"/>
        <v>28000</v>
      </c>
      <c r="N69" s="8">
        <f t="shared" si="3"/>
        <v>85000</v>
      </c>
      <c r="O69" s="8">
        <f t="shared" si="4"/>
        <v>34000</v>
      </c>
      <c r="P69" s="19">
        <f t="shared" si="5"/>
        <v>65000</v>
      </c>
    </row>
    <row r="70" spans="2:16" x14ac:dyDescent="0.2">
      <c r="B70" s="5">
        <v>57</v>
      </c>
      <c r="C70" s="2" t="s">
        <v>134</v>
      </c>
      <c r="D70" s="6" t="s">
        <v>12</v>
      </c>
      <c r="E70" s="9" t="s">
        <v>112</v>
      </c>
      <c r="F70" s="19">
        <v>20000</v>
      </c>
      <c r="G70" s="7">
        <v>23000</v>
      </c>
      <c r="H70" s="21">
        <v>20</v>
      </c>
      <c r="I70" s="5">
        <v>12</v>
      </c>
      <c r="J70" s="5">
        <v>6</v>
      </c>
      <c r="K70" s="5">
        <f t="shared" si="0"/>
        <v>2</v>
      </c>
      <c r="L70" s="8">
        <f t="shared" si="1"/>
        <v>276000</v>
      </c>
      <c r="M70" s="8">
        <f t="shared" si="2"/>
        <v>138000</v>
      </c>
      <c r="N70" s="8">
        <f t="shared" si="3"/>
        <v>360000</v>
      </c>
      <c r="O70" s="8">
        <f t="shared" si="4"/>
        <v>54000</v>
      </c>
      <c r="P70" s="19">
        <f t="shared" si="5"/>
        <v>40000</v>
      </c>
    </row>
    <row r="71" spans="2:16" x14ac:dyDescent="0.2">
      <c r="B71" s="5">
        <v>58</v>
      </c>
      <c r="C71" s="3" t="s">
        <v>135</v>
      </c>
      <c r="D71" s="9" t="s">
        <v>47</v>
      </c>
      <c r="E71" s="9" t="s">
        <v>112</v>
      </c>
      <c r="F71" s="19">
        <v>45000</v>
      </c>
      <c r="G71" s="10">
        <v>50000</v>
      </c>
      <c r="H71" s="21">
        <v>1</v>
      </c>
      <c r="I71" s="5"/>
      <c r="J71" s="5"/>
      <c r="K71" s="5">
        <f t="shared" si="0"/>
        <v>1</v>
      </c>
      <c r="L71" s="8">
        <f t="shared" si="1"/>
        <v>0</v>
      </c>
      <c r="M71" s="8">
        <f t="shared" si="2"/>
        <v>0</v>
      </c>
      <c r="N71" s="8">
        <f t="shared" si="3"/>
        <v>0</v>
      </c>
      <c r="O71" s="8">
        <f t="shared" si="4"/>
        <v>0</v>
      </c>
      <c r="P71" s="19">
        <f t="shared" si="5"/>
        <v>45000</v>
      </c>
    </row>
    <row r="72" spans="2:16" x14ac:dyDescent="0.2">
      <c r="B72" s="5">
        <v>59</v>
      </c>
      <c r="C72" s="2" t="s">
        <v>136</v>
      </c>
      <c r="D72" s="6" t="s">
        <v>47</v>
      </c>
      <c r="E72" s="9" t="s">
        <v>112</v>
      </c>
      <c r="F72" s="19">
        <v>40000</v>
      </c>
      <c r="G72" s="7">
        <v>45000</v>
      </c>
      <c r="H72" s="21">
        <v>1</v>
      </c>
      <c r="I72" s="5"/>
      <c r="J72" s="5"/>
      <c r="K72" s="5">
        <f t="shared" si="0"/>
        <v>1</v>
      </c>
      <c r="L72" s="8">
        <f t="shared" si="1"/>
        <v>0</v>
      </c>
      <c r="M72" s="8">
        <f t="shared" si="2"/>
        <v>0</v>
      </c>
      <c r="N72" s="8">
        <f t="shared" si="3"/>
        <v>0</v>
      </c>
      <c r="O72" s="8">
        <f t="shared" si="4"/>
        <v>0</v>
      </c>
      <c r="P72" s="19">
        <f t="shared" si="5"/>
        <v>40000</v>
      </c>
    </row>
    <row r="73" spans="2:16" x14ac:dyDescent="0.2">
      <c r="B73" s="5">
        <v>60</v>
      </c>
      <c r="C73" s="3" t="s">
        <v>137</v>
      </c>
      <c r="D73" s="9" t="s">
        <v>47</v>
      </c>
      <c r="E73" s="9" t="s">
        <v>112</v>
      </c>
      <c r="F73" s="19">
        <v>65000</v>
      </c>
      <c r="G73" s="10">
        <v>70000</v>
      </c>
      <c r="H73" s="21">
        <v>1</v>
      </c>
      <c r="I73" s="5"/>
      <c r="J73" s="5"/>
      <c r="K73" s="5">
        <f t="shared" si="0"/>
        <v>1</v>
      </c>
      <c r="L73" s="8">
        <f t="shared" si="1"/>
        <v>0</v>
      </c>
      <c r="M73" s="8">
        <f t="shared" si="2"/>
        <v>0</v>
      </c>
      <c r="N73" s="8">
        <f t="shared" si="3"/>
        <v>0</v>
      </c>
      <c r="O73" s="8">
        <f t="shared" si="4"/>
        <v>0</v>
      </c>
      <c r="P73" s="19">
        <f t="shared" si="5"/>
        <v>65000</v>
      </c>
    </row>
    <row r="74" spans="2:16" x14ac:dyDescent="0.2">
      <c r="B74" s="5">
        <v>61</v>
      </c>
      <c r="C74" s="2" t="s">
        <v>138</v>
      </c>
      <c r="D74" s="6" t="s">
        <v>47</v>
      </c>
      <c r="E74" s="9" t="s">
        <v>112</v>
      </c>
      <c r="F74" s="19">
        <v>5000</v>
      </c>
      <c r="G74" s="7">
        <v>7000</v>
      </c>
      <c r="H74" s="21">
        <v>27</v>
      </c>
      <c r="I74" s="5">
        <v>15</v>
      </c>
      <c r="J74" s="5">
        <v>9</v>
      </c>
      <c r="K74" s="5">
        <f t="shared" si="0"/>
        <v>3</v>
      </c>
      <c r="L74" s="8">
        <f t="shared" si="1"/>
        <v>105000</v>
      </c>
      <c r="M74" s="8">
        <f t="shared" si="2"/>
        <v>63000</v>
      </c>
      <c r="N74" s="8">
        <f t="shared" si="3"/>
        <v>120000</v>
      </c>
      <c r="O74" s="8">
        <f t="shared" si="4"/>
        <v>48000</v>
      </c>
      <c r="P74" s="19">
        <f t="shared" si="5"/>
        <v>15000</v>
      </c>
    </row>
    <row r="75" spans="2:16" x14ac:dyDescent="0.2">
      <c r="B75" s="5">
        <v>62</v>
      </c>
      <c r="C75" s="3" t="s">
        <v>139</v>
      </c>
      <c r="D75" s="9" t="s">
        <v>12</v>
      </c>
      <c r="E75" s="9" t="s">
        <v>112</v>
      </c>
      <c r="F75" s="19">
        <v>1750</v>
      </c>
      <c r="G75" s="10">
        <v>3000</v>
      </c>
      <c r="H75" s="21">
        <v>61</v>
      </c>
      <c r="I75" s="5">
        <v>21</v>
      </c>
      <c r="J75" s="5">
        <v>22</v>
      </c>
      <c r="K75" s="5">
        <f t="shared" si="0"/>
        <v>18</v>
      </c>
      <c r="L75" s="8">
        <f t="shared" si="1"/>
        <v>63000</v>
      </c>
      <c r="M75" s="8">
        <f t="shared" si="2"/>
        <v>66000</v>
      </c>
      <c r="N75" s="8">
        <f t="shared" si="3"/>
        <v>75250</v>
      </c>
      <c r="O75" s="8">
        <f t="shared" si="4"/>
        <v>53750</v>
      </c>
      <c r="P75" s="19">
        <f t="shared" si="5"/>
        <v>31500</v>
      </c>
    </row>
    <row r="76" spans="2:16" x14ac:dyDescent="0.2">
      <c r="B76" s="5">
        <v>63</v>
      </c>
      <c r="C76" s="2" t="s">
        <v>125</v>
      </c>
      <c r="D76" s="6" t="s">
        <v>47</v>
      </c>
      <c r="E76" s="6" t="s">
        <v>112</v>
      </c>
      <c r="F76" s="19">
        <v>6000</v>
      </c>
      <c r="G76" s="7">
        <v>8000</v>
      </c>
      <c r="H76" s="21">
        <v>129</v>
      </c>
      <c r="I76" s="5">
        <v>97</v>
      </c>
      <c r="J76" s="5">
        <v>32</v>
      </c>
      <c r="K76" s="5">
        <f t="shared" si="0"/>
        <v>0</v>
      </c>
      <c r="L76" s="8">
        <f>G76*I76</f>
        <v>776000</v>
      </c>
      <c r="M76" s="8">
        <f t="shared" si="2"/>
        <v>256000</v>
      </c>
      <c r="N76" s="8">
        <f t="shared" si="3"/>
        <v>774000</v>
      </c>
      <c r="O76" s="8">
        <f t="shared" si="4"/>
        <v>258000</v>
      </c>
      <c r="P76" s="19">
        <f t="shared" si="5"/>
        <v>0</v>
      </c>
    </row>
    <row r="77" spans="2:16" x14ac:dyDescent="0.2">
      <c r="B77" s="5">
        <v>64</v>
      </c>
      <c r="C77" s="2" t="s">
        <v>140</v>
      </c>
      <c r="D77" s="9" t="s">
        <v>47</v>
      </c>
      <c r="E77" s="6" t="s">
        <v>112</v>
      </c>
      <c r="F77" s="19">
        <v>8000</v>
      </c>
      <c r="G77" s="10">
        <v>10000</v>
      </c>
      <c r="H77" s="21">
        <v>23</v>
      </c>
      <c r="I77" s="5">
        <v>4</v>
      </c>
      <c r="J77" s="5">
        <v>13</v>
      </c>
      <c r="K77" s="5">
        <f t="shared" si="0"/>
        <v>6</v>
      </c>
      <c r="L77" s="8">
        <f t="shared" si="1"/>
        <v>40000</v>
      </c>
      <c r="M77" s="8">
        <f t="shared" si="2"/>
        <v>130000</v>
      </c>
      <c r="N77" s="8">
        <f t="shared" si="3"/>
        <v>136000</v>
      </c>
      <c r="O77" s="8">
        <f t="shared" si="4"/>
        <v>34000</v>
      </c>
      <c r="P77" s="19">
        <f t="shared" si="5"/>
        <v>48000</v>
      </c>
    </row>
    <row r="78" spans="2:16" x14ac:dyDescent="0.2">
      <c r="B78" s="5">
        <v>65</v>
      </c>
      <c r="C78" s="2" t="s">
        <v>103</v>
      </c>
      <c r="D78" s="6" t="s">
        <v>47</v>
      </c>
      <c r="E78" s="6" t="s">
        <v>113</v>
      </c>
      <c r="F78" s="19">
        <v>35400</v>
      </c>
      <c r="G78" s="7">
        <v>39000</v>
      </c>
      <c r="H78" s="21">
        <v>116</v>
      </c>
      <c r="I78" s="5">
        <v>88</v>
      </c>
      <c r="J78" s="5">
        <v>20</v>
      </c>
      <c r="K78" s="5">
        <f t="shared" ref="K78:K103" si="6">H78-I78-J78</f>
        <v>8</v>
      </c>
      <c r="L78" s="8">
        <f t="shared" si="1"/>
        <v>3432000</v>
      </c>
      <c r="M78" s="8">
        <f t="shared" si="2"/>
        <v>780000</v>
      </c>
      <c r="N78" s="8">
        <f t="shared" si="3"/>
        <v>3823200</v>
      </c>
      <c r="O78" s="8">
        <f t="shared" si="4"/>
        <v>388800</v>
      </c>
      <c r="P78" s="19">
        <f t="shared" si="5"/>
        <v>283200</v>
      </c>
    </row>
    <row r="79" spans="2:16" x14ac:dyDescent="0.2">
      <c r="B79" s="5">
        <v>66</v>
      </c>
      <c r="C79" s="3" t="s">
        <v>55</v>
      </c>
      <c r="D79" s="9" t="s">
        <v>47</v>
      </c>
      <c r="E79" s="6" t="s">
        <v>113</v>
      </c>
      <c r="F79" s="19">
        <v>47800</v>
      </c>
      <c r="G79" s="10">
        <v>54000</v>
      </c>
      <c r="H79" s="21"/>
      <c r="I79" s="5"/>
      <c r="J79" s="5"/>
      <c r="K79" s="5">
        <f t="shared" si="6"/>
        <v>0</v>
      </c>
      <c r="L79" s="8">
        <f t="shared" ref="L79:L104" si="7">G79*I79</f>
        <v>0</v>
      </c>
      <c r="M79" s="8">
        <f t="shared" ref="M79:M104" si="8">G79*J79</f>
        <v>0</v>
      </c>
      <c r="N79" s="8">
        <f t="shared" ref="N79:N104" si="9">F79*(J79+I79)</f>
        <v>0</v>
      </c>
      <c r="O79" s="8">
        <f t="shared" ref="O79:O104" si="10">(M79+L79)-N79</f>
        <v>0</v>
      </c>
      <c r="P79" s="19">
        <f t="shared" ref="P79:P104" si="11">K79*F79</f>
        <v>0</v>
      </c>
    </row>
    <row r="80" spans="2:16" x14ac:dyDescent="0.2">
      <c r="B80" s="5">
        <v>67</v>
      </c>
      <c r="C80" s="2" t="s">
        <v>56</v>
      </c>
      <c r="D80" s="6" t="s">
        <v>47</v>
      </c>
      <c r="E80" s="6" t="s">
        <v>113</v>
      </c>
      <c r="F80" s="19">
        <v>38200</v>
      </c>
      <c r="G80" s="7">
        <v>42000</v>
      </c>
      <c r="H80" s="21"/>
      <c r="I80" s="5"/>
      <c r="J80" s="5"/>
      <c r="K80" s="5">
        <f t="shared" si="6"/>
        <v>0</v>
      </c>
      <c r="L80" s="8">
        <f t="shared" si="7"/>
        <v>0</v>
      </c>
      <c r="M80" s="8">
        <f t="shared" si="8"/>
        <v>0</v>
      </c>
      <c r="N80" s="8">
        <f t="shared" si="9"/>
        <v>0</v>
      </c>
      <c r="O80" s="8">
        <f t="shared" si="10"/>
        <v>0</v>
      </c>
      <c r="P80" s="19">
        <f t="shared" si="11"/>
        <v>0</v>
      </c>
    </row>
    <row r="81" spans="2:16" x14ac:dyDescent="0.2">
      <c r="B81" s="5">
        <v>68</v>
      </c>
      <c r="C81" s="3" t="s">
        <v>57</v>
      </c>
      <c r="D81" s="9" t="s">
        <v>47</v>
      </c>
      <c r="E81" s="6" t="s">
        <v>113</v>
      </c>
      <c r="F81" s="19">
        <v>43200</v>
      </c>
      <c r="G81" s="10">
        <v>48000</v>
      </c>
      <c r="H81" s="21">
        <v>4</v>
      </c>
      <c r="I81" s="5">
        <v>4</v>
      </c>
      <c r="J81" s="5">
        <v>0</v>
      </c>
      <c r="K81" s="5">
        <f t="shared" si="6"/>
        <v>0</v>
      </c>
      <c r="L81" s="8">
        <f t="shared" si="7"/>
        <v>192000</v>
      </c>
      <c r="M81" s="8">
        <f t="shared" si="8"/>
        <v>0</v>
      </c>
      <c r="N81" s="8">
        <f t="shared" si="9"/>
        <v>172800</v>
      </c>
      <c r="O81" s="8">
        <f t="shared" si="10"/>
        <v>19200</v>
      </c>
      <c r="P81" s="19">
        <f t="shared" si="11"/>
        <v>0</v>
      </c>
    </row>
    <row r="82" spans="2:16" x14ac:dyDescent="0.2">
      <c r="B82" s="5">
        <v>69</v>
      </c>
      <c r="C82" s="2" t="s">
        <v>58</v>
      </c>
      <c r="D82" s="6" t="s">
        <v>47</v>
      </c>
      <c r="E82" s="6" t="s">
        <v>113</v>
      </c>
      <c r="F82" s="19">
        <v>37400</v>
      </c>
      <c r="G82" s="7">
        <v>41000</v>
      </c>
      <c r="H82" s="21"/>
      <c r="I82" s="5"/>
      <c r="J82" s="5"/>
      <c r="K82" s="5">
        <f t="shared" si="6"/>
        <v>0</v>
      </c>
      <c r="L82" s="8">
        <f t="shared" si="7"/>
        <v>0</v>
      </c>
      <c r="M82" s="8">
        <f t="shared" si="8"/>
        <v>0</v>
      </c>
      <c r="N82" s="8">
        <f t="shared" si="9"/>
        <v>0</v>
      </c>
      <c r="O82" s="8">
        <f t="shared" si="10"/>
        <v>0</v>
      </c>
      <c r="P82" s="19">
        <f t="shared" si="11"/>
        <v>0</v>
      </c>
    </row>
    <row r="83" spans="2:16" x14ac:dyDescent="0.2">
      <c r="B83" s="5">
        <v>70</v>
      </c>
      <c r="C83" s="3" t="s">
        <v>59</v>
      </c>
      <c r="D83" s="9" t="s">
        <v>47</v>
      </c>
      <c r="E83" s="6" t="s">
        <v>113</v>
      </c>
      <c r="F83" s="19">
        <v>41000</v>
      </c>
      <c r="G83" s="10">
        <v>45000</v>
      </c>
      <c r="H83" s="21">
        <v>33</v>
      </c>
      <c r="I83" s="5">
        <v>23</v>
      </c>
      <c r="J83" s="5">
        <v>10</v>
      </c>
      <c r="K83" s="5">
        <f t="shared" si="6"/>
        <v>0</v>
      </c>
      <c r="L83" s="8">
        <f t="shared" si="7"/>
        <v>1035000</v>
      </c>
      <c r="M83" s="8">
        <f t="shared" si="8"/>
        <v>450000</v>
      </c>
      <c r="N83" s="8">
        <f t="shared" si="9"/>
        <v>1353000</v>
      </c>
      <c r="O83" s="8">
        <f t="shared" si="10"/>
        <v>132000</v>
      </c>
      <c r="P83" s="19">
        <f t="shared" si="11"/>
        <v>0</v>
      </c>
    </row>
    <row r="84" spans="2:16" x14ac:dyDescent="0.2">
      <c r="B84" s="5">
        <v>71</v>
      </c>
      <c r="C84" s="2" t="s">
        <v>60</v>
      </c>
      <c r="D84" s="6" t="s">
        <v>47</v>
      </c>
      <c r="E84" s="6" t="s">
        <v>113</v>
      </c>
      <c r="F84" s="19"/>
      <c r="G84" s="7">
        <v>27000</v>
      </c>
      <c r="H84" s="21"/>
      <c r="I84" s="5"/>
      <c r="J84" s="5"/>
      <c r="K84" s="5">
        <f t="shared" si="6"/>
        <v>0</v>
      </c>
      <c r="L84" s="8">
        <f t="shared" si="7"/>
        <v>0</v>
      </c>
      <c r="M84" s="8">
        <f t="shared" si="8"/>
        <v>0</v>
      </c>
      <c r="N84" s="8">
        <f t="shared" si="9"/>
        <v>0</v>
      </c>
      <c r="O84" s="8">
        <f t="shared" si="10"/>
        <v>0</v>
      </c>
      <c r="P84" s="19">
        <f t="shared" si="11"/>
        <v>0</v>
      </c>
    </row>
    <row r="85" spans="2:16" x14ac:dyDescent="0.2">
      <c r="B85" s="5">
        <v>72</v>
      </c>
      <c r="C85" s="3" t="s">
        <v>61</v>
      </c>
      <c r="D85" s="9" t="s">
        <v>47</v>
      </c>
      <c r="E85" s="6" t="s">
        <v>113</v>
      </c>
      <c r="F85" s="19">
        <v>19700</v>
      </c>
      <c r="G85" s="10">
        <v>23000</v>
      </c>
      <c r="H85" s="21">
        <v>50</v>
      </c>
      <c r="I85" s="5">
        <v>50</v>
      </c>
      <c r="J85" s="5"/>
      <c r="K85" s="5">
        <f t="shared" si="6"/>
        <v>0</v>
      </c>
      <c r="L85" s="8">
        <f t="shared" si="7"/>
        <v>1150000</v>
      </c>
      <c r="M85" s="8">
        <f t="shared" si="8"/>
        <v>0</v>
      </c>
      <c r="N85" s="8">
        <f t="shared" si="9"/>
        <v>985000</v>
      </c>
      <c r="O85" s="8">
        <f t="shared" si="10"/>
        <v>165000</v>
      </c>
      <c r="P85" s="19">
        <f t="shared" si="11"/>
        <v>0</v>
      </c>
    </row>
    <row r="86" spans="2:16" x14ac:dyDescent="0.2">
      <c r="B86" s="5">
        <v>73</v>
      </c>
      <c r="C86" s="2" t="s">
        <v>62</v>
      </c>
      <c r="D86" s="6" t="s">
        <v>47</v>
      </c>
      <c r="E86" s="6" t="s">
        <v>113</v>
      </c>
      <c r="F86" s="19">
        <v>14800</v>
      </c>
      <c r="G86" s="7">
        <v>18000</v>
      </c>
      <c r="H86" s="21"/>
      <c r="I86" s="5"/>
      <c r="J86" s="5"/>
      <c r="K86" s="5">
        <f t="shared" si="6"/>
        <v>0</v>
      </c>
      <c r="L86" s="8">
        <f t="shared" si="7"/>
        <v>0</v>
      </c>
      <c r="M86" s="8">
        <f t="shared" si="8"/>
        <v>0</v>
      </c>
      <c r="N86" s="8">
        <f t="shared" si="9"/>
        <v>0</v>
      </c>
      <c r="O86" s="8">
        <f t="shared" si="10"/>
        <v>0</v>
      </c>
      <c r="P86" s="19">
        <f t="shared" si="11"/>
        <v>0</v>
      </c>
    </row>
    <row r="87" spans="2:16" x14ac:dyDescent="0.2">
      <c r="B87" s="5">
        <v>74</v>
      </c>
      <c r="C87" s="3" t="s">
        <v>141</v>
      </c>
      <c r="D87" s="9" t="s">
        <v>47</v>
      </c>
      <c r="E87" s="6" t="s">
        <v>113</v>
      </c>
      <c r="F87" s="19">
        <v>21500</v>
      </c>
      <c r="G87" s="10">
        <v>25000</v>
      </c>
      <c r="H87" s="21">
        <v>56</v>
      </c>
      <c r="I87" s="5">
        <v>46</v>
      </c>
      <c r="J87" s="5">
        <v>10</v>
      </c>
      <c r="K87" s="5">
        <f t="shared" si="6"/>
        <v>0</v>
      </c>
      <c r="L87" s="8">
        <f t="shared" si="7"/>
        <v>1150000</v>
      </c>
      <c r="M87" s="8">
        <f t="shared" si="8"/>
        <v>250000</v>
      </c>
      <c r="N87" s="8">
        <f t="shared" si="9"/>
        <v>1204000</v>
      </c>
      <c r="O87" s="8">
        <f t="shared" si="10"/>
        <v>196000</v>
      </c>
      <c r="P87" s="19">
        <f t="shared" si="11"/>
        <v>0</v>
      </c>
    </row>
    <row r="88" spans="2:16" x14ac:dyDescent="0.2">
      <c r="B88" s="5">
        <v>75</v>
      </c>
      <c r="C88" s="2" t="s">
        <v>63</v>
      </c>
      <c r="D88" s="6" t="s">
        <v>47</v>
      </c>
      <c r="E88" s="6" t="s">
        <v>113</v>
      </c>
      <c r="F88" s="19">
        <v>35200</v>
      </c>
      <c r="G88" s="7">
        <v>39000</v>
      </c>
      <c r="H88" s="21">
        <v>82</v>
      </c>
      <c r="I88" s="5">
        <v>70</v>
      </c>
      <c r="J88" s="5">
        <v>12</v>
      </c>
      <c r="K88" s="5">
        <f t="shared" si="6"/>
        <v>0</v>
      </c>
      <c r="L88" s="8">
        <f t="shared" si="7"/>
        <v>2730000</v>
      </c>
      <c r="M88" s="8">
        <f t="shared" si="8"/>
        <v>468000</v>
      </c>
      <c r="N88" s="8">
        <f t="shared" si="9"/>
        <v>2886400</v>
      </c>
      <c r="O88" s="8">
        <f t="shared" si="10"/>
        <v>311600</v>
      </c>
      <c r="P88" s="19">
        <f t="shared" si="11"/>
        <v>0</v>
      </c>
    </row>
    <row r="89" spans="2:16" x14ac:dyDescent="0.2">
      <c r="B89" s="5">
        <v>76</v>
      </c>
      <c r="C89" s="3" t="s">
        <v>64</v>
      </c>
      <c r="D89" s="9" t="s">
        <v>47</v>
      </c>
      <c r="E89" s="6" t="s">
        <v>113</v>
      </c>
      <c r="F89" s="19"/>
      <c r="G89" s="10">
        <v>17000</v>
      </c>
      <c r="H89" s="21"/>
      <c r="I89" s="5"/>
      <c r="J89" s="5"/>
      <c r="K89" s="5">
        <f t="shared" si="6"/>
        <v>0</v>
      </c>
      <c r="L89" s="8">
        <f t="shared" si="7"/>
        <v>0</v>
      </c>
      <c r="M89" s="8">
        <f t="shared" si="8"/>
        <v>0</v>
      </c>
      <c r="N89" s="8">
        <f t="shared" si="9"/>
        <v>0</v>
      </c>
      <c r="O89" s="8">
        <f t="shared" si="10"/>
        <v>0</v>
      </c>
      <c r="P89" s="19">
        <f t="shared" si="11"/>
        <v>0</v>
      </c>
    </row>
    <row r="90" spans="2:16" x14ac:dyDescent="0.2">
      <c r="B90" s="5">
        <v>77</v>
      </c>
      <c r="C90" s="2" t="s">
        <v>65</v>
      </c>
      <c r="D90" s="6" t="s">
        <v>47</v>
      </c>
      <c r="E90" s="6" t="s">
        <v>113</v>
      </c>
      <c r="F90" s="19">
        <v>23200</v>
      </c>
      <c r="G90" s="7">
        <v>27000</v>
      </c>
      <c r="H90" s="21"/>
      <c r="I90" s="5"/>
      <c r="J90" s="5"/>
      <c r="K90" s="5">
        <f t="shared" si="6"/>
        <v>0</v>
      </c>
      <c r="L90" s="8">
        <f t="shared" si="7"/>
        <v>0</v>
      </c>
      <c r="M90" s="8">
        <f t="shared" si="8"/>
        <v>0</v>
      </c>
      <c r="N90" s="8">
        <f t="shared" si="9"/>
        <v>0</v>
      </c>
      <c r="O90" s="8">
        <f t="shared" si="10"/>
        <v>0</v>
      </c>
      <c r="P90" s="19">
        <f t="shared" si="11"/>
        <v>0</v>
      </c>
    </row>
    <row r="91" spans="2:16" x14ac:dyDescent="0.2">
      <c r="B91" s="5">
        <v>78</v>
      </c>
      <c r="C91" s="3" t="s">
        <v>66</v>
      </c>
      <c r="D91" s="9" t="s">
        <v>47</v>
      </c>
      <c r="E91" s="6" t="s">
        <v>113</v>
      </c>
      <c r="F91" s="19">
        <v>23700</v>
      </c>
      <c r="G91" s="10">
        <v>27000</v>
      </c>
      <c r="H91" s="21"/>
      <c r="I91" s="5"/>
      <c r="J91" s="5"/>
      <c r="K91" s="5">
        <f t="shared" si="6"/>
        <v>0</v>
      </c>
      <c r="L91" s="8">
        <f t="shared" si="7"/>
        <v>0</v>
      </c>
      <c r="M91" s="8">
        <f t="shared" si="8"/>
        <v>0</v>
      </c>
      <c r="N91" s="8">
        <f t="shared" si="9"/>
        <v>0</v>
      </c>
      <c r="O91" s="8">
        <f t="shared" si="10"/>
        <v>0</v>
      </c>
      <c r="P91" s="19">
        <f t="shared" si="11"/>
        <v>0</v>
      </c>
    </row>
    <row r="92" spans="2:16" x14ac:dyDescent="0.2">
      <c r="B92" s="5">
        <v>79</v>
      </c>
      <c r="C92" s="2" t="s">
        <v>67</v>
      </c>
      <c r="D92" s="6" t="s">
        <v>47</v>
      </c>
      <c r="E92" s="6" t="s">
        <v>113</v>
      </c>
      <c r="F92" s="19">
        <v>25700</v>
      </c>
      <c r="G92" s="7">
        <v>30000</v>
      </c>
      <c r="H92" s="21"/>
      <c r="I92" s="5"/>
      <c r="J92" s="5"/>
      <c r="K92" s="5">
        <f t="shared" si="6"/>
        <v>0</v>
      </c>
      <c r="L92" s="8">
        <f t="shared" si="7"/>
        <v>0</v>
      </c>
      <c r="M92" s="8">
        <f t="shared" si="8"/>
        <v>0</v>
      </c>
      <c r="N92" s="8">
        <f t="shared" si="9"/>
        <v>0</v>
      </c>
      <c r="O92" s="8">
        <f t="shared" si="10"/>
        <v>0</v>
      </c>
      <c r="P92" s="19">
        <f t="shared" si="11"/>
        <v>0</v>
      </c>
    </row>
    <row r="93" spans="2:16" x14ac:dyDescent="0.2">
      <c r="B93" s="5">
        <v>80</v>
      </c>
      <c r="C93" s="3" t="s">
        <v>68</v>
      </c>
      <c r="D93" s="9" t="s">
        <v>47</v>
      </c>
      <c r="E93" s="6" t="s">
        <v>113</v>
      </c>
      <c r="F93" s="19">
        <v>11300</v>
      </c>
      <c r="G93" s="10">
        <v>14000</v>
      </c>
      <c r="H93" s="21"/>
      <c r="I93" s="5"/>
      <c r="J93" s="5"/>
      <c r="K93" s="5">
        <f t="shared" si="6"/>
        <v>0</v>
      </c>
      <c r="L93" s="8">
        <f t="shared" si="7"/>
        <v>0</v>
      </c>
      <c r="M93" s="8">
        <f t="shared" si="8"/>
        <v>0</v>
      </c>
      <c r="N93" s="8">
        <f t="shared" si="9"/>
        <v>0</v>
      </c>
      <c r="O93" s="8">
        <f t="shared" si="10"/>
        <v>0</v>
      </c>
      <c r="P93" s="19">
        <f t="shared" si="11"/>
        <v>0</v>
      </c>
    </row>
    <row r="94" spans="2:16" x14ac:dyDescent="0.2">
      <c r="B94" s="5">
        <v>81</v>
      </c>
      <c r="C94" s="2" t="s">
        <v>69</v>
      </c>
      <c r="D94" s="6" t="s">
        <v>47</v>
      </c>
      <c r="E94" s="6" t="s">
        <v>113</v>
      </c>
      <c r="F94" s="19">
        <v>10500</v>
      </c>
      <c r="G94" s="7">
        <v>14000</v>
      </c>
      <c r="H94" s="21"/>
      <c r="I94" s="5"/>
      <c r="J94" s="5"/>
      <c r="K94" s="5">
        <f t="shared" si="6"/>
        <v>0</v>
      </c>
      <c r="L94" s="8">
        <f t="shared" si="7"/>
        <v>0</v>
      </c>
      <c r="M94" s="8">
        <f t="shared" si="8"/>
        <v>0</v>
      </c>
      <c r="N94" s="8">
        <f t="shared" si="9"/>
        <v>0</v>
      </c>
      <c r="O94" s="8">
        <f t="shared" si="10"/>
        <v>0</v>
      </c>
      <c r="P94" s="19">
        <f t="shared" si="11"/>
        <v>0</v>
      </c>
    </row>
    <row r="95" spans="2:16" x14ac:dyDescent="0.2">
      <c r="B95" s="5">
        <v>82</v>
      </c>
      <c r="C95" s="3" t="s">
        <v>70</v>
      </c>
      <c r="D95" s="9" t="s">
        <v>47</v>
      </c>
      <c r="E95" s="6" t="s">
        <v>113</v>
      </c>
      <c r="F95" s="19">
        <v>24500</v>
      </c>
      <c r="G95" s="10">
        <v>28000</v>
      </c>
      <c r="H95" s="21"/>
      <c r="I95" s="5"/>
      <c r="J95" s="5"/>
      <c r="K95" s="5">
        <f t="shared" si="6"/>
        <v>0</v>
      </c>
      <c r="L95" s="8">
        <f t="shared" si="7"/>
        <v>0</v>
      </c>
      <c r="M95" s="8">
        <f t="shared" si="8"/>
        <v>0</v>
      </c>
      <c r="N95" s="8">
        <f t="shared" si="9"/>
        <v>0</v>
      </c>
      <c r="O95" s="8">
        <f t="shared" si="10"/>
        <v>0</v>
      </c>
      <c r="P95" s="19">
        <f t="shared" si="11"/>
        <v>0</v>
      </c>
    </row>
    <row r="96" spans="2:16" x14ac:dyDescent="0.2">
      <c r="B96" s="5">
        <v>83</v>
      </c>
      <c r="C96" s="2" t="s">
        <v>71</v>
      </c>
      <c r="D96" s="6" t="s">
        <v>12</v>
      </c>
      <c r="E96" s="6" t="s">
        <v>115</v>
      </c>
      <c r="F96" s="19">
        <v>1900</v>
      </c>
      <c r="G96" s="7">
        <v>3000</v>
      </c>
      <c r="H96" s="21"/>
      <c r="I96" s="5"/>
      <c r="J96" s="5"/>
      <c r="K96" s="5">
        <f t="shared" si="6"/>
        <v>0</v>
      </c>
      <c r="L96" s="8">
        <f t="shared" si="7"/>
        <v>0</v>
      </c>
      <c r="M96" s="8">
        <f t="shared" si="8"/>
        <v>0</v>
      </c>
      <c r="N96" s="8">
        <f t="shared" si="9"/>
        <v>0</v>
      </c>
      <c r="O96" s="8">
        <f t="shared" si="10"/>
        <v>0</v>
      </c>
      <c r="P96" s="19">
        <f t="shared" si="11"/>
        <v>0</v>
      </c>
    </row>
    <row r="97" spans="2:16" x14ac:dyDescent="0.2">
      <c r="B97" s="5">
        <v>84</v>
      </c>
      <c r="C97" s="3" t="s">
        <v>72</v>
      </c>
      <c r="D97" s="9" t="s">
        <v>47</v>
      </c>
      <c r="E97" s="6" t="s">
        <v>113</v>
      </c>
      <c r="F97" s="19"/>
      <c r="G97" s="10">
        <v>36000</v>
      </c>
      <c r="H97" s="21"/>
      <c r="I97" s="5"/>
      <c r="J97" s="5"/>
      <c r="K97" s="5">
        <f t="shared" si="6"/>
        <v>0</v>
      </c>
      <c r="L97" s="8">
        <f t="shared" si="7"/>
        <v>0</v>
      </c>
      <c r="M97" s="8">
        <f t="shared" si="8"/>
        <v>0</v>
      </c>
      <c r="N97" s="8">
        <f t="shared" si="9"/>
        <v>0</v>
      </c>
      <c r="O97" s="8">
        <f t="shared" si="10"/>
        <v>0</v>
      </c>
      <c r="P97" s="19">
        <f t="shared" si="11"/>
        <v>0</v>
      </c>
    </row>
    <row r="98" spans="2:16" x14ac:dyDescent="0.2">
      <c r="B98" s="5">
        <v>85</v>
      </c>
      <c r="C98" s="2" t="s">
        <v>73</v>
      </c>
      <c r="D98" s="6" t="s">
        <v>47</v>
      </c>
      <c r="E98" s="6" t="s">
        <v>113</v>
      </c>
      <c r="F98" s="19"/>
      <c r="G98" s="7">
        <v>30000</v>
      </c>
      <c r="H98" s="21"/>
      <c r="I98" s="5"/>
      <c r="J98" s="5"/>
      <c r="K98" s="5">
        <f t="shared" si="6"/>
        <v>0</v>
      </c>
      <c r="L98" s="8">
        <f t="shared" si="7"/>
        <v>0</v>
      </c>
      <c r="M98" s="8">
        <f t="shared" si="8"/>
        <v>0</v>
      </c>
      <c r="N98" s="8">
        <f t="shared" si="9"/>
        <v>0</v>
      </c>
      <c r="O98" s="8">
        <f t="shared" si="10"/>
        <v>0</v>
      </c>
      <c r="P98" s="19">
        <f t="shared" si="11"/>
        <v>0</v>
      </c>
    </row>
    <row r="99" spans="2:16" x14ac:dyDescent="0.2">
      <c r="B99" s="5">
        <v>86</v>
      </c>
      <c r="C99" s="3" t="s">
        <v>74</v>
      </c>
      <c r="D99" s="9" t="s">
        <v>47</v>
      </c>
      <c r="E99" s="6" t="s">
        <v>113</v>
      </c>
      <c r="F99" s="19"/>
      <c r="G99" s="10">
        <v>34000</v>
      </c>
      <c r="H99" s="21"/>
      <c r="I99" s="5"/>
      <c r="J99" s="5"/>
      <c r="K99" s="5">
        <f t="shared" si="6"/>
        <v>0</v>
      </c>
      <c r="L99" s="8">
        <f t="shared" si="7"/>
        <v>0</v>
      </c>
      <c r="M99" s="8">
        <f t="shared" si="8"/>
        <v>0</v>
      </c>
      <c r="N99" s="8">
        <f t="shared" si="9"/>
        <v>0</v>
      </c>
      <c r="O99" s="8">
        <f t="shared" si="10"/>
        <v>0</v>
      </c>
      <c r="P99" s="19">
        <f t="shared" si="11"/>
        <v>0</v>
      </c>
    </row>
    <row r="100" spans="2:16" x14ac:dyDescent="0.2">
      <c r="B100" s="5">
        <v>87</v>
      </c>
      <c r="C100" s="2" t="s">
        <v>75</v>
      </c>
      <c r="D100" s="6" t="s">
        <v>47</v>
      </c>
      <c r="E100" s="6" t="s">
        <v>113</v>
      </c>
      <c r="F100" s="19"/>
      <c r="G100" s="7">
        <v>30000</v>
      </c>
      <c r="H100" s="21"/>
      <c r="I100" s="5"/>
      <c r="J100" s="5"/>
      <c r="K100" s="5">
        <f t="shared" si="6"/>
        <v>0</v>
      </c>
      <c r="L100" s="8">
        <f t="shared" si="7"/>
        <v>0</v>
      </c>
      <c r="M100" s="8">
        <f t="shared" si="8"/>
        <v>0</v>
      </c>
      <c r="N100" s="8">
        <f t="shared" si="9"/>
        <v>0</v>
      </c>
      <c r="O100" s="8">
        <f t="shared" si="10"/>
        <v>0</v>
      </c>
      <c r="P100" s="19">
        <f t="shared" si="11"/>
        <v>0</v>
      </c>
    </row>
    <row r="101" spans="2:16" x14ac:dyDescent="0.2">
      <c r="B101" s="5">
        <v>88</v>
      </c>
      <c r="C101" s="3" t="s">
        <v>76</v>
      </c>
      <c r="D101" s="9" t="s">
        <v>47</v>
      </c>
      <c r="E101" s="9" t="s">
        <v>114</v>
      </c>
      <c r="F101" s="19">
        <v>3750</v>
      </c>
      <c r="G101" s="10">
        <v>5000</v>
      </c>
      <c r="H101" s="21"/>
      <c r="I101" s="5"/>
      <c r="J101" s="5"/>
      <c r="K101" s="5">
        <f t="shared" si="6"/>
        <v>0</v>
      </c>
      <c r="L101" s="8">
        <f>G101*I101</f>
        <v>0</v>
      </c>
      <c r="M101" s="8">
        <f>G101*J101</f>
        <v>0</v>
      </c>
      <c r="N101" s="8">
        <f>F101*(J101+I101)</f>
        <v>0</v>
      </c>
      <c r="O101" s="8">
        <f t="shared" si="10"/>
        <v>0</v>
      </c>
      <c r="P101" s="19">
        <f t="shared" si="11"/>
        <v>0</v>
      </c>
    </row>
    <row r="102" spans="2:16" x14ac:dyDescent="0.2">
      <c r="B102" s="5">
        <v>89</v>
      </c>
      <c r="C102" s="2" t="s">
        <v>77</v>
      </c>
      <c r="D102" s="6" t="s">
        <v>12</v>
      </c>
      <c r="E102" s="6" t="s">
        <v>115</v>
      </c>
      <c r="F102" s="19"/>
      <c r="G102" s="7">
        <v>1000</v>
      </c>
      <c r="H102" s="21">
        <v>96</v>
      </c>
      <c r="I102" s="5"/>
      <c r="J102" s="5">
        <v>2</v>
      </c>
      <c r="K102" s="5">
        <f t="shared" si="6"/>
        <v>94</v>
      </c>
      <c r="L102" s="8">
        <f t="shared" si="7"/>
        <v>0</v>
      </c>
      <c r="M102" s="8">
        <f t="shared" si="8"/>
        <v>2000</v>
      </c>
      <c r="N102" s="8">
        <f t="shared" si="9"/>
        <v>0</v>
      </c>
      <c r="O102" s="8">
        <f t="shared" si="10"/>
        <v>2000</v>
      </c>
      <c r="P102" s="19">
        <f t="shared" si="11"/>
        <v>0</v>
      </c>
    </row>
    <row r="103" spans="2:16" x14ac:dyDescent="0.2">
      <c r="B103" s="5">
        <v>90</v>
      </c>
      <c r="C103" s="3" t="s">
        <v>78</v>
      </c>
      <c r="D103" s="9" t="s">
        <v>12</v>
      </c>
      <c r="E103" s="9" t="s">
        <v>114</v>
      </c>
      <c r="F103" s="19">
        <v>800</v>
      </c>
      <c r="G103" s="10">
        <v>2000</v>
      </c>
      <c r="H103" s="21"/>
      <c r="I103" s="5"/>
      <c r="J103" s="5"/>
      <c r="K103" s="5">
        <f t="shared" si="6"/>
        <v>0</v>
      </c>
      <c r="L103" s="8">
        <f t="shared" si="7"/>
        <v>0</v>
      </c>
      <c r="M103" s="8">
        <f t="shared" si="8"/>
        <v>0</v>
      </c>
      <c r="N103" s="8">
        <f t="shared" si="9"/>
        <v>0</v>
      </c>
      <c r="O103" s="8">
        <f t="shared" si="10"/>
        <v>0</v>
      </c>
      <c r="P103" s="19">
        <f t="shared" si="11"/>
        <v>0</v>
      </c>
    </row>
    <row r="104" spans="2:16" ht="15.75" thickBot="1" x14ac:dyDescent="0.25">
      <c r="B104" s="12"/>
      <c r="C104" s="13"/>
      <c r="D104" s="14"/>
      <c r="E104" s="14"/>
      <c r="F104" s="20"/>
      <c r="G104" s="15"/>
      <c r="H104" s="22"/>
      <c r="I104" s="12"/>
      <c r="J104" s="12"/>
      <c r="K104" s="12"/>
      <c r="L104" s="16">
        <f t="shared" si="7"/>
        <v>0</v>
      </c>
      <c r="M104" s="16">
        <f t="shared" si="8"/>
        <v>0</v>
      </c>
      <c r="N104" s="16">
        <f t="shared" si="9"/>
        <v>0</v>
      </c>
      <c r="O104" s="16">
        <f t="shared" si="10"/>
        <v>0</v>
      </c>
      <c r="P104" s="20">
        <f t="shared" si="11"/>
        <v>0</v>
      </c>
    </row>
    <row r="105" spans="2:16" ht="26.45" customHeight="1" thickBot="1" x14ac:dyDescent="0.25">
      <c r="B105" s="85" t="s">
        <v>88</v>
      </c>
      <c r="C105" s="86"/>
      <c r="D105" s="86"/>
      <c r="E105" s="86"/>
      <c r="F105" s="86"/>
      <c r="G105" s="87"/>
      <c r="H105" s="23">
        <f>SUM(H14:H104)</f>
        <v>3670</v>
      </c>
      <c r="I105" s="23">
        <f t="shared" ref="I105:P105" si="12">SUM(I14:I104)</f>
        <v>2011</v>
      </c>
      <c r="J105" s="23">
        <f t="shared" si="12"/>
        <v>657</v>
      </c>
      <c r="K105" s="24">
        <f t="shared" si="12"/>
        <v>927</v>
      </c>
      <c r="L105" s="25">
        <f t="shared" si="12"/>
        <v>27494000</v>
      </c>
      <c r="M105" s="26">
        <f t="shared" si="12"/>
        <v>5232000</v>
      </c>
      <c r="N105" s="26">
        <f t="shared" si="12"/>
        <v>26267407</v>
      </c>
      <c r="O105" s="27">
        <f t="shared" si="12"/>
        <v>6458593</v>
      </c>
      <c r="P105" s="28">
        <f t="shared" si="12"/>
        <v>4382273</v>
      </c>
    </row>
    <row r="106" spans="2:16" x14ac:dyDescent="0.2">
      <c r="N106" s="62">
        <f>SUBTOTAL(9,N53:N75)</f>
        <v>3088605</v>
      </c>
      <c r="O106" s="62">
        <f>SUBTOTAL(9,O53:O75)</f>
        <v>1687395</v>
      </c>
    </row>
    <row r="107" spans="2:16" x14ac:dyDescent="0.2">
      <c r="O107" s="29"/>
    </row>
    <row r="108" spans="2:16" x14ac:dyDescent="0.2">
      <c r="L108" s="18"/>
      <c r="M108" s="18"/>
    </row>
    <row r="109" spans="2:16" x14ac:dyDescent="0.2">
      <c r="L109" s="17"/>
    </row>
    <row r="110" spans="2:16" x14ac:dyDescent="0.2">
      <c r="M110" s="18"/>
      <c r="O110" s="63"/>
    </row>
    <row r="111" spans="2:16" x14ac:dyDescent="0.2">
      <c r="M111" s="17"/>
    </row>
    <row r="115" spans="13:15" x14ac:dyDescent="0.2">
      <c r="M115" s="68" t="s">
        <v>110</v>
      </c>
      <c r="N115" s="69" t="s">
        <v>123</v>
      </c>
      <c r="O115" s="68" t="s">
        <v>124</v>
      </c>
    </row>
    <row r="116" spans="13:15" x14ac:dyDescent="0.2">
      <c r="M116" s="64" t="s">
        <v>119</v>
      </c>
      <c r="N116" s="65">
        <v>7967000</v>
      </c>
      <c r="O116" s="66">
        <f>N116/N120</f>
        <v>0.93674309229864783</v>
      </c>
    </row>
    <row r="117" spans="13:15" x14ac:dyDescent="0.2">
      <c r="M117" s="67" t="s">
        <v>120</v>
      </c>
      <c r="N117" s="65">
        <v>529000</v>
      </c>
      <c r="O117" s="66">
        <f>N117/N120</f>
        <v>6.2198706643151087E-2</v>
      </c>
    </row>
    <row r="118" spans="13:15" x14ac:dyDescent="0.2">
      <c r="M118" s="64" t="s">
        <v>121</v>
      </c>
      <c r="N118" s="65"/>
      <c r="O118" s="66"/>
    </row>
    <row r="119" spans="13:15" x14ac:dyDescent="0.2">
      <c r="M119" s="64" t="s">
        <v>122</v>
      </c>
      <c r="N119" s="65">
        <v>9000</v>
      </c>
      <c r="O119" s="66">
        <f>N119/N120</f>
        <v>1.0582010582010583E-3</v>
      </c>
    </row>
    <row r="120" spans="13:15" x14ac:dyDescent="0.2">
      <c r="M120" s="70" t="s">
        <v>96</v>
      </c>
      <c r="N120" s="71">
        <f>SUBTOTAL(9,N116:N119)</f>
        <v>8505000</v>
      </c>
      <c r="O120" s="72">
        <f>SUBTOTAL(9,O116:O119)</f>
        <v>1</v>
      </c>
    </row>
  </sheetData>
  <autoFilter ref="B12:P108" xr:uid="{00000000-0009-0000-0000-000001000000}">
    <filterColumn colId="7" showButton="0"/>
    <filterColumn colId="10" showButton="0"/>
  </autoFilter>
  <mergeCells count="22">
    <mergeCell ref="B105:G105"/>
    <mergeCell ref="C12:C13"/>
    <mergeCell ref="D12:D13"/>
    <mergeCell ref="B12:B13"/>
    <mergeCell ref="O12:O13"/>
    <mergeCell ref="K12:K13"/>
    <mergeCell ref="I12:J12"/>
    <mergeCell ref="L12:M12"/>
    <mergeCell ref="N12:N13"/>
    <mergeCell ref="H12:H13"/>
    <mergeCell ref="G12:G13"/>
    <mergeCell ref="F12:F13"/>
    <mergeCell ref="E12:E13"/>
    <mergeCell ref="B2:O2"/>
    <mergeCell ref="B3:O3"/>
    <mergeCell ref="M5:N5"/>
    <mergeCell ref="P12:P13"/>
    <mergeCell ref="M10:N10"/>
    <mergeCell ref="M6:N6"/>
    <mergeCell ref="M7:N7"/>
    <mergeCell ref="M9:N9"/>
    <mergeCell ref="M8:N8"/>
  </mergeCells>
  <pageMargins left="0.7" right="0.7" top="0.75" bottom="0.75" header="0.3" footer="0.3"/>
  <pageSetup scale="46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PB 01 sd 31 JULI 2026 </vt:lpstr>
      <vt:lpstr>LP  01 sd 31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Grey</dc:creator>
  <cp:lastModifiedBy>MELYAWATI</cp:lastModifiedBy>
  <cp:lastPrinted>2025-07-02T04:07:59Z</cp:lastPrinted>
  <dcterms:created xsi:type="dcterms:W3CDTF">2025-06-30T05:41:08Z</dcterms:created>
  <dcterms:modified xsi:type="dcterms:W3CDTF">2026-08-04T04:54:15Z</dcterms:modified>
</cp:coreProperties>
</file>